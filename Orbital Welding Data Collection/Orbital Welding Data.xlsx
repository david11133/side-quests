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<sst xmlns="http://schemas.openxmlformats.org/spreadsheetml/2006/main" count="4793" uniqueCount="4793">
  <si>
    <t>Name</t>
  </si>
  <si>
    <t xml:space="preserve">Product Name</t>
  </si>
  <si>
    <t xml:space="preserve">Part Number</t>
  </si>
  <si>
    <t>Manufacturer</t>
  </si>
  <si>
    <t>Categories</t>
  </si>
  <si>
    <t xml:space="preserve">Item Number</t>
  </si>
  <si>
    <t>Order</t>
  </si>
  <si>
    <t>Active</t>
  </si>
  <si>
    <t xml:space="preserve">Check Mark Features</t>
  </si>
  <si>
    <t xml:space="preserve">Feature Name 1</t>
  </si>
  <si>
    <t xml:space="preserve">Feature Text</t>
  </si>
  <si>
    <t xml:space="preserve">Feature Name 2</t>
  </si>
  <si>
    <t xml:space="preserve">Feature Name 3</t>
  </si>
  <si>
    <t xml:space="preserve">Feature Name 4</t>
  </si>
  <si>
    <t xml:space="preserve">Detail Text</t>
  </si>
  <si>
    <t xml:space="preserve">Optional Button Text &amp; Link</t>
  </si>
  <si>
    <t xml:space="preserve">Show: Y/N</t>
  </si>
  <si>
    <t xml:space="preserve">Tab Name</t>
  </si>
  <si>
    <t>Text</t>
  </si>
  <si>
    <t xml:space="preserve">Has Related Resource? Y/N</t>
  </si>
  <si>
    <t xml:space="preserve">Full Width Features Table Text</t>
  </si>
  <si>
    <t>Header</t>
  </si>
  <si>
    <t>Text:</t>
  </si>
  <si>
    <t xml:space="preserve">Left Column</t>
  </si>
  <si>
    <t xml:space="preserve">Right Column</t>
  </si>
  <si>
    <t xml:space="preserve">Show: Y/N (Services Section)</t>
  </si>
  <si>
    <t xml:space="preserve">Service Name</t>
  </si>
  <si>
    <t xml:space="preserve">Show: Y/N (FAQ's Section)</t>
  </si>
  <si>
    <t xml:space="preserve">FAQ Name</t>
  </si>
  <si>
    <t xml:space="preserve">Show: Y/N (Contact Form Section)</t>
  </si>
  <si>
    <t xml:space="preserve">POR Approved</t>
  </si>
  <si>
    <t>Status</t>
  </si>
  <si>
    <t>CREATION</t>
  </si>
  <si>
    <t xml:space="preserve">Website Products</t>
  </si>
  <si>
    <t>M107</t>
  </si>
  <si>
    <t xml:space="preserve">M107 POWER SUPPLY TOP ASSY</t>
  </si>
  <si>
    <t>1357168-02</t>
  </si>
  <si>
    <t xml:space="preserve">ARC MACHINES INC.</t>
  </si>
  <si>
    <t xml:space="preserve">Welding Power Supply Assembly</t>
  </si>
  <si>
    <t xml:space="preserve">High-performance top assembly for M107 orbital welders with easy maintenance and reliable operation.</t>
  </si>
  <si>
    <t xml:space="preserve">Top Assembly Component</t>
  </si>
  <si>
    <t xml:space="preserve">Top assembly component for Arc machines M107 orbital welding power supply</t>
  </si>
  <si>
    <t xml:space="preserve">Control &amp; Electrical Systems</t>
  </si>
  <si>
    <t xml:space="preserve">Contains control interface, cooling systems, and electrical components</t>
  </si>
  <si>
    <t>Reliability</t>
  </si>
  <si>
    <t xml:space="preserve">Engineered for reliable performance in continuous duty applications</t>
  </si>
  <si>
    <t xml:space="preserve">Maintenance Access</t>
  </si>
  <si>
    <t xml:space="preserve">Facilitates easy access for maintenance and component replacement</t>
  </si>
  <si>
    <t xml:space="preserve">The M107 Power Supply Top Assembly is a durable top housing component designed for the M107 controller, integrating critical control interfaces, cooling systems, and electrical connections. It features a precision aluminum housing with stainless steel internal components for long-term durability in industrial environments. An integrated cooling system, using either a fan or water-cooling ports, efficiently manages thermal dissipation during sustained operation. Multiple DIN connectors provide comprehensive electrical interfacing, while optimized thermal paths support reliable heat management. The assembly includes standard mounting interfaces and brackets for control panel integration and is rated IP54 for protection against dust and water splashes.</t>
  </si>
  <si>
    <t xml:space="preserve">Order M107 Top Assembly</t>
  </si>
  <si>
    <t>.</t>
  </si>
  <si>
    <t xml:space="preserve">Key specifications and features </t>
  </si>
  <si>
    <t xml:space="preserve">Replacement Top Assembly for Arc Machines M107 Power Supply</t>
  </si>
  <si>
    <t xml:space="preserve">Why product data collection supports purchasing decisions: Comprehensive specifications enable accurate product comparison and selection, warranty information guides cost-of-ownership calculations, technical details support system compatibility verification, key features highlight performance capabilities for specific applications, and complete documentation facilitates informed purchasing and procurement processes.</t>
  </si>
  <si>
    <t xml:space="preserve">- M107 replacement
- control interface
- cooling system
- Multiple connectors
- IP54 rating</t>
  </si>
  <si>
    <t xml:space="preserve">- 12"x8"x6" dims
 - 5-7kg weight
 - Aluminum/SS
 - IP54 rated
 - DIN connectors</t>
  </si>
  <si>
    <t>N</t>
  </si>
  <si>
    <t/>
  </si>
  <si>
    <t xml:space="preserve">Get M107 Power Supply Top Assembly Replacement</t>
  </si>
  <si>
    <t xml:space="preserve">Restore full system functionality with replacement top assembly components for Arc Machines M107 power supplies. Quality replacement parts ensure extended equipment service life and reliable operation. Available for purchase from Arc Machines authorized suppliers and orbital welding equipment distributors. Contact us for compatibility verification and installation support.</t>
  </si>
  <si>
    <t xml:space="preserve">- Q1: When would I need an M107 top assembly replacement?
- Q2: Is professional installation required?
- Q3: How long does replacement typically take?
- Q4: What is the cost of replacement assembly?
- Q5: Does replacement extend system warranty?</t>
  </si>
  <si>
    <t xml:space="preserve">- A1: Replacement is necessary if the original component fails electrically or the cooling system degrades.
- A2: While technician installation is recommended, skilled operators can install with standard tools.
- A3: Installation typically requires 2–4 hours including system testing.
- A4: M107 top assemblies typically cost $2,000–3,500.
- A5: Replacement components typically carry the same warranty as original equipment.</t>
  </si>
  <si>
    <t>Y</t>
  </si>
  <si>
    <t xml:space="preserve">Generic (e.g., “Request More Information”)</t>
  </si>
  <si>
    <t xml:space="preserve">Generic CTA</t>
  </si>
  <si>
    <t>M15-317WF2</t>
  </si>
  <si>
    <t xml:space="preserve">M15-317 WELD HEAD TOP ASSY TORCH-C 2WF</t>
  </si>
  <si>
    <t>13150153-02</t>
  </si>
  <si>
    <t xml:space="preserve">Weld Head Assembly | Welding Torch</t>
  </si>
  <si>
    <t xml:space="preserve">M15 weld head top assembly with dual wire feed, independent motor controls, and enhanced arc stability.</t>
  </si>
  <si>
    <t xml:space="preserve">Advanced M15 weld head top assembly pre-configured with Torch-C dual wire feed</t>
  </si>
  <si>
    <t xml:space="preserve">Two-Wire Welding</t>
  </si>
  <si>
    <t xml:space="preserve">Specifically engineered for two-wire filler material feed welding</t>
  </si>
  <si>
    <t xml:space="preserve">Dual Wire Feeder Motors</t>
  </si>
  <si>
    <t xml:space="preserve">Integrated dual wire feeder motors with independent speed controls</t>
  </si>
  <si>
    <t xml:space="preserve">Arc Stability</t>
  </si>
  <si>
    <t xml:space="preserve">Enhanced arc stability with dual filler wire configuration</t>
  </si>
  <si>
    <t xml:space="preserve">The M15-317 Weld Head Top Assembly Torch-C with dual-wire feed is engineered for high-volume orbital welding applications requiring maximum productivity and consistent weld quality. Its dual-wire configuration uses two independent servo-controlled wire feed motors, allowing simultaneous operation with individual speed adjustment to increase deposition rates and reduce overall weld time. The C-type torch design supports arc currents up to 300A DC continuous and includes an integral water-cooling system for sustained high-current operation. The assembly accommodates wire sizes from 0.020 to 0.045 inches and standard dual wire spools, making it well suited for semiconductor, pharmaceutical, and aerospace production environments.</t>
  </si>
  <si>
    <t xml:space="preserve">Schedule Technical Consultation</t>
  </si>
  <si>
    <t xml:space="preserve">Dual-Wire Feed Orbital Weld Head Assembly for High-Volume Production Welding</t>
  </si>
  <si>
    <t xml:space="preserve">Dual-Wire Orbital Welding Excellence: High-Volume Production with M15-317 Assembly - The dual-wire feed configuration enables faster weld deposition rates and improved weld geometry, making it ideal for high-volume production environments that demand maximum throughput without compromising weld quality.</t>
  </si>
  <si>
    <t xml:space="preserve">- Dual independent wire feeder servo motors
 - Synchronized wire feed with individual speed controls
 - Torch-C configuration optimized for dual-wire feed
 - Water-cooled for sustained high-current operation</t>
  </si>
  <si>
    <t xml:space="preserve">- Compatible with Multiple power supply models
- Modular wire spool system for rapid changeover
- Integrated filler material tracking capability
- Enhanced Arc stability with Dual wire configuration</t>
  </si>
  <si>
    <t xml:space="preserve">Advanced Dual-Wire Orbital Welding Solutions</t>
  </si>
  <si>
    <t xml:space="preserve">Accelerate your high-volume orbital welding production with the M15-317 WELD HEAD TOP ASSY TORCH-C 2WF. Dual-wire feed technology delivers faster deposition rates and enhanced arc stability for demanding production environments. Our specialists can help you evaluate whether dual-wire welding is right for your application.</t>
  </si>
  <si>
    <t xml:space="preserve">- Q1: What is the advantage of dual-wire feed compared to single wire?
- Q2: Are the two wire feeders independent?
- Q3: What wire sizes are compatible?
- Q4: Is this assembly compatible with all power supplies?
- Q5: How much time is saved with dual-wire feed?</t>
  </si>
  <si>
    <t xml:space="preserve">- A1: Dual-wire feed enables faster weld deposition rates, reduced cycle time, and improved arc stability for high-volume production.
- A2: Yes, each feeder motor is independently servo-controlled, allowing different wire feed speeds for custom weld procedures.
- A3: The assembly accommodates wire sizes from 0.020" to 0.045" diameter, providing flexibility for various materials and applications.
- A4: The M15-317 is compatible with M317, M415, M217, and M227 power supplies, providing broad system integration options.
- A5: Dual-wire configurations typically reduce weld time by 30–50% compared to single-wire systems while maintaining quality standards.</t>
  </si>
  <si>
    <t>M217</t>
  </si>
  <si>
    <t xml:space="preserve">M217 POWER SUPPLY TOP ASSY LC</t>
  </si>
  <si>
    <t>13B170100-03</t>
  </si>
  <si>
    <t xml:space="preserve">150A GTAW power supply with touchscreen, memory for 1000+ welds, and optimized low-current performance.</t>
  </si>
  <si>
    <t xml:space="preserve">Power Supply</t>
  </si>
  <si>
    <t xml:space="preserve">Advanced 150A GTAW power supply with low-current specialization</t>
  </si>
  <si>
    <t>Display</t>
  </si>
  <si>
    <t xml:space="preserve">12-inch color touch-screen display for intuitive operation</t>
  </si>
  <si>
    <t xml:space="preserve">Data Recording</t>
  </si>
  <si>
    <t xml:space="preserve">Weld Data Recording (WDR) standard for quality documentation</t>
  </si>
  <si>
    <t>Memory</t>
  </si>
  <si>
    <t xml:space="preserve">Computer-controlled memory for 1000+ weld schedules</t>
  </si>
  <si>
    <t xml:space="preserve">The M217 Power Supply Top Assembly LC is a low-current orbital welding power supply optimized for thin-wall tubing and pipe applications. It delivers precise arc control from 5 to 150A with enhanced performance below 20A, minimizing heat input, distortion, and heat-affected zones. A 12-inch color touchscreen provides intuitive operation with graphical weld monitoring and schedule navigation. The system supports pulsed and non-pulsed welding modes and stores over 1,000 weld schedules with up to 99 levels each. Integrated Weld Data Recording captures and exports welding parameters for quality assurance and compliance. Designed for single-phase input power, the unit combines advanced control accuracy with flexible connectivity and optional accessories such as water cooling and remote operation.</t>
  </si>
  <si>
    <t xml:space="preserve">Explore Low-Current Solutions</t>
  </si>
  <si>
    <t xml:space="preserve">Advanced Low-Current GTAW Power Supply with Touch-Screen Control for Precision Thin-Wall Welding</t>
  </si>
  <si>
    <t xml:space="preserve">Thin-Wall Welding Excellence: Low-Current Optimization for M217 LC - Specialized low-current performance ensures precise arc control on thin-wall tubing, reducing heat-affected zone and minimizing weld distortion in critical semiconductor, pharmaceutical, and aerospace applications.</t>
  </si>
  <si>
    <t xml:space="preserve">- Enhanced low-current optimization below 20A
 - 12-inch color touch-screen display
 - 1000+ weld schedule capacity
 - Weld Data Recording standard</t>
  </si>
  <si>
    <t xml:space="preserve">- Â±0.5% accuracy at low currents
 - Pulsation from 0.05-50 PPS
 - Multiple weld modes: pulsed, step, no-pulsed, S3
 - Optional water cooling and remote pendant</t>
  </si>
  <si>
    <t xml:space="preserve">Master Low-Current Orbital Welding with M217 LC</t>
  </si>
  <si>
    <t xml:space="preserve">Achieve precision on thin-wall tubes and pipes with the M217 POWER SUPPLY TOP ASSY LC. This advanced system combines low-current specialization with sophisticated touch-screen control and comprehensive data recording. Our specialists can help you configure the M217 LC for your specific thin-wall welding requirements.</t>
  </si>
  <si>
    <t xml:space="preserve">- Q1: What makes this model specifically suited for low-current applications?
- Q2: What is the minimum welding current capability?
- Q3: How does WDR improve quality assurance?
- Q4: Can older weld heads be used with this unit?
- Q5: What weld modes are available?</t>
  </si>
  <si>
    <t xml:space="preserve">- A1: The M217 LC features optimized control circuitry and ±0.5% accuracy at low currents for precise thin-wall welding.
- A2: The M217 LC reliably operates from 5A minimum, enabling thin-wall and low-heat-input applications.
- A3: Weld Data Recording captures all welding parameters, enabling quality verification and regulatory compliance documentation.
- A4: Yes, the M217 LC is compatible with all Arc Machines orbital weld heads, including legacy models.
- A5: Multiple modes include pulsed, step, no-pulsed, S3, and pulsed S3 for diverse welding requirements.</t>
  </si>
  <si>
    <t>M217P</t>
  </si>
  <si>
    <t xml:space="preserve">M217P POWER SUPPLY TOP ASSY WDR</t>
  </si>
  <si>
    <t>13B170120-01</t>
  </si>
  <si>
    <t xml:space="preserve">Compact portable 150A GTAW power supply with touchscreen, WDR, and advanced fusion weld system.</t>
  </si>
  <si>
    <t xml:space="preserve">Portable high-performance 150A GTAW power supply with touchscreen control</t>
  </si>
  <si>
    <t xml:space="preserve">Data Logging</t>
  </si>
  <si>
    <t xml:space="preserve">Weld Data Recording (WDR) standard for comprehensive data logging</t>
  </si>
  <si>
    <t>Portability</t>
  </si>
  <si>
    <t xml:space="preserve">Compact design at 66 lbs with one-hand carry handle</t>
  </si>
  <si>
    <t xml:space="preserve">Schedule Capacity</t>
  </si>
  <si>
    <t xml:space="preserve">1000+ weld schedule capacity with 99 levels per procedure</t>
  </si>
  <si>
    <t xml:space="preserve">The M217P Power Supply Top Assembly WDR delivers advanced orbital welding capability in a compact, portable design intended for fieldwork and remote applications. It provides a welding current range of 5 to 150A with a 100% duty cycle and maintains precise constant-current regulation across standard single-phase power inputs. A 10-inch color touchscreen enables real-time weld monitoring and intuitive schedule management. Integrated Weld Data Recording captures comprehensive welding data with CSV export for documentation and quality control. Weighing approximately 66 lbs and equipped with a one-hand carry handle, the M217P is easy to transport while remaining fully compatible with all Arc Machines fusion weld heads manufactured since 1976.</t>
  </si>
  <si>
    <t xml:space="preserve">Discover Portable Welding Solutions</t>
  </si>
  <si>
    <t xml:space="preserve">Premium Portable Orbital Welding with Advanced Data Recording and Touchscreen Control</t>
  </si>
  <si>
    <t xml:space="preserve">Portable Excellence for Orbital Welding: M217P WDR Advanced Capability in Compact Form - The M217P delivers advanced orbital welding technology in a portable package, enabling field installation, maintenance welding, and remote applications without sacrificing functionality.</t>
  </si>
  <si>
    <t xml:space="preserve">- Portable 150A output at only 66 lbs
 - 10-inch touchscreen display
 - 1000+ weld schedule capacity
 - Weld Data Recording standard</t>
  </si>
  <si>
    <t xml:space="preserve">- One-hand carry handle for field mobility
 - 100% duty cycle at specified input
 - Optional water cooling available
 - Compatible with all AMI fusion weld heads</t>
  </si>
  <si>
    <t xml:space="preserve">Mobile Orbital Welding Excellence</t>
  </si>
  <si>
    <t xml:space="preserve">Transform your field welding capabilities with the M217P POWER SUPPLY TOP ASSY WDR. This advanced system combines portable design with sophisticated touchscreen control and comprehensive data recording for field installation and remote welding applications. Our team can help you configure the M217P for your specific portable welding requirements.</t>
  </si>
  <si>
    <t xml:space="preserve">- Q1: How does the M217P compare to the standard M217?
- Q2: What is the carrying capacity consideration?
- Q3: Is water cooling required?
- Q4: What information does WDR capture?
- Q5: Which weld heads are compatible?</t>
  </si>
  <si>
    <t xml:space="preserve">- A1: The M217P is a portable variant 9% lighter than the M205 with all M217 features in a more compact design.
- A2: At 66 lbs with one-hand carry handle, the M217P is designed for convenient field transport by individual operators.
- A3: Water cooling is optional and recommended for extended high-current welding; the unit functions without it for lower-duty applications.
- A4: WDR records current, voltage, travel speed, wire feed, rotation, and other parameters for quality documentation.
- A5: The M217P is compatible with all Arc Machines orbital weld heads produced since 1976.</t>
  </si>
  <si>
    <t>2Y7CW</t>
  </si>
  <si>
    <t xml:space="preserve">M2Y7-CW WATER COOLING UNIT</t>
  </si>
  <si>
    <t>13B170126-01</t>
  </si>
  <si>
    <t xml:space="preserve">Water Cooling Unit | Welding Cooling Equipment</t>
  </si>
  <si>
    <t xml:space="preserve">M217 water cooling unit with stackable design, remote operation capability, and sensor monitoring.</t>
  </si>
  <si>
    <t xml:space="preserve">Water Cooling</t>
  </si>
  <si>
    <t xml:space="preserve">Advanced water cooling designed for M217 power supplies</t>
  </si>
  <si>
    <t xml:space="preserve">Space-Saving Design</t>
  </si>
  <si>
    <t xml:space="preserve">Stackable design for space-saving integration</t>
  </si>
  <si>
    <t xml:space="preserve">Stand-Alone Operation</t>
  </si>
  <si>
    <t xml:space="preserve">Independent/stand-alone operation capability</t>
  </si>
  <si>
    <t>Sensing</t>
  </si>
  <si>
    <t xml:space="preserve">Sensing for coolant flow, level, and temperature</t>
  </si>
  <si>
    <t xml:space="preserve">The M2Y7-CW Advanced Water Cooling Unit provides sophisticated thermal management for orbital welding systems, ensuring stable performance and reduced downtime caused by overheating. Designed for seamless integration with Model 217 power supplies, it features a compact, stackable design that conserves floor and bench space while allowing independent stand-alone operation when required. The unit delivers up to 600 BTU/hr of cooling capacity and includes comprehensive digital monitoring of coolant flow, level, and temperature with automatic fault detection that communicates directly with the power supply. A 2.5-gallon reservoir, high-pressure pump, and support for hose lengths up to 100 feet enable flexible shop layouts and extended weld head placement.</t>
  </si>
  <si>
    <t xml:space="preserve">Get Pricing</t>
  </si>
  <si>
    <t xml:space="preserve">Advanced Water Cooling with Integrated Digital Control</t>
  </si>
  <si>
    <t xml:space="preserve">Advanced Cooling Technology: Modern orbital welding demands sophisticated thermal management with integrated digital monitoring to maintain optimal performance and prevent downtime from thermal-related failures. The M2Y7-CW Advanced Water Cooling Unit delivers this integrated solution.</t>
  </si>
  <si>
    <t xml:space="preserve">- 2.5 gallon reservoir
 - 600 BTU/hr cooling capacity
 - Stackable design
 - 0.8 gpm maximum flow
 - 60 psig pump pressure
 - Independent operation
 - Ethernet connectivity</t>
  </si>
  <si>
    <t xml:space="preserve">- 110-230 VAC input
 - De-ionized water recommended
 - Built-in circuit breaker
 - Service extensions
 - Independent control
 - Compact installation
 - Reliable long-term service</t>
  </si>
  <si>
    <t xml:space="preserve">Get Your M2Y7-CW Cooling Unit Now</t>
  </si>
  <si>
    <t xml:space="preserve">Maximize thermal efficiency with the advanced M2Y7-CW Water Cooling Unit, designed for seamless integration with Model 217 power supplies. Purchase or lease options available from authorized distributors. Reach out to discuss cooling solutions optimized for your specific welding applications and facility layout.</t>
  </si>
  <si>
    <t xml:space="preserve">- Q1: What is the primary advantage of the M2Y7-CW cooling unit?
- Q2: Can the M2Y7-CW operate independently?
- Q3: How does the M2Y7-CW monitor system performance?
- Q4: What is the maximum hose length for the M2Y7-CW?
- Q5: Can service cables be extended for remote operation?</t>
  </si>
  <si>
    <t xml:space="preserve">- A1: The M2Y7-CW offers stackable design integration with the M217 power supply, saving valuable floor and bench space.
- A2: Yes, the M2Y7-CW can operate independently or integrated with the Model 217 power supply.
- A3: The unit includes sensing for coolant flow, level, and temperature with automatic fault detection.
- A4: The maximum hose length is 100 feet using AMI's ¼" tubing with up to 30 feet vertical lift.
- A5: Yes, service and Ethernet extensions allow weld head operation at distances up to 100 feet.</t>
  </si>
  <si>
    <t>M317FIXED</t>
  </si>
  <si>
    <t xml:space="preserve">M317 POWER SUPPLY TOP ASSY, FIXED</t>
  </si>
  <si>
    <t>13C170100-01</t>
  </si>
  <si>
    <t xml:space="preserve">Fixed configuration orbital welding power source with full-duty cycle and advanced control tech.</t>
  </si>
  <si>
    <t xml:space="preserve">Power Source</t>
  </si>
  <si>
    <t xml:space="preserve">Next-generation orbital welding power source</t>
  </si>
  <si>
    <t>Configuration</t>
  </si>
  <si>
    <t xml:space="preserve">Fixed configuration variant for stable applications</t>
  </si>
  <si>
    <t>Compatibility</t>
  </si>
  <si>
    <t xml:space="preserve">Compatible with all AMI fusion weld heads</t>
  </si>
  <si>
    <t xml:space="preserve">Duty Cycle</t>
  </si>
  <si>
    <t xml:space="preserve">100% duty cycle capability</t>
  </si>
  <si>
    <t xml:space="preserve">The Model 317 Power Supply with fixed configuration is engineered for stable, consistent orbital welding in dedicated production environments. Delivering up to 350 amperes with a 100% duty cycle, it supports demanding high-throughput applications while simplifying operation by eliminating complex switching parameters. The system features Windows-based computer control, advanced interface technology, and memory capacity for more than 1,000 weld schedules, including single-pass and multipass programs. Compatible with all AMI fusion weld heads, the Model 317 combines decades of orbital welding expertise with modern control and data analytics for reliable, repeatable welding performance.</t>
  </si>
  <si>
    <t xml:space="preserve">Contact Sales</t>
  </si>
  <si>
    <t xml:space="preserve">Next-Generation Fixed Configuration Power Supply</t>
  </si>
  <si>
    <t xml:space="preserve">Next-Generation Fixed Configuration: Stable, consistent welding operations for dedicated applications require streamlined power supply configuration without complex switching parameters. The Model 317 fixed configuration delivers this specialized capability.</t>
  </si>
  <si>
    <t xml:space="preserve">- Up to 350 A output
 - 100% duty cycle
 - Fixed configuration
 - Windows-based control
 - 1000+ schedule memory
 - All AMI heads compatible
 - Advanced interface technology</t>
  </si>
  <si>
    <t xml:space="preserve">- 208-480 VAC input
 - Single or multipass
 - Vision system enabled
 - Data analytics
 - Mobile operation
 - 20.5" H x 29.5" W
 - Professional system</t>
  </si>
  <si>
    <t xml:space="preserve">Choose Model 317 Fixed Configuration</t>
  </si>
  <si>
    <t xml:space="preserve">Unlock stable, efficient welding with the next-generation Model 317 fixed configuration power supply, engineered for dedicated applications. Available for purchase and rental from authorized distributors worldwide. Reach out for application analysis, system configuration recommendations, and competitive volume pricing.</t>
  </si>
  <si>
    <t xml:space="preserve">- Q1: What is the primary advantage of the Model 317 fixed configuration?
- Q2: What is the maximum power output?
- Q3: How many weld schedules can be stored?
- Q4: What interface technology does the Model 317 feature?
- Q5: Which weld heads are compatible with the Model 317?</t>
  </si>
  <si>
    <t xml:space="preserve">- A1: The fixed configuration provides streamlined operation without complex switching parameters for dedicated applications.
- A2: The Model 317 fixed configuration provides up to 350 amperes with 100% duty cycle capability.
- A3: The Model 317 stores 1000+ weld schedules in multiple library folders.
- A4: The Model 317 features a modern touchscreen interface combining 40 years of orbital welding expertise with advanced controls.
- A5: The Model 317 is compatible with all AMI fusion weld head product lines.</t>
  </si>
  <si>
    <t>M317SWITCHING</t>
  </si>
  <si>
    <t xml:space="preserve">M317 POWER SUPPLY TOP ASSY, SWITCHING</t>
  </si>
  <si>
    <t>13C170100-02</t>
  </si>
  <si>
    <t xml:space="preserve">Flexible orbital welding power source with switching configuration, full-duty cycle, and programmable controls.</t>
  </si>
  <si>
    <t xml:space="preserve">Switching Configuration</t>
  </si>
  <si>
    <t xml:space="preserve">Switching configuration variant for flexible operations</t>
  </si>
  <si>
    <t xml:space="preserve">The Model 317 Power Supply with switching configuration offers maximum flexibility for advanced orbital welding applications that require programmable, multi-parameter control. Like the fixed version, it provides up to 350 amperes at a 100% duty cycle but adds switching functionality to support multiple welding setups and dynamic process changes. Users can adjust weld schedules, pulsing parameters, and synchronized manipulator operations in real time, improving adaptability in complex production environments. Fully compatible with all AMI fusion weld heads, this configuration also supports vision system integration and advanced orbital analytics to enhance productivity and process control.</t>
  </si>
  <si>
    <t xml:space="preserve">Request Information</t>
  </si>
  <si>
    <t xml:space="preserve">Next-Generation Switching Configuration Power Supply</t>
  </si>
  <si>
    <t xml:space="preserve">Next-Generation Switching Configuration: Advanced production environments often require flexible system configuration with programmable multi-parameter control. The Model 317 switching configuration provides this enhanced capability.</t>
  </si>
  <si>
    <t xml:space="preserve">- Up to 350 A output
 - 100% duty cycle
 - Switching configuration
 - Programmable controls
 - 1000+ schedule memory
 - All AMI heads compatible
 - Advanced analytics</t>
  </si>
  <si>
    <t xml:space="preserve">- 208-480 VAC input
 - Advanced programming
 - Vision system capable
 - Data analytics enabled
 - Mobile operation
 - 20.5" H x 29.5" W
 - Professional system</t>
  </si>
  <si>
    <t xml:space="preserve">Select Model 317 Switching Configuration</t>
  </si>
  <si>
    <t xml:space="preserve">Gain maximum flexibility with the advanced Model 317 switching configuration, offering programmable multi-parameter control for diverse applications. Purchase and rental options available through authorized distributors. Contact us for system recommendations, technical specifications, and volume pricing tailored to your production needs.</t>
  </si>
  <si>
    <t xml:space="preserve">- Q1: What distinguishes the switching configuration from the fixed configuration?
- Q2: What advanced features are included?
- Q3: Can multipass welding be programmed?
- Q4: What is the duty cycle capability?
- Q5: How does the switching configuration support production optimization?</t>
  </si>
  <si>
    <t xml:space="preserve">- A1: The switching configuration includes programmable multi-parameter flexibility for applications requiring parameter adjustment.
- A2: The switching configuration includes vision system enablement, data analytics, and advanced orbital analytics.
- A3: Yes, both single and multipass welding schedule programming are fully supported.
- A4: The Model 317 switching configuration provides 100% duty cycle at rated current.
- A5: Advanced analytics collect, store, and analyze weld data enabling continuous performance improvement.</t>
  </si>
  <si>
    <t>WC317</t>
  </si>
  <si>
    <t xml:space="preserve">M317CW COOLING UNIT TOP ASSY</t>
  </si>
  <si>
    <t>13C170124-01</t>
  </si>
  <si>
    <t xml:space="preserve">Model 317 water cooling unit with 600 BTU/hr capacity, digital interface, and stackable design.</t>
  </si>
  <si>
    <t xml:space="preserve">Advanced water cooling unit for Model 317 power supply</t>
  </si>
  <si>
    <t xml:space="preserve">Cooling Capacity</t>
  </si>
  <si>
    <t xml:space="preserve">600 BTU/hr cooling capacity</t>
  </si>
  <si>
    <t>Interface</t>
  </si>
  <si>
    <t xml:space="preserve">Digital interface with independent operation</t>
  </si>
  <si>
    <t>Connectivity</t>
  </si>
  <si>
    <t xml:space="preserve">Ethernet connection to Model 317 power supply</t>
  </si>
  <si>
    <t xml:space="preserve">The M317CW Advanced Water Cooling Unit provides integrated thermal management for high-duty-cycle orbital welding systems using the Model 317 power supply. Delivering 600 BTU/hr of cooling capacity, it maintains stable coolant temperatures during extended welding operations. The compact, stackable design allows the Model 317 power supply to mount directly on top, optimizing space in modern production environments. A digital interface supports independent operation and Ethernet connectivity for real-time coolant monitoring and fault reporting. Comprehensive sensing of coolant flow, level, and temperature enables automatic shutdown protection to prevent thermal-related system damage.</t>
  </si>
  <si>
    <t xml:space="preserve">Order Now</t>
  </si>
  <si>
    <t xml:space="preserve">Advanced Integrated Cooling Solution for Model 317</t>
  </si>
  <si>
    <t xml:space="preserve">Integrated Thermal Management: Efficient space utilization in modern production facilities demands compact integrated systems where cooling units stack directly on power supplies. The M317CW cooling unit achieves this integration.</t>
  </si>
  <si>
    <t xml:space="preserve">- 600 BTU/hr capacity
 - 2.5 gallon tank
 - Digital interface
 - Independent operation
 - Ethernet connection
 - Stackable design
 - Flow/level/temp monitoring</t>
  </si>
  <si>
    <t xml:space="preserve">- 100-230 VAC input
 - Maximum distance 100 ft
 - Stackable on supply
 - Independent or integrated
 - Professional monitoring
 - Reliable cooling
 - Long service life</t>
  </si>
  <si>
    <t xml:space="preserve">Integrate Model 317CW Cooling Unit</t>
  </si>
  <si>
    <t xml:space="preserve">Complete your Model 317 power supply with the integrated M317CW cooling unit, delivering 600 BTU/hr of dependable thermal management. Available through authorized Arc Machines distributors for purchase or rental. Request detailed specifications and integrated system pricing for your welding operation.</t>
  </si>
  <si>
    <t xml:space="preserve">- Q1: What is the cooling capacity of the M317CW?
- Q2: Can the M317CW stack on the power supply?
- Q3: What monitoring parameters does the M317CW include?
- Q4: How is the M317CW powered?
- Q5: What is the maximum hose length for operation?</t>
  </si>
  <si>
    <t xml:space="preserve">- A1: The M317CW provides 600 BTU/hr cooling capacity for extended high-duty cycle operations.
- A2: Yes, the stackable design allows the Model 317 power supply to mount directly on top.
- A3: The unit monitors coolant flow, level, and temperature with automatic fault detection.
- A4: The unit operates on 110–230 VAC single phase 50/60 Hz with independent operation capability.
- A5: Maximum hose length is 100 feet using AMI's ¼" tubing with 30 feet vertical lift capability.</t>
  </si>
  <si>
    <t>M415</t>
  </si>
  <si>
    <t xml:space="preserve">M415 POWER SUPPLY TOP ASSY</t>
  </si>
  <si>
    <t>13D150100-04</t>
  </si>
  <si>
    <t xml:space="preserve">Complete top assembly for Model 415 with control, power, and automation systems, plug-compatible for replacement.</t>
  </si>
  <si>
    <t xml:space="preserve">Top Assembly</t>
  </si>
  <si>
    <t xml:space="preserve">Top assembly for Model 415 power supply</t>
  </si>
  <si>
    <t xml:space="preserve">Components Included</t>
  </si>
  <si>
    <t xml:space="preserve">Includes all control and power generation components</t>
  </si>
  <si>
    <t>Replacement</t>
  </si>
  <si>
    <t xml:space="preserve">Direct plug-compatible replacement part</t>
  </si>
  <si>
    <t>Automation</t>
  </si>
  <si>
    <t xml:space="preserve">Integrated computer-controlled GTAW power source</t>
  </si>
  <si>
    <t xml:space="preserve">The Model 415 Power Supply Top Assembly is a fully integrated, computer-controlled GTAW power source designed for advanced orbital welding automation. It delivers precise welding output from 5 to 400 amperes with a 100% duty cycle, supporting demanding production environments. The assembly incorporates solid-state control electronics, pulsed current capability, automatic water cooling, and four standard closed-loop servo motor controls for synchronized motion and process accuracy. With memory for over 1,000 weld programs and comprehensive weld data acquisition, the Model 415 supports applications ranging from precision tube welding to heavy-duty pipe fabrication and is compatible with all AMI orbital and fixed automation weld heads.</t>
  </si>
  <si>
    <t xml:space="preserve">Get System Quote</t>
  </si>
  <si>
    <t xml:space="preserve">Advanced Computer-Controlled Orbital Welding Power Source</t>
  </si>
  <si>
    <t xml:space="preserve">Advanced Orbital Welding Automation: The most demanding production environments require maximum automation capability with complete control integration and data acquisition. The Model 415 delivers this advanced capability.</t>
  </si>
  <si>
    <t xml:space="preserve">- 5-400 A output
 - 100% duty cycle
 - Computer controlled
 - Integrated cooling
 - Multi-servo control
 - 1000+ programs
 - All heads compatible</t>
  </si>
  <si>
    <t xml:space="preserve">- 39" H x 26" W x 36" D
 - 700 lbs max weight
 - Semi-pneumatic wheels
 - Lifting eyes included
 - Touch-screen display
 - Integrated cooler
 - Advanced features</t>
  </si>
  <si>
    <t xml:space="preserve">Activate Model 415 Advanced Power Supply</t>
  </si>
  <si>
    <t xml:space="preserve">Transform your welding operations with the advanced Model 415 power supply, featuring complete automation and 400-ampere capability. Available for purchase and rental from authorized distributors worldwide. Contact us for comprehensive system quotes, technical support, and installation assistance.</t>
  </si>
  <si>
    <t xml:space="preserve">- Q1: What is the maximum power output of the Model 415?
- Q2: What cooling system is integrated?
- Q3: How many servo motors are standard?
- Q4: What are the dimensions?
- Q5: Is the Model 415 suitable for all weld head types?</t>
  </si>
  <si>
    <t xml:space="preserve">- A1: The Model 415 provides 5–400 amperes with 100% duty cycle capability.
- A2: The Model 415 includes an integrated water cooler with 2.5-gallon reservoir capacity.
- A3: Four standard closed-loop servo motors with optional additional servos available.
- A4: Basic power supply dimensions are 39" H × 26" W × 36" D with weight under 700 lbs.
- A5: Yes, the Model 415 is compatible with all AMI orbital and fixed automation weld heads.</t>
  </si>
  <si>
    <t>M4-500</t>
  </si>
  <si>
    <t xml:space="preserve">M4-500 WELD HEAD TOP ASSY BENCH TOP .50I</t>
  </si>
  <si>
    <t>13040100-01</t>
  </si>
  <si>
    <t xml:space="preserve">Weld Head Assembly</t>
  </si>
  <si>
    <t xml:space="preserve">Bench-top orbital weld head with water cooling, thermal protection, torque-limited clutch, and 0.093–0.500" tube range.</t>
  </si>
  <si>
    <t xml:space="preserve">Weld Head</t>
  </si>
  <si>
    <t xml:space="preserve">Fully integrated bench-top orbital tube weld head</t>
  </si>
  <si>
    <t>Cooling</t>
  </si>
  <si>
    <t xml:space="preserve">Water-cooled base unit for high duty cycle</t>
  </si>
  <si>
    <t xml:space="preserve">Thermal Protection</t>
  </si>
  <si>
    <t xml:space="preserve">Ceramic heat shields for thermal protection</t>
  </si>
  <si>
    <t xml:space="preserve">Drive-Train Protection</t>
  </si>
  <si>
    <t xml:space="preserve">Torque-limited clutch for drive-train protection</t>
  </si>
  <si>
    <t xml:space="preserve">The Model 4-500 Weld Head is a fully integrated bench-top orbital welding system designed for high-precision production of small components. Its stainless steel gear-drive system with ball bearings delivers smooth, repeatable rotation from 1.00 to 20.00 RPM, ensuring consistent weld quality. The water-cooled base unit and tooling support high duty cycle operation, while ceramic heat shields protect the housing during extended use. A torque-limited clutch safeguards the drive train from overload, enhancing long-term reliability. Compatible with all AMI power supplies, the Model 4-500 is ideal for semiconductor, aerospace, biopharmaceutical, and dairy applications.</t>
  </si>
  <si>
    <t xml:space="preserve">Start Production Today</t>
  </si>
  <si>
    <t xml:space="preserve">Integrated Bench-Top Orbital Weld Head System</t>
  </si>
  <si>
    <t xml:space="preserve">Precision Bench-Top Welding Systems: Small component production in semiconductor, aerospace, and biopharmaceutical industries demands precision welding equipment with high duty cycle capability. The Model 4-500 provides this specialized capability.</t>
  </si>
  <si>
    <t xml:space="preserve">- 1.00-20.00 RPM
 - Water-cooled base
 - Ceramic heat shields
 - Stainless steel drive
 - Torque-limited clutch
 - Ball bearing gears
 - All tooling options</t>
  </si>
  <si>
    <t xml:space="preserve">- 0.093-0.500" tubes
 - 75 A maximum
 - 12"x12" tooling plate
 - 20-foot cable
 - Water cooling system
 - High duty cycle
 - Industries specific</t>
  </si>
  <si>
    <t xml:space="preserve">Implement Bench-Top Orbital Welding</t>
  </si>
  <si>
    <t xml:space="preserve">Launch your precision bench-top welding operations with the Model 4-500 integrated weld head, engineered for semiconductor and aerospace applications. Available for purchase and rental from Arc Machines distributors. Discuss your small-component welding requirements for customized system recommendations and competitive pricing.</t>
  </si>
  <si>
    <t xml:space="preserve">- Q1: What tube size range does the Model 4-500 accommodate?
- Q2: What is the maximum weld current?
- Q3: What rotation speed range is available?
- Q4: How is the weld head cooled?
- Q5: What industries benefit from this weld head?</t>
  </si>
  <si>
    <t xml:space="preserve">- A1: The Model 4-500 accommodates tube sizes from 0.093" to 0.500" (2.4 to 12.7 mm) OD.
- A2: The Model 4-500 supports maximum weld current of 75 amperes.
- A3: Rotation speed ranges from 1.00 to 20.00 RPM for flexible operation.
- A4: Water-cooled base unit and tooling enable high duty cycle operation without thermal limitations.
- A5: Semiconductor, aerospace, biopharmaceutical, and dairy industries requiring high-integrity welded assemblies.</t>
  </si>
  <si>
    <t>M796625</t>
  </si>
  <si>
    <t xml:space="preserve">M79A-6625 WELD HEAD TOP ASSY</t>
  </si>
  <si>
    <t>13790100-02</t>
  </si>
  <si>
    <t xml:space="preserve">Model 79A pipe weld system with integral clamping, water-cooled 200A torch, and 2–6.625" OD capability.</t>
  </si>
  <si>
    <t xml:space="preserve">Model 79A</t>
  </si>
  <si>
    <t xml:space="preserve">Advanced Model 79A for large diameter applications</t>
  </si>
  <si>
    <t xml:space="preserve">Clamping System</t>
  </si>
  <si>
    <t xml:space="preserve">Premium integral clamping system</t>
  </si>
  <si>
    <t xml:space="preserve">Pipe Range</t>
  </si>
  <si>
    <t xml:space="preserve">2.00" to 6.625" OD pipe range</t>
  </si>
  <si>
    <t xml:space="preserve">Arc Control</t>
  </si>
  <si>
    <t xml:space="preserve">Enhanced arc control and oscillation capability</t>
  </si>
  <si>
    <t xml:space="preserve">The Model 79A-6625 Advanced Orbital Weld Head is a premium large-diameter welding solution designed for precision pipe welding from 2.00 to 6.625 inches OD with wall thicknesses up to 0.75 inches. It features an advanced integral clamping system for faster setup and improved automation, along with enhanced servo motor control for precise arc voltage management, synchronized wire feeding, and advanced oscillation patterns. The system offers rotation speeds from 0.05 to 2.5 RPM, lead and lag adjustment of ±12 degrees, and cross-seam adjustment up to ±0.375 inches. A 200-ampere water-cooled torch provides continuous-duty performance, making this weld head ideal for demanding large-diameter applications requiring superior control and reliability.</t>
  </si>
  <si>
    <t xml:space="preserve">Select Premium Solution</t>
  </si>
  <si>
    <t xml:space="preserve">Premium Large-Diameter Welding Head Solution</t>
  </si>
  <si>
    <t xml:space="preserve">Premium Large-Diameter Solution: Large diameter applications requiring advanced features and superior control precision benefit from the Model 79A-6625's enhanced capabilities. This represents premium large-diameter welding technology.</t>
  </si>
  <si>
    <t xml:space="preserve">- 2.00-6.625" OD range
 - 0.75" max wall
 - 0.05-2.5 RPM
 - Advanced servo control
 - Enhanced positioning
 - Premium design
 - Maximum diameter</t>
  </si>
  <si>
    <t xml:space="preserve">- Compatible with 415
 - Enhanced servo control
 - Advanced features
 - Superior precision
 - Production optimized
 - Premium solution
 - Industry leading</t>
  </si>
  <si>
    <t xml:space="preserve">Choose Model 79A-6625 Premium Solution</t>
  </si>
  <si>
    <t xml:space="preserve">Choose premium large-diameter welding with the Model 79A-6625, featuring cutting-edge servo control technology. Available for purchase from authorized distributors with comprehensive technical support. Discuss your advanced welding requirements and receive recommendations for maximum performance.</t>
  </si>
  <si>
    <t xml:space="preserve">- Q1: What is the maximum OD for the Model 79A-6625?
- Q2: What enhanced features distinguish the Model 79A-6625?
- Q3: What wall thickness can be accommodated?
- Q4: Is this suitable for exotic alloys?
- Q5: What makes this a premium solution?</t>
  </si>
  <si>
    <t xml:space="preserve">- A1: The Model 79A-6625 accommodates pipes up to 6.625 inches OD with advanced servo control.
- A2: Enhanced servo controls, +/-12° lead/lag adjustment, and 0.05–2.5 RPM rotation provide premium performance.
- A3: Maximum wall thickness is 0.75 inches for heavy-wall large-diameter applications.
- A4: Yes, fully compatible with Hastelloy, Inconel, Monel, and all TIG weldable materials.
- A5: Advanced servo control electronics combined with large-diameter capability create premium performance.</t>
  </si>
  <si>
    <t xml:space="preserve">The Model 79A-6625 Advanced Weld Head is a premium large-diameter orbital welding solution designed for precision pipe welding applications requiring superior control and advanced automation. It supports pipe outside diameters from 2.00 to 6.625 inches and accommodates wall thicknesses up to 0.75 inches, making it suitable for heavy-duty applications. The weld head features an advanced integral clamping system for faster setup and adjustment, along with enhanced servo control electronics that enable precise arc voltage management, synchronized wire feeding, and advanced oscillation patterns. Rotation speeds from 0.05 to 2.5 RPM provide flexibility across materials and joint designs, while lead and lag adjustment of ±12 degrees supports accurate torch positioning for complex geometries. A 200-ampere water-cooled torch delivers continuous-duty performance, and the lightweight design weighs approximately 24 lbs without cables.</t>
  </si>
  <si>
    <t>M81CTILT</t>
  </si>
  <si>
    <t xml:space="preserve">M81C TILT WELD HEAD TOP ASSY</t>
  </si>
  <si>
    <t>13810106-03</t>
  </si>
  <si>
    <t xml:space="preserve">Model 81 orbital weld head with AVC, motorized tilt, synchronized wire feed, and water-cooled 200A torch.</t>
  </si>
  <si>
    <t xml:space="preserve">Model 81</t>
  </si>
  <si>
    <t xml:space="preserve">Full function Model 81 with AVC (Arc Voltage Control)</t>
  </si>
  <si>
    <t xml:space="preserve">Torch Tilt</t>
  </si>
  <si>
    <t xml:space="preserve">Motorized torch tilt function for flange and socket welding</t>
  </si>
  <si>
    <t>Oscillation</t>
  </si>
  <si>
    <t xml:space="preserve">Servo-controlled torch oscillation and synchronized wire feed</t>
  </si>
  <si>
    <t xml:space="preserve">Water-cooled torch body rated for 200A at 100% duty cycle</t>
  </si>
  <si>
    <t xml:space="preserve">The M81C Tilt Weld Head Top Assembly delivers advanced orbital pipe welding automation for complex pipe geometries such as flanges, sockets, and branch connections. It features programmable servo-controlled arc voltage control combined with motorized torch tilt, allowing synchronized control of rotation, wire feed, torch oscillation, and arc voltage to produce consistent, high-quality welds. The system supports pipe outside diameters from 1.9 to 5.563 inches and includes a water-cooled 200-ampere DC torch rated for 100% duty cycle. Torch oscillation provides a 0.31-inch stroke, while wire feed speeds range from 1 to 100 IPM and travel speeds from 0.1 to 10 IPM. The torch tilt offers ±15 degrees of adjustment with manual offset capability, and rapid mount and dismount in approximately 30 seconds improves production efficiency. The assembly weighs approximately 6 lbs excluding cables.</t>
  </si>
  <si>
    <t xml:space="preserve">Advanced Tilt Weld Head for Complex Pipe Joint Applications</t>
  </si>
  <si>
    <t xml:space="preserve">Advanced Pipe Welding Automation: The M81C series incorporates cutting-edge servo control technology to automate critical welding parameters including arc voltage, torch oscillation, wire feed, and rotation speed, enabling consistent, defect-free welds on complex pipe geometries while minimizing operator error and maximizing production efficiency in demanding industrial environments.</t>
  </si>
  <si>
    <t xml:space="preserve">- Servo-controlled AVC for consistent arc length
- Motorized torch tilt for complex joint geometries
- Quick 30-second mount/dismount capability
- Water-cooled for extended duty cycles
- Synchronized wire feed control</t>
  </si>
  <si>
    <t xml:space="preserve">- Complete orbital automation
- Advanced torch steering
- Extended production efficiency
- Superior weld quality
- Application versatility</t>
  </si>
  <si>
    <t xml:space="preserve">Order Your M81C TILT Weld Head System</t>
  </si>
  <si>
    <t xml:space="preserve">The M81C TILT Weld Head Top Assembly represents the pinnacle of pipe welding automation technology. Available for purchase or extended rental through authorized Arc Machines distributors, this advanced system enables consistent, high-quality welds on complex pipe geometries in demanding industrial applications. Contact our sales team for detailed specifications, equipment demonstrations, and customized solutions for your orbital welding requirements.</t>
  </si>
  <si>
    <t xml:space="preserve">- Q1: What is the primary advantage of the M81C TILT weld head?
- Q2: What does AVC stand for and why is it important?
- Q3: How quickly can the M81C be mounted and dismounted?
- Q4: What is the torch amperage rating?
- Q5: What power supplies are compatible with the M81C?</t>
  </si>
  <si>
    <t xml:space="preserve">- A1: The motorized torch tilt functionality enables welding of complex pipe geometries including flanges, sockets, and branch connections that would be impossible with fixed-torch designs.
- A2: AVC stands for Arc Voltage Control, which automatically maintains consistent arc length during the welding process, resulting in superior weld quality and repeatability.
- A3: The unique clamping assembly enables mounting and dismounting in as little as 30 seconds, significantly improving production rates.
- A4: The M81C features a 200-ampere water-cooled torch rated for 100% duty cycle operation.
- A5: The M81C is compatible with Arc Machines Model 415 WDR and Model 227 power supplies, as well as other compatible systems.</t>
  </si>
  <si>
    <t>M81C</t>
  </si>
  <si>
    <t xml:space="preserve">M81C WELD HEAD TOP ASSY SGL ENTRY TORCH</t>
  </si>
  <si>
    <t>13810106-02</t>
  </si>
  <si>
    <t xml:space="preserve">Compact Model 81C weld head with single-entry torch, programmed AVC, onboard wire feeder, and 200A water-cooled torch.</t>
  </si>
  <si>
    <t xml:space="preserve">Model 81C</t>
  </si>
  <si>
    <t xml:space="preserve">Model 81C orbital weld head with single entry torch configuration</t>
  </si>
  <si>
    <t xml:space="preserve">Programmed arc voltage control with torch oscillation</t>
  </si>
  <si>
    <t xml:space="preserve">Wire Feeder</t>
  </si>
  <si>
    <t xml:space="preserve">Onboard wire feeder with synchronized pulsed operation</t>
  </si>
  <si>
    <t>Torch</t>
  </si>
  <si>
    <t xml:space="preserve">200A water-cooled torch with electronic steering</t>
  </si>
  <si>
    <t xml:space="preserve">The M81C Weld Head Top Assembly with Single Entry Torch configuration provides a compact and efficient orbital pipe welding solution for space-restricted environments. It incorporates Arc Machines’ full automation capabilities, including servo-controlled rotation, arc voltage control, torch oscillation, and synchronized wire feeding, while simplifying setup through a single-entry torch design. The assembly supports pipe outside diameters from 1.9 to 5.563 inches and features a water-cooled 200-ampere DC torch suitable for high-duty-cycle operation. Wire feed speeds range from 1 to 100 IPM, with travel speeds from 0.1 to 10 IPM and torch oscillation offering a 0.31-inch stroke. The compact design allows access through restricted spaces and is well suited for sequential pipe welding in industries such as shipbuilding, chemical processing, and nuclear power. The unit weighs approximately 6.5 lbs without cables.</t>
  </si>
  <si>
    <t xml:space="preserve">Get Quote</t>
  </si>
  <si>
    <t xml:space="preserve">Compact Model 81C Single-Entry Orbital Weld Head Assembly</t>
  </si>
  <si>
    <t xml:space="preserve">Compact Orbital Pipe Welding: The M81C single-entry configuration provides Arc Machines' complete automation suite within a streamlined, space-efficient package, optimizing weld quality while reducing equipment complexity and setup time, making it the preferred choice for sequential pipe welding operations in space-restricted applications.</t>
  </si>
  <si>
    <t xml:space="preserve">- Compact single-entry torch configuration
- Full Arc Machines automation features
- Water-cooled 200A torch system
- Reduced setup complexity
- Space-efficient for confined applications</t>
  </si>
  <si>
    <t xml:space="preserve">- Streamlined compact design
- Full automation capability
- Single entry simplicity
- Extended performance rating
- Professional-grade results</t>
  </si>
  <si>
    <t xml:space="preserve">Get Your M81C Single-Entry Weld Head Assembly</t>
  </si>
  <si>
    <t xml:space="preserve">The M81C WELD HEAD TOP ASSY SGL ENTRY TORCH provides comprehensive Arc Machines automation in a streamlined, space-efficient configuration. This advanced orbital weld head is available for purchase or rent from qualified distributors worldwide. Reach out to our technical specialists to discuss your specific application requirements, arrange a product demonstration, or request detailed technical documentation and specifications.</t>
  </si>
  <si>
    <t xml:space="preserve">- Q1: How does the single-entry torch configuration differ from multi-torch systems?
- Q2: What makes this weld head suitable for shipbuilding applications?
- Q3: What is the torch water-cooling capacity?
- Q4: Can this weld head handle exotic alloys?
- Q5: What accessories are available for this weld head?</t>
  </si>
  <si>
    <t xml:space="preserve">- A1: The single-entry design eliminates torch interference, streamlines setup procedures, and reduces equipment complexity while delivering Arc Machines' complete automation features.
- A2: The compact design, rapid setup, and complete arc control capabilities make it ideal for sequential pipe welding in space-restricted shipboard environments.
- A3: The torch is rated for 200 amperes at 100% duty cycle with integrated water cooling.
- A4: Yes, the weld head is compatible with all standard GTAW (TIG) weldable materials including stainless steel, carbon steel, and exotic alloys like Hastelloy and Inconel.
- A5: Various adapter kits, spool holders, vision systems, and fillet welding options are available.</t>
  </si>
  <si>
    <t>M82000OS</t>
  </si>
  <si>
    <t xml:space="preserve">M8-2000 WELD HEAD TOP ASSY</t>
  </si>
  <si>
    <t>13080108-01</t>
  </si>
  <si>
    <t xml:space="preserve">Compact narrow orbital weld head assembly designed for fusion TIG welding of 0.25″–2.00″ OD tube and thin‑wall pipe with precision clamping and optional water‑cooling</t>
  </si>
  <si>
    <t xml:space="preserve">Weld Head Function</t>
  </si>
  <si>
    <t xml:space="preserve">Closed fusion weld head top assembly for orbital welding, handling tube/fitting joints with reliable control</t>
  </si>
  <si>
    <t xml:space="preserve">Two‑sided precision machined clamping mechanism ensuring consistent concentric hold across diameter variances</t>
  </si>
  <si>
    <t xml:space="preserve">Cooling Capability</t>
  </si>
  <si>
    <t xml:space="preserve">Designed for use with water‑cooled systems to support heavy wall and high‑duty cycle welding</t>
  </si>
  <si>
    <t xml:space="preserve">Application Flexibility</t>
  </si>
  <si>
    <t xml:space="preserve">Suitable for fitting‑to‑fitting and limited clearance welds in fabrication, food, beverage, bio/pharma and other industries</t>
  </si>
  <si>
    <t xml:space="preserve">The M8‑2000 Weld Head is an orbital weld head (part of Arc Machines / AMI Model 8 series) designed for fusion (TIG/GTAW) welding of tubing, thin‑wall pipe and fittings in tight or limited‑clearance applications. The Model 8‑2000 supports tube/pipe outside diameters from 0.25″ to 2.00″ (6.3–52 mm) with a narrow head profile ideal for fitting‑to‑fitting welds. It features a precision two‑sided clamping mechanism for positive concentricity across diameter variances and is water‑cooling capable for heavy‑wall or high duty‑cycle welding when connected to a compatible cooling unit. Standard use is with AMI power supplies and it’s suitable for welding materials such as stainless steel, titanium, Hastelloy, and other autogenously weldable alloys in industries like food, dairy, beverage, pharmaceutical, and fabrication.</t>
  </si>
  <si>
    <t xml:space="preserve">Precision Orbital Weld Head Assembly for Model 8‑2000 (Tube/Pipe TIG Fusion Welding)</t>
  </si>
  <si>
    <t xml:space="preserve">Performance‑Driven Weld Head Assembly for Thin‑Wall Tubing — The Model 8‑2000 assembly is part of Arc Machines’ AMI narrow orbital weld head series designed for GTAW (TIG) fusion welding of thin‑wall pipe, tube and fittings. The narrow design enables welding in limited‑clearance applications while maintaining high concentricity and clamping precision. Water‑cooling capability supports extended duty cycles, and broad material compatibility (stainless, titanium, Hastelloy) makes it suited for sanitary, food &amp; beverage, pharmaceutical, and fabrication environments. </t>
  </si>
  <si>
    <t xml:space="preserve">Key Features &amp; Functionality:- Narrow orbital weld head for limited‑clearance use 
- Precision two‑side clamping for concentric alignment 
- Designed for TIG/GTAW fusion welding 
- Water‑cooling for high duty‑cycle performance 
- Compatible with all AMI power supplies </t>
  </si>
  <si>
    <t xml:space="preserve">Mechanical &amp; Physical Specs:- Tube/Pipe OD range: 0.25″ – 2.00″ (6.3 – 52 mm) 
- Head weight ~ 6 lbs (2.7 kg) 
- Narrow compact form factor for tight assemblies 
- Water‑cooled housing and cable attachments</t>
  </si>
  <si>
    <t xml:space="preserve">Precision Orbital Welding for Tight Spaces</t>
  </si>
  <si>
    <t xml:space="preserve">The M8‑2000 weld head top assembly is a precision orbital welding head for TIG/GTAW welding of tubing and thin‑wall pipe in tight clearance applications. It supports pipe outside diameters from 0.25″ to 2.00″ (6.35 mm–52 mm) and provides reliable, repeatable welds using a two‑sided clamping system with water‑cooling capability. Suitable for stainless steel, titanium, Hastelloy, and other weldable alloys, it is ideal for fitting‑to‑fitting and limited‑space welding in industries such as food, beverage, pharmaceutical, and fabrication. Contact authorized distributors for compatibility verification and support.</t>
  </si>
  <si>
    <t xml:space="preserve">- Q1: What is the M8‑2000 weld head top assembly used for?
- Q2: What materials can it weld?
- Q3: Does it require a specific power source or cooling?
- Q4: What are typical maintenance needs?
- Q5: Is the weld head top assembly sold separately?</t>
  </si>
  <si>
    <t xml:space="preserve">- A1: It is used for precision orbital TIG welding of tubing and thin‑wall pipe, especially in tight clearance and fitting‑to‑fitting applications.
- A2: It can weld stainless steel, titanium, Hastelloy, and other weldable alloys.
- A3: Yes, it is designed to work with compatible AMI/Arc Machines power sources and water cooling systems for reliable operation.
- A4: Regular maintenance includes inspecting clamps, checking water flow, cleaning components, and electrode care to ensure consistent weld quality.
- A5: Availability depends on the distributor; it may be sold separately or as part of a complete welding package.</t>
  </si>
  <si>
    <t>M82000</t>
  </si>
  <si>
    <t xml:space="preserve">The M8‑2000 Weld Head is an orbital weld head (part of Arc Machines / AMI Model 8 series) designed for fusion (TIG/GTAW) welding of tubing, thin‑wall pipe and fittings in tight or limited‑clearance applications. The Model 8‑2000 supports tube/pipe outside diameters from 0.25″ to 2.00″ (6.3–52 mm) with a narrow head profile ideal for fitting‑to‑fitting welds. It features a precision two‑sided clamping mechanism for positive concentricity across diameter variances and is water‑cooling capable for heavy‑wall or high duty‑cycle welding when connected to a compatible cooling unit. Standard use is with AMI power supplies and it’s suitable for welding materials such as stainless steel, titanium, Hastelloy, and other autogenously weldable alloys in industries like food, dairy, beverage, pharmaceutical, and fabrication.</t>
  </si>
  <si>
    <t>M84000</t>
  </si>
  <si>
    <t xml:space="preserve">M8-4000 WELD HEAD TOP ASSY</t>
  </si>
  <si>
    <t>13080100-01</t>
  </si>
  <si>
    <t xml:space="preserve">Narrow, water-cooled fusion weld head for 0.50–4.094" OD pipes with precision two-sided clamping.</t>
  </si>
  <si>
    <t xml:space="preserve">Closed fusion weld head for 0.50" - 4.094" (12.7-104mm) OD pipe range</t>
  </si>
  <si>
    <t xml:space="preserve">Clamping Mechanism</t>
  </si>
  <si>
    <t xml:space="preserve">Two-sided precision-machined clamping mechanism</t>
  </si>
  <si>
    <t xml:space="preserve">Diameter Flexibility</t>
  </si>
  <si>
    <t xml:space="preserve">Accommodates significant diameter variances with positive clamping force</t>
  </si>
  <si>
    <t xml:space="preserve">Water-cooled design for high-duty cycle welding</t>
  </si>
  <si>
    <t xml:space="preserve">The M8-4000 Weld Head Top Assembly extends the M8 series to intermediate tube diameters while preserving the narrow-profile design required for confined-space orbital welding applications. It supports tube and pipe outside diameters from 0.50 to 4.094 inches with wall thicknesses ranging from 0.025 to 0.160 inches. A precision-machined dual-sided clamping mechanism automatically compensates for diameter variation to maintain accurate concentric alignment and consistent weld quality. The compact 1.75-inch width allows access in restricted areas, while the robust construction supports the increased mechanical loads of larger diameters. Integrated water cooling enables sustained high-duty-cycle operation, and a wide range of interchangeable collets supports both metric and imperial tube sizes. The assembly weighs approximately 4.2 lbs without cables.</t>
  </si>
  <si>
    <t xml:space="preserve">Precision Closed Fusion Weld Head for Medium Diameter Tubes</t>
  </si>
  <si>
    <t xml:space="preserve">Intermediate-Diameter Precision Welding: The M8-4000 extends orbital welding capability to medium-diameter tubes while maintaining the narrow-profile design that makes the M8 series ideal for confined-space applications, ensuring consistent high-quality welds across diverse industrial applications from semiconductor manufacturing to food processing.</t>
  </si>
  <si>
    <t xml:space="preserve">- Two-sided precision clamping mechanism
- Accommodates significant diameter variance
- Narrow profile design for confined spaces
- Water-cooling capability
- Compatible with all AMI power sources</t>
  </si>
  <si>
    <t xml:space="preserve">- Precision concentricity control
- Smooth diameter operation
- Extended production duty
- Consistent weld quality
- Diverse application range</t>
  </si>
  <si>
    <t xml:space="preserve">Get Your M8-4000 Medium-Diameter Weld Head</t>
  </si>
  <si>
    <t xml:space="preserve">The M8-4000 Weld Head Top Assembly is ideal for medium-diameter tube welding applications. Available for purchase or rental from qualified Arc Machines distributors, this precision weld head has proven performance in diverse industrial applications. Reach out to discuss your specific application requirements, equipment specifications, and pricing.</t>
  </si>
  <si>
    <t xml:space="preserve">- Q1: What is the tube OD range for the M8-4000?
- Q2: What is the maximum wall thickness capability?
- Q3: How many collet sizes are available?
- Q4: Is water cooling recommended?
- Q5: What is the weight of this weld head assembly?</t>
  </si>
  <si>
    <t xml:space="preserve">- A1: The M8-4000 accommodates tubes from 0.50" to 4.094" (12.7–104 mm) OD.
- A2: The weld head is designed for wall thicknesses from 0.025" to 0.160" (0.635–4 mm).
- A3: A wide variety of collet and insert sizes are available to accommodate the full diameter range and diverse tube specifications.
- A4: Yes, water cooling is recommended for heavy wall tubes or high-duty cycle applications to maintain optimal performance.
- A5: The M8-4000 weighs approximately 4.2 lbs (1.9 kg) without cables.</t>
  </si>
  <si>
    <t>M86625</t>
  </si>
  <si>
    <t xml:space="preserve">M8-6625 WELD HEAD TOP ASSY</t>
  </si>
  <si>
    <t>13080119-01</t>
  </si>
  <si>
    <t xml:space="preserve">Water-cooled fusion weld head for 2–6.625" OD tubes with adjustable two-sided clamps and multiple inserts.</t>
  </si>
  <si>
    <t xml:space="preserve">Closed fusion weld head designed for 2.00" - 6.625" (51-159mm) OD tubes</t>
  </si>
  <si>
    <t xml:space="preserve">Two-sided clamping system with diameter variance compensation</t>
  </si>
  <si>
    <t xml:space="preserve">Water-cooling capability for improved duty cycles</t>
  </si>
  <si>
    <t>Applicability</t>
  </si>
  <si>
    <t xml:space="preserve">Wide applicability through multiple insert/collet sizes</t>
  </si>
  <si>
    <t xml:space="preserve">The M8-6625 Weld Head Top Assembly is the largest model in the narrow-profile M8 series, engineered for large-diameter tube and pipe welding in confined-space environments. It accommodates outside diameters from 2.00 to 6.625 inches with wall thicknesses between 0.025 and 0.160 inches. A precision-machined dual-sided clamping system applies positive force to ensure accurate concentric alignment of large components, which is critical for defect-free orbital welds. The narrow 1.75-inch profile allows access in restricted installations, while the robust construction manages the mechanical stresses of large-diameter welding. Integrated water cooling supports extended duty cycles, and a full range of metric and imperial collets is available. The weld head weighs approximately 5.1 lbs without cables.</t>
  </si>
  <si>
    <t xml:space="preserve">Advanced Closed Fusion Weld Head for Large Diameter Tube Applications</t>
  </si>
  <si>
    <t xml:space="preserve">Large-Diameter Industrial Tube Welding: The M8-6625 represents the maximum capability of the M8 series, engineered to handle substantial tube diameters while maintaining the precision-based dual-sided clamping and narrow-profile design that defines the M8 family's commitment to confined-space orbital welding excellence.</t>
  </si>
  <si>
    <t xml:space="preserve">- Two-sided concentricity mechanism
- Wide tube diameter accommodation
- Narrow profile for tight applications
- Water-cooling integration
- Multiple insert/collet sizes</t>
  </si>
  <si>
    <t xml:space="preserve">- Large diameter capability
- Robust mechanical design
- Extended operational duty cycles
- Consistent performance
- Exotic alloy compatibility</t>
  </si>
  <si>
    <t xml:space="preserve">Request M8-6625 Large-Diameter Weld Head Quote</t>
  </si>
  <si>
    <t xml:space="preserve">The M8-6625 Weld Head Top Assembly represents proven large-diameter tube welding technology. Available through authorized Arc Machines distributors for purchase or flexible rental arrangements, this advanced weld head is suitable for demanding industrial applications. Contact our team to discuss your requirements, technical specifications, and equipment solutions.</t>
  </si>
  <si>
    <t xml:space="preserve">- Q1: What is the maximum tube OD that the M8-6625 can accommodate?
- Q2: Why is this the largest M8 series weld head?
- Q3: Is this weld head suitable for stainless steel welding?
- Q4: What is the warranty on refurbished units?
- Q5: How many insert/collet options are available?</t>
  </si>
  <si>
    <t xml:space="preserve">- A1: The M8-6625 is designed for tubes ranging from 2.00" to 6.625" (51–159 mm) OD.
- A2: It represents the maximum diameter range that maintains the narrow-profile design philosophy of the M8 series while handling substantial pipe sizes.
- A3: Yes, the M8-6625 is fully compatible with stainless steel, carbon steel, and exotic alloys.
- A4: Refurbished M8-6625 units typically include a 6-month manufacturer warranty covering material defects.
- A5: Extensive precision-machined collet selections are available for both metric and imperial tube specifications.</t>
  </si>
  <si>
    <t>M91500</t>
  </si>
  <si>
    <t xml:space="preserve">M9-1500 WELD HEAD TOP ASSY</t>
  </si>
  <si>
    <t>13090040-01</t>
  </si>
  <si>
    <t xml:space="preserve">Water-cooled GTAW fusion weld head for 0.25–2.5" OD tubes with viewing window and two-sided clamping.</t>
  </si>
  <si>
    <t xml:space="preserve">Fusion GTAW weld head for 0.250" - 2.500" (6.3-38.1mm) OD tubes/pipes</t>
  </si>
  <si>
    <t xml:space="preserve">Two-sided clamping mechanism for concentric alignment</t>
  </si>
  <si>
    <t>Viewing</t>
  </si>
  <si>
    <t xml:space="preserve">Flip-up viewing window for fit-up verification</t>
  </si>
  <si>
    <t xml:space="preserve">Water-cooled design with increased duty cycle capability</t>
  </si>
  <si>
    <t xml:space="preserve">The M9-1500 Weld Head Top Assembly is a versatile mid-range fusion welding solution designed for tubes and fittings from 0.250 to 2.500 inches outside diameter with wall thicknesses from 0.01 to 0.16 inches. Its dual-sided clamping mechanism provides precise concentric alignment without the need for tack welding, improving efficiency and weld consistency. A flip-up viewing window allows operators to visually confirm fit-up before welding, reducing defects and rework. The assembly is plumbed for water cooling to support extended duty cycles and is fully compatible with all Arc Machines power supplies. Designed for GTAW fusion welding, the M9-1500 is widely used in pharmaceutical, semiconductor, and high-purity gas distribution applications and weighs approximately 3.8 lbs without cables.</t>
  </si>
  <si>
    <t xml:space="preserve">Compact Fusion Weld Head for Small-Medium Diameter Tube Welding</t>
  </si>
  <si>
    <t xml:space="preserve">Versatile Mid-Range Fusion Welding: The M9-1500 provides exceptional flexibility for intermediate-diameter tubes and fittings, combining the precision concentricity control of Arc Machines' dual-sided clamping technology with the convenience of a flip-up viewing window that enables real-time fit-up verification and quality monitoring.</t>
  </si>
  <si>
    <t xml:space="preserve">- Two-sided clamping for concentricity
- Flip-up viewing window
- Water-cooling capability
- Wide range of collet sizes
- Compatible with all AMI power supplies</t>
  </si>
  <si>
    <t xml:space="preserve">- Intermediate size versatility
- Real-time quality verification
- Extended production capability
- Zero tack-welding requirement
- Industry-standard reliability</t>
  </si>
  <si>
    <t xml:space="preserve">Order Your M9-1500 Fusion Weld Head System</t>
  </si>
  <si>
    <t xml:space="preserve">The M9-1500 Weld Head Top Assembly is ideal for small to intermediate-diameter tube welding. Available for purchase or rent from authorized Arc Machines distributors, this proven system delivers consistent results in pharmaceutical, semiconductor, and industrial applications. Contact us to discuss your specific application, receive technical documentation, and arrange equipment demonstrations.</t>
  </si>
  <si>
    <t xml:space="preserve">- Q1: What is the tube OD range for the M9-1500?
- Q2: What does the flip-up viewing window enable?
- Q3: Is this weld head water-cooled?
- Q4: Why is the two-sided clamping important?
- Q5: What industries use the M9-1500?</t>
  </si>
  <si>
    <t xml:space="preserve">- A1: The M9-1500 accommodates tubes from 0.250" to 2.500" (6.3–38.1 mm) OD.
- A2: The viewing window enables operators to verify component fit-up before welding initiation, reducing defect rates.
- A3: Yes, the M9-1500 includes water-cooling capability for extended duty-cycle applications.
- A4: The two-sided mechanism holds components perfectly aligned and concentric without requiring preliminary tack welding.
- A5: The weld head is standard in pharmaceutical, semiconductor, and high-purity gas distribution applications.</t>
  </si>
  <si>
    <t xml:space="preserve">The M9-1500 Weld Head Top Assembly is a versatile mid-range fusion welding solution designed for tubes and fittings ranging from 0.250 to 2.500 inches outside diameter with wall thicknesses from 0.01 to 0.16 inches. It features a dual-sided clamping mechanism that provides precise concentric alignment without the need for tack welding, improving weld quality and production efficiency. A flip-up viewing window allows real-time verification of component fit-up prior to welding, reducing defects and rework. The assembly is plumbed for water cooling to support extended duty cycles in high-production environments and is fully compatible with all Arc Machines power supplies. Designed for GTAW fusion welding, the M9-1500 is widely used in pharmaceutical, semiconductor, and high-purity gas distribution applications and weighs approximately 3.8 lbs without cables.</t>
  </si>
  <si>
    <t>M90250</t>
  </si>
  <si>
    <t xml:space="preserve">M9-250  WELD HEAD TOP ASSY</t>
  </si>
  <si>
    <t>13090005-01</t>
  </si>
  <si>
    <t xml:space="preserve">Mini fusion weld head for ≤1/4" OD tubes with latch clamp system and sight window for tight clearances.</t>
  </si>
  <si>
    <t xml:space="preserve">Mini Weld Head</t>
  </si>
  <si>
    <t xml:space="preserve">Precision mini weld head for tubes up to 1/4" (6.35mm) OD</t>
  </si>
  <si>
    <t>Application</t>
  </si>
  <si>
    <t xml:space="preserve">Designed for fusion butt welding of miniature fittings and valve bodies</t>
  </si>
  <si>
    <t xml:space="preserve">Visual sight window with two sets of hardened clamp plates</t>
  </si>
  <si>
    <t>Alignment</t>
  </si>
  <si>
    <t xml:space="preserve">Unique latch design for firm grip and concentric alignment</t>
  </si>
  <si>
    <t xml:space="preserve">The M9-250 Weld Head Top Assembly is an ultra-precision micro orbital welding solution engineered for miniature components with outside diameters from 0.093 to 0.250 inches and wall thicknesses from 0.01 to 0.05 inches. It features two sets of hardened clamp plates and a unique latch mechanism that provides a firm, consistent grip without deforming delicate tubing. An integrated visual sight window assists operators in achieving precise concentric alignment, even in applications with extremely limited radial clearance. Designed for GTAW fusion butt welding, this lightweight weld head is ideal for aerospace, medical device, and precision instrumentation applications and weighs approximately 1.2 lbs without cables.</t>
  </si>
  <si>
    <t xml:space="preserve">Ultra-Precision Mini Weld Head for Miniature Fittings and Components</t>
  </si>
  <si>
    <t xml:space="preserve">Ultra-Precision Miniature Welding: The M9-250 represents Arc Machines' specialized solution for welding miniature components with outer diameters up to 1/4", featuring unique design elements that ensure perfect alignment on delicate tubing while maintaining the precision required for aerospace, medical, and instrumentation applications.</t>
  </si>
  <si>
    <t xml:space="preserve">- Ultra-precision design for miniature tubes
- Visual sight window for fit-up
- Hardened clamp plate construction
- Unique latch design
- Ideal for tight radial clearance</t>
  </si>
  <si>
    <t xml:space="preserve">- Extreme precision capability
- Zero deformation approach
- Space-restricted access
- Consistent quality results
- Aerospace certification ready</t>
  </si>
  <si>
    <t xml:space="preserve">Get Your M9-250 Mini Weld Head Assembly</t>
  </si>
  <si>
    <t xml:space="preserve">The M9-250 Mini Weld Head Top Assembly is specifically designed for precision miniature component welding. Available through authorized Arc Machines distributors for purchase or custom configuration, this ultra-precision system is ideal for aerospace, medical, and instrumentation applications. Reach out to discuss your specific requirements, technical specifications, and availability.</t>
  </si>
  <si>
    <t xml:space="preserve">- Q1: What is the smallest tube OD this mini weld head can handle?
- Q2: What makes this weld head suitable for aerospace applications?
- Q3: How tight can the radial clearance be?
- Q4: What is the unique latch design feature?
- Q5: What are typical applications for this weld head?</t>
  </si>
  <si>
    <t xml:space="preserve">- A1: The M9-250 is specifically designed for tubes up to 1/4" (6.35 mm) OD, including miniature fittings and valve bodies.
- A2: The ultra-precision design with hardened clamp plates prevents tubing deformation while maintaining perfect concentricity on miniature components.
- A3: The M9-250 is engineered for extremely tight radial clearance limitations typical of aerospace and medical device assemblies.
- A4: The unique latch design provides a firm grip on miniature components while maintaining precise concentric alignment.
- A5: Primary applications include aerospace assemblies, medical device manufacturing, and precision instrumentation.</t>
  </si>
  <si>
    <t>M92500</t>
  </si>
  <si>
    <t xml:space="preserve">M9-2500 WELD HEAD TOP ASSY</t>
  </si>
  <si>
    <t>13090050-01</t>
  </si>
  <si>
    <t xml:space="preserve">Water-cooled fusion weld head for 0.75–2.5" OD tubes with flip-up window and replaceable clamps.</t>
  </si>
  <si>
    <t xml:space="preserve">Closed fusion weld head for 0.750" - 2.500" (19-63.5mm) OD tubes</t>
  </si>
  <si>
    <t xml:space="preserve">Two-sided clamping mechanism for precision alignment</t>
  </si>
  <si>
    <t xml:space="preserve">Flip-up viewing window for component fit-up verification</t>
  </si>
  <si>
    <t xml:space="preserve">Water-cooled capability for extended duty-cycle applications</t>
  </si>
  <si>
    <t xml:space="preserve">The M9-2500 Weld Head Top Assembly combines precision, reliability, and flexibility for standard tube and pipe applications spanning 0.750 to 2.500 inches outside diameter with wall thicknesses from 0.01 to 0.16 inches. A dual-sided clamping mechanism ensures consistent concentric alignment, while the integrated flip-up viewing window enables real-time fit-up verification and quality monitoring. The assembly is plumbed for water cooling to support extended duty cycles in demanding production environments. A wide selection of size-specific collets supports both metric and imperial tube sizes, making this weld head suitable for semiconductor, pharmaceutical, and industrial gas applications. The unit weighs approximately 4.0 lbs without cables.</t>
  </si>
  <si>
    <t xml:space="preserve">Request Quote</t>
  </si>
  <si>
    <t xml:space="preserve">Versatile Closed Fusion Weld Head for Standard Diameter Tubes</t>
  </si>
  <si>
    <t xml:space="preserve">Standard Diameter Versatility: The M9-2500 combines precision, reliability, and flexibility across the standard 3/4" through 2.5" OD range, incorporating dual-sided clamping with flip-up viewing window for complete operational control and real-time quality monitoring in demanding production environments.</t>
  </si>
  <si>
    <t xml:space="preserve">- Two-sided clamping mechanism
- Flip-up viewing window
- Water-cooling capability
- Size-specific replaceable clamps
- Excellent concentricity control</t>
  </si>
  <si>
    <t xml:space="preserve">- Mid-range diameter coverage
- Extended production duty
- Real-time fit-up viewing
- Metric and imperial compatibility
- Flexible application use</t>
  </si>
  <si>
    <t xml:space="preserve">Request Your M9-2500 Weld Head Quote Today</t>
  </si>
  <si>
    <t xml:space="preserve">The M9-2500 Weld Head Top Assembly delivers versatile fusion welding for standard-diameter tubes. Available from authorized Arc Machines distributors for purchase or rental, this proven weld head is suitable for diverse industrial applications. Contact our technical team for specifications, demonstrations, and customized solutions.</t>
  </si>
  <si>
    <t xml:space="preserve">- Q1: What is the tube diameter range for the M9-2500?
- Q2: What standard features does this weld head include?
- Q3: Why is the flip-up viewing window important?
- Q4: Are metric and imperial collets available?
- Q5: What is the typical lead time for new units?</t>
  </si>
  <si>
    <t xml:space="preserve">- A1: The M9-2500 accommodates tubes from 0.750" to 2.500" (19–63.5 mm) OD.
- A2: Standard features include two-sided clamping, flip-up viewing window, water-cooling capability, and compatibility with all AMI power supplies.
- A3: The window enables real-time fit-up verification and quality monitoring throughout the welding process.
- A4: Yes, the weld head accommodates both metric and imperial size-specific clamps.
- A5: New M9-2500 units are typically subject to stock availability and supplier lead times.</t>
  </si>
  <si>
    <t>M93500</t>
  </si>
  <si>
    <t xml:space="preserve">M9-3500 WELD HEAD TOP ASSY</t>
  </si>
  <si>
    <t>13090060-01</t>
  </si>
  <si>
    <t xml:space="preserve">Water-cooled fusion weld head for 1–3.5" OD tubes with two-sided clamps and viewing window for fit-up.</t>
  </si>
  <si>
    <t xml:space="preserve">Fusion weld head for 1.00" - 3.500" (25.4-88.9mm) OD tubes</t>
  </si>
  <si>
    <t xml:space="preserve">Two-sided clamping mechanism for precise alignment</t>
  </si>
  <si>
    <t xml:space="preserve">Water-cooled design for extended duty cycles</t>
  </si>
  <si>
    <t xml:space="preserve">The M9-3500 Weld Head Top Assembly is designed for large-diameter tube welding applications ranging from 1.00 to 3.500 inches outside diameter with wall thicknesses from 0.01 to 0.16 inches. It features a dual-sided clamping mechanism that maintains precise concentricity across varying diameters, ensuring consistent weld quality. A flip-up viewing window provides continuous visual access to the weld joint for real-time monitoring and adjustment. The assembly is plumbed for water cooling to enable extended duty cycles in high-production industrial environments and supports a wide variety of interchangeable collets for metric and imperial tube sizes. Designed for GTAW fusion welding, the weld head weighs approximately 4.5 lbs without cables.</t>
  </si>
  <si>
    <t xml:space="preserve">High-Performance Fusion Weld Head for Large Diameter Tubes</t>
  </si>
  <si>
    <t xml:space="preserve">Large-Diameter Precision Welding: The M9-3500 delivers robust performance for tubes spanning 1" through 3.5" OD, incorporating Arc Machines' proven dual-sided clamping technology with extensive collet options for optimal performance across diverse tube materials and industrial applications.</t>
  </si>
  <si>
    <t xml:space="preserve">- Two-sided clamping for large diameter
- Flip-up viewing window
- Water-cooling capability
- Broad collet selection
- Robust industrial construction</t>
  </si>
  <si>
    <t xml:space="preserve">- Large diameter precision
- Robust weld capability
- Extended duty-cycle operation
- Superior concentricity control
- Industrial application standard</t>
  </si>
  <si>
    <t xml:space="preserve">Get Your M9-3500 Weld Head for Large Tubes</t>
  </si>
  <si>
    <t xml:space="preserve">The M9-3500 Weld Head Top Assembly enables reliable large-diameter tube welding. Available for purchase or extended rental from authorized Arc Machines distributors, this proven system is suitable for demanding industrial applications. Contact us to discuss specifications, equipment demonstrations, and comprehensive technical support.</t>
  </si>
  <si>
    <t xml:space="preserve">- Q1: What is the maximum tube OD for the M9-3500?
- Q2: How does this weld head compare to the M9-1500?
- Q3: Is the flip-up viewing window standard on this model?
- Q4: What materials can be welded?
- Q5: What is the typical warranty coverage?</t>
  </si>
  <si>
    <t xml:space="preserve">- A1: The M9-3500 is designed for tubes ranging from 1.00" to 3.500" (25.4–88.9 mm) OD.
- A2: The M9-3500 extends capability to larger-diameter tubes while maintaining the same precision, dual-sided clamping, and water-cooled features.
- A3: Yes, the flip-up viewing window for fit-up verification is included on the M9-3500.
- A4: The weld head is compatible with stainless steel, carbon steel, and exotic alloys.
- A5: Used/serviced units typically include 4-month warranty coverage from Arc Machines.</t>
  </si>
  <si>
    <t xml:space="preserve">Water-cooled fusion weld head for 1–3.5" OD tubes with two-sided clamps and viewing window.</t>
  </si>
  <si>
    <t xml:space="preserve">The M9-3500 Weld Head Top Assembly is designed for large-diameter tube welding applications ranging from 1.00 to 3.500 inches outside diameter with wall thicknesses from 0.01 to 0.16 inches. It incorporates Arc Machines’ proven dual-sided clamping mechanism, which maintains precise concentricity across varying diameters to ensure consistent weld quality. A flip-up viewing window provides continuous visual access to the weld joint for real-time monitoring and adjustment. The assembly is plumbed for water cooling to support extended duty cycles in high-production industrial environments and supports a wide range of interchangeable collets for both metric and imperial tube sizes. Designed for GTAW fusion welding, the weld head weighs approximately 4.5 lbs without cables.</t>
  </si>
  <si>
    <t xml:space="preserve">- Q1: What is the M9-3500 Weld Head Top Assembly? 
- Q2: How does the M9-3500 Weld Head Top Assembly contribute to the welding process? 
- Q3: What pipe size range can the M9-3500 Weld Head accommodate? 
- Q4: What are the key features of the M9-3500 Weld Head? 
- Q5: Which industries commonly use the M9-3500 Weld Head?</t>
  </si>
  <si>
    <t xml:space="preserve">- A1: The M9-3500 Weld Head Top Assembly is an essential part of the orbital welding system, designed to hold and control the welding torch during pipe welding. 
- A2: It ensures stable and precise welding by providing consistent positioning of the welding torch, improving arc stability. 
- A3: The M9-3500 Weld Head is capable of handling pipes in the 1/8" to 3/4" (3.2–19.1 mm) diameter range, making it versatile for various applications. 
- A4: Key features include a durable construction, adjustable settings for precise control, and compatibility with different pipe sizes, ensuring a stable welding process. 
- A5: The M9-3500 Weld Head is commonly used in industries like aerospace, automotive, and general manufacturing where precision welding is required.</t>
  </si>
  <si>
    <t>M94500</t>
  </si>
  <si>
    <t xml:space="preserve">M9-4500 WELD HEAD TOP ASSY</t>
  </si>
  <si>
    <t>13090070-01</t>
  </si>
  <si>
    <t xml:space="preserve">Water-cooled fusion weld head for 1.5–4.5" OD tubes with two-sided clamps and multiple insert options.</t>
  </si>
  <si>
    <t xml:space="preserve">Closed fusion weld head for 1.500" - 4.500" (38.1-114.3mm) OD tubes</t>
  </si>
  <si>
    <t xml:space="preserve">Two-sided clamping system for diameter variance accommodation</t>
  </si>
  <si>
    <t xml:space="preserve">Water-cooling capability for high-production applications</t>
  </si>
  <si>
    <t xml:space="preserve">Flip-up viewing window for component verification</t>
  </si>
  <si>
    <t xml:space="preserve">The M9-4500 Weld Head Top Assembly is engineered for extra-large tube and pipe welding applications ranging from 1.500 to 4.500 inches outside diameter with wall thicknesses from 0.01 to 0.16 inches. A precision-engineered dual-sided clamping system manages the mechanical demands of large-diameter welding while maintaining consistent concentric alignment and weld quality. The integrated water-cooling capability supports sustained high-production operation by enabling extended duty cycles and stable thermal performance. A flip-up viewing window allows fit-up verification, and a wide range of available collets ensures compatibility with metric and imperial tube sizes. This weld head is widely used in petrochemical, power generation, and nuclear facility applications and weighs approximately 5.3 lbs without cables.</t>
  </si>
  <si>
    <t xml:space="preserve">Industrial-Grade Fusion Weld Head for Extra-Large Diameter Tubes</t>
  </si>
  <si>
    <t xml:space="preserve">Extra-Large Diameter Industrial Welding: The M9-4500 extends orbital welding capability to substantial pipe sizes while maintaining the precision, reliability, and water-cooled performance that enable sustained high-production operation in demanding petrochemical, power generation, and nuclear facilities.</t>
  </si>
  <si>
    <t xml:space="preserve">- Two-sided precision mechanism
- Heavy-duty construction
- Water-cooled design
- Extended duty-cycle capability
- Superior weld consistency</t>
  </si>
  <si>
    <t xml:space="preserve">- Extra-large diameter capacity
- Sustained performance operation
- High-production efficiency
- Consistent weld integrity
- Exotic alloy capability</t>
  </si>
  <si>
    <t xml:space="preserve">Request M9-4500 Extra-Large Diameter Weld Head</t>
  </si>
  <si>
    <t xml:space="preserve">The M9-4500 Weld Head Top Assembly represents advanced extra-large-diameter welding capability. Available through Arc Machines distributors for purchase or customized rental, this industrial-grade system is ideal for petrochemical, power generation, and nuclear applications. Contact our team for specifications and technical consultation.</t>
  </si>
  <si>
    <t xml:space="preserve">- Q1: What is the tube diameter range for the M9-4500?
- Q2: Why is water cooling important for this model?
- Q3: Is this weld head suitable for nuclear applications?
- Q4: What collet options are available?
- Q5: What industries use the M9-4500?</t>
  </si>
  <si>
    <t xml:space="preserve">- A1: The M9-4500 accommodates tubes from 1.500" to 4.500" (38.1–114.3 mm) OD.
- A2: Water cooling is essential for this larger model to enable extended duty cycles and consistent thermal management during high-production operation.
- A3: Yes, the robust construction and precision performance make it suitable for nuclear facility applications.
- A4: A wide range of precision-machined collets accommodate diverse tube specifications and materials.
- A5: Primary users include petrochemical facilities, power generation plants, and nuclear energy applications.</t>
  </si>
  <si>
    <t>M90500</t>
  </si>
  <si>
    <t xml:space="preserve">M9-500 WELD HEAD TOP ASSY</t>
  </si>
  <si>
    <t>13090010-01</t>
  </si>
  <si>
    <t xml:space="preserve">Air-cooled compact fusion weld head for 0.093–0.5" OD tubes with two-sided clamps and short stick-out capability.</t>
  </si>
  <si>
    <t xml:space="preserve">Compact fusion weld head for 0.093" - 0.500" (2.3-12.2mm) OD tubes</t>
  </si>
  <si>
    <t xml:space="preserve">Two-sided clamping mechanism for concentric component alignment</t>
  </si>
  <si>
    <t>Design</t>
  </si>
  <si>
    <t xml:space="preserve">Designed for components with stick-out as short as 0.25" (6.35mm)</t>
  </si>
  <si>
    <t xml:space="preserve">Air-cooled design suitable for standard duty cycle applications</t>
  </si>
  <si>
    <t xml:space="preserve">The M9-500 Weld Head Top Assembly is a compact, air-cooled fusion weld head designed for miniature tube applications ranging from 0.093 to 0.500 inches outside diameter with wall thicknesses from 0.01 to 0.05 inches. Its compact design supports stick-out lengths as short as 0.25 inches, enabling welding in severely confined spaces commonly found in aerospace and medical device assemblies. A dual-sided precision clamping mechanism ensures accurate alignment of delicate tubing, while interchangeable TCA cassette collets allow rapid size changes. The air-cooled design provides cost-effective performance for standard-duty applications while maintaining high welding precision. The assembly weighs approximately 2.5 lbs without cables.</t>
  </si>
  <si>
    <t xml:space="preserve">Compact Micro Weld Head for Precision Miniature Welding</t>
  </si>
  <si>
    <t xml:space="preserve">Miniature Precision Welding: The M9-500 provides compact air-cooled performance for delicate miniature tubes as small as 3/32" OD, featuring unique design elements that enable welding in severely confined spaces while maintaining the precision required for aerospace and medical device applications.</t>
  </si>
  <si>
    <t xml:space="preserve">- Compact air-cooled design
- Dual-sided clamping mechanism
- Short stick-out capability
- Multiple TCA cassette options
- Cost-effective operation</t>
  </si>
  <si>
    <t xml:space="preserve">- Miniature precision capability
- Cost-effective operation
- Confined geometry access
- Rapid component changeover
- Standard-duty performance</t>
  </si>
  <si>
    <t xml:space="preserve">Order M9-500 Compact Micro Weld Head</t>
  </si>
  <si>
    <t xml:space="preserve">The M9-500 Compact Micro Weld Head Top Assembly provides precision miniature welding capability. Available for purchase or rental from authorized Arc Machines distributors, this specialized weld head is essential for aerospace, medical device, and precision instrumentation manufacturers. Reach out to discuss your specific requirements and technical specifications.</t>
  </si>
  <si>
    <t>M90500C</t>
  </si>
  <si>
    <t xml:space="preserve">M9-500C WELD HEAD TOP ASSY</t>
  </si>
  <si>
    <t>13090007-01</t>
  </si>
  <si>
    <t xml:space="preserve">M9-500 water-cooled weld head for 0.093–0.5" OD tubes with quick-release clamp and full joint visibility.</t>
  </si>
  <si>
    <t>M9-500</t>
  </si>
  <si>
    <t xml:space="preserve">Water-cooled version of M9-500 weld head</t>
  </si>
  <si>
    <t xml:space="preserve">Designed for 0.093" - 0.500" (2.3-12.2mm) OD tubes</t>
  </si>
  <si>
    <t xml:space="preserve">Quick Release</t>
  </si>
  <si>
    <t xml:space="preserve">Quick Release Kit for remote clamp assembly loading</t>
  </si>
  <si>
    <t>Visibility</t>
  </si>
  <si>
    <t xml:space="preserve">360-degree joint visibility for weld quality monitoring</t>
  </si>
  <si>
    <t xml:space="preserve">The M9-500C Weld Head Top Assembly is the water-cooled, high-duty-cycle variant of the M9-500, designed for sustained miniature tube welding in high-production environments. It supports tube outside diameters from 0.093 to 0.500 inches with wall thicknesses from 0.01 to 0.05 inches. Integrated water cooling enables extended welding sequences without thermal degradation, while the dual-sided clamping mechanism with Quick Release Kit allows rapid clamp loading and changeover. The design provides 360-degree visibility of the weld joint, improving setup accuracy and production efficiency. Designed for GTAW fusion welding, this weld head is widely used in aerospace, medical, and semiconductor manufacturing and weighs approximately 2.7 lbs without cables.</t>
  </si>
  <si>
    <t xml:space="preserve">Water-Cooled Micro Weld Head for High-Duty-Cycle Miniature Applications</t>
  </si>
  <si>
    <t xml:space="preserve">High-Performance Miniature Welding: The M9-500C water-cooled variant extends the M9-500's capabilities to high-duty-cycle applications, incorporating a Quick Release Kit for rapid changeover and 360-degree visibility that significantly improves production efficiency in high-volume miniature assembly manufacturing.</t>
  </si>
  <si>
    <t xml:space="preserve">- Water-cooled variant with thermal control
- Quick Release Kit included
- 360-degree weld joint visibility
- Remote clamp loading capability
- High-duty-cycle performance</t>
  </si>
  <si>
    <t xml:space="preserve">- High-production thermal control
- Rapid changeover capability
- Maximum visibility design
- Extended welding sequences
- Superior thermal management</t>
  </si>
  <si>
    <t xml:space="preserve">Get Your M9-500C Water-Cooled Micro Weld Head</t>
  </si>
  <si>
    <t xml:space="preserve">The M9-500C Water-Cooled Micro Weld Head Top Assembly enables high-duty-cycle miniature welding. Available through authorized Arc Machines distributors for purchase or flexible rental, this advanced system is ideal for high-volume miniature assembly production. Contact our technical team for specifications and demonstrations.</t>
  </si>
  <si>
    <t xml:space="preserve">- Q1: What is the minimum tube OD this air-cooled weld head can handle?
- Q2: What does stick-out mean and why is it important?
- Q3: What are TCA cassettes?
- Q4: Is this weld head water-cooled?
- Q5: What is the primary application for this weld head?</t>
  </si>
  <si>
    <t xml:space="preserve">- A1: The M9-500 can weld tubes as small as 3/32" (2.3 mm) OD.
- A2: Stick-out is the component length protruding from the weld head; the M9-500 accommodates stick-out as short as 0.25" (6.35 mm) for confined geometries.
- A3: TCA (Tube Clamping Assemblies) cassettes are interchangeable clamping modules for rapid component size changeover.
- A4: No, the M9-500 is air-cooled for cost-effective operation in standard-duty applications.
- A5: The M9-500 is ideal for aerospace and medical device manufacturing requiring precision miniature welding.</t>
  </si>
  <si>
    <t>M96</t>
  </si>
  <si>
    <t xml:space="preserve">M96 WELD HEAD TOP ASSY TUBESHEET</t>
  </si>
  <si>
    <t>13960100-01</t>
  </si>
  <si>
    <t xml:space="preserve">Weld Head Assembly | Tubesheet Welding</t>
  </si>
  <si>
    <t xml:space="preserve">Automated water-cooled tube-to-tubesheet weld head with pulsed-current welding and quick pneumatic mount.</t>
  </si>
  <si>
    <t>Tube-to-Tubesheet</t>
  </si>
  <si>
    <t xml:space="preserve">Automated tube-to-tubesheet weld head for 0.375" - 2.0" ID (9.5-50.8mm) tubes</t>
  </si>
  <si>
    <t>Rotation</t>
  </si>
  <si>
    <t xml:space="preserve">Servo-controlled rotation with pulsed-current welding capability</t>
  </si>
  <si>
    <t>Operation</t>
  </si>
  <si>
    <t xml:space="preserve">One-button operation with pneumatic mandrel for quick mount/dismount</t>
  </si>
  <si>
    <t xml:space="preserve">Purge Chamber</t>
  </si>
  <si>
    <t xml:space="preserve">Completely enclosed purge chamber for superior gas shielding</t>
  </si>
  <si>
    <t xml:space="preserve">The M96 Weld Head Top Assembly is a specialized orbital welding solution designed for automated tube-to-tubesheet welding in high-speed, high-production heat exchanger manufacturing environments. It supports tube inner diameters from 0.375 to 2.0 inches and tube outer diameters up to 2.0 inches. Servo-controlled rotation combined with synchronized pulsed-current welding enables consistent autogenous welds, while a pneumatic one-button mandrel allows rapid mounting and dismounting to maximize production efficiency. A fully enclosed purge chamber, available in transparent or opaque configurations, provides superior inert gas coverage for oxidation-sensitive materials such as titanium and high-nickel alloys. The water-cooled design supports sustained operation during continuous production runs, and the assembly weighs approximately 7 lbs without cables.</t>
  </si>
  <si>
    <t xml:space="preserve">Automated Tube-to-Tubesheet Weld Head for Heat Exchanger Applications</t>
  </si>
  <si>
    <t xml:space="preserve">Automated Tube-to-Tubesheet Welding: The M96 represents Arc Machines' specialized solution for high-speed, high-production tube-to-tubesheet welding in heat exchanger manufacturing, featuring pneumatic mandrel operation, enclosed purge chamber, and servo-controlled rotation for consistent autogenous welds.</t>
  </si>
  <si>
    <t xml:space="preserve">- Servo-controlled rotation
- Pneumatic mandrel operation
- Enclosed purge chamber
- One-button quick mount/dismount
- Water-cooled construction</t>
  </si>
  <si>
    <t xml:space="preserve">- Automated operation capability
- High-speed production
- Superior oxidation control
- Extended production operation
- Heat exchanger specialization</t>
  </si>
  <si>
    <t xml:space="preserve">Request M96 Tube-to-Tubesheet Weld Head Quote</t>
  </si>
  <si>
    <t xml:space="preserve">The M96 Tube-to-Tubesheet Weld Head Top Assembly enables automated high-production heat exchanger manufacturing. Available through authorized Arc Machines distributors for purchase or customized rental, this specialized system delivers consistent, high-quality tube-to-tubesheet welds. Contact our technical team for demonstrations and technical specifications.</t>
  </si>
  <si>
    <t xml:space="preserve">- Q1: What is the primary advantage of the water-cooled M9-500C?
- Q2: What is the Quick Release Kit?
- Q3: What tube size range does the M9-500C cover?
- Q4: How does 360-degree visibility improve production?
- Q5: What industries benefit most from this weld head?</t>
  </si>
  <si>
    <t xml:space="preserve">- A1: Water cooling enables extended high-duty-cycle operation on miniature components without thermal degradation.
- A2: The Quick Release Kit enables remote loading of clamp assemblies and provides 360-degree visibility of the weld joint.
- A3: Like the M9-500, it accommodates tubes from 3/32" (2.3 mm) through 1/2" (12.2 mm) OD.
- A4: Complete joint visibility enables optimal quality monitoring and streamlines operator interaction with the weld head.
- A5: High-volume manufacturers in aerospace, medical, and semiconductor industries benefit from the extended duty-cycle capability.</t>
  </si>
  <si>
    <t xml:space="preserve">- Q1: What is the tube-to-tubesheet weld head used for?
- Q2: What is the tube ID range?
- Q3: What does the enclosed purge chamber do?
- Q4: What is the maximum weld current?
- Q5: Can the M96 weld in multiple positions?</t>
  </si>
  <si>
    <t xml:space="preserve">- A1: The M96 is specifically designed for high-speed, high-production welding of tubes to tubesheets in heat exchanger manufacturing.
- A2: The M96 accommodates tubes with inner diameters from 0.375" to 2.0" (9.525–50.8 mm).
- A3: The enclosed chamber provides superior inert gas coverage for materials prone to oxidation such as titanium and nickel alloys.
- A4: The M96 features a maximum weld current of 150 amperes DC.
- A5: Yes, the design enables welding in any position, including overhead applications.</t>
  </si>
  <si>
    <t>M9750</t>
  </si>
  <si>
    <t xml:space="preserve">M9-750 WELD HEAD TOP ASSY</t>
  </si>
  <si>
    <t>13090020-06</t>
  </si>
  <si>
    <t xml:space="preserve">Ultra-low-profile fusion weld head for 0.093–0.75" OD tubes with two-sided clamps and flip-up window.</t>
  </si>
  <si>
    <t xml:space="preserve">Low Profile Weld Head</t>
  </si>
  <si>
    <t xml:space="preserve">Fusion weld head for 0.093" - 0.750" (2.3-19mm) OD tubes</t>
  </si>
  <si>
    <t xml:space="preserve">Ultra-low profile design for extremely confined welding areas</t>
  </si>
  <si>
    <t xml:space="preserve">Two-sided clamping mechanism for concentricity compensation</t>
  </si>
  <si>
    <t xml:space="preserve">The M9-750 Weld Head Top Assembly is an ultra-low-profile fusion weld head designed for applications with extreme space constraints while welding miniature tubes from 0.093 to 0.750 inches outside diameter with wall thicknesses from 0.01 to 0.05 inches. Its innovative design reduces profile height to approximately 1.5 inches above the weld joint, enabling access in severely restricted vertical spaces. A dual-sided ultra-low-profile clamping mechanism ensures precise concentric alignment, while a flip-up viewing window allows full visibility for fit-up verification. Optional water-cooling capability supports increased duty cycles, and the weld head is designed for GTAW fusion welding. The assembly weighs approximately 2.2 lbs without cables.</t>
  </si>
  <si>
    <t xml:space="preserve">Ultra-Compact Low-Profile Fusion Weld Head for Confined Spaces</t>
  </si>
  <si>
    <t xml:space="preserve">Extreme Space-Constraint Welding: The M9-750 provides specialized ultra-low-profile performance for applications requiring access to exceptionally confined spaces while welding miniature tubes from 3/32" through 3/4" OD with exceptional precision and concentricity.</t>
  </si>
  <si>
    <t xml:space="preserve">- Ultra-low profile design
- Dual-sided clamping mechanism
- Flip-up viewing window
- Confined space capability
- Specialized geometry access</t>
  </si>
  <si>
    <t xml:space="preserve">- Extreme spatial constraint access
- Miniature component precision
- Vertical space minimization
- Quality consistency
- Specialized application leader</t>
  </si>
  <si>
    <t xml:space="preserve">Order Your M9-750 Ultra-Low-Profile Weld Head</t>
  </si>
  <si>
    <t xml:space="preserve">The M9-750 Ultra-Low-Profile Weld Head Top Assembly specializes in confined-space precision welding. Available for purchase or rental from authorized distributors, this specialized weld head is essential for aerospace and space-restricted applications. Reach out to discuss your specific requirements and technical specifications.</t>
  </si>
  <si>
    <t xml:space="preserve">- Q1: What makes the M9-750 special?
- Q2: What is the tube OD range?
- Q3: How does low profile enable confined space access?
- Q4: Is the flip-up viewing window included?
- Q5: What industries use the M9-750?</t>
  </si>
  <si>
    <t xml:space="preserve">- A1: The ultra-low-profile design (approximately 1.5" height) enables welding in exceptionally confined spaces that would be inaccessible to standard weld heads.
- A2: The M9-750 accommodates tubes from 3/32" (2.3 mm) through 3/4" (19 mm) OD.
- A3: The minimized height above the weld joint enables operation in applications with severe vertical space constraints.
- A4: Yes, the flip-up viewing window provides full visibility for fit-up verification in confined areas.
- A5: Primary users include aerospace assembly, precision instrumentation, and space-restricted manufacturing environments.</t>
  </si>
  <si>
    <t>M97500</t>
  </si>
  <si>
    <t xml:space="preserve">M9-7500 WELD HEAD TOP ASSY</t>
  </si>
  <si>
    <t>13090080-01</t>
  </si>
  <si>
    <t xml:space="preserve">Water-cooled large-diameter fusion weld head for 2.875–7.5" OD tubes with two-sided clamps and viewing window.</t>
  </si>
  <si>
    <t xml:space="preserve">Large-Diameter Weld Head</t>
  </si>
  <si>
    <t xml:space="preserve">Large-diameter fusion weld head for 2.875" - 7.500" (73-190.5mm) OD tubes</t>
  </si>
  <si>
    <t xml:space="preserve">Two-sided clamping system for large tube diameter accommodation</t>
  </si>
  <si>
    <t xml:space="preserve">Water-cooled design for extended duty-cycle operations</t>
  </si>
  <si>
    <t xml:space="preserve">The M9-7500 Weld Head Top Assembly represents the maximum diameter capability within the Arc Machines fusion weld head lineup, engineered for large tube and pipe applications ranging from 2.875 to 7.500 inches outside diameter with wall thicknesses from 0.01 to 0.16 inches. A precision-engineered dual-sided clamping mechanism manages the mechanical demands of large-diameter welding while maintaining exceptional concentricity and weld quality. Integrated water cooling supports extended duty cycles required for sustained high-production operation. A broad selection of available collets accommodates both metric and imperial tube sizes and diverse material compositions, including stainless steel and high-temperature alloys. Designed for GTAW fusion welding, the assembly weighs approximately 6.8 lbs without cables.</t>
  </si>
  <si>
    <t xml:space="preserve">Industrial Large-Diameter Fusion Weld Head for Maximum Pipe Sizes</t>
  </si>
  <si>
    <t xml:space="preserve">Maximum-Diameter Industrial Welding: The M9-7500 represents the pinnacle of orbital weld head diameter capability, engineered for substantial tubes up to 7.5" OD with precision dual-sided clamping and water-cooled performance for sustained high-production operation in demanding industrial environments.</t>
  </si>
  <si>
    <t xml:space="preserve">- Large diameter weld head
- Dual-sided precision clamping
- Water-cooled design
- Extended duty-cycle capability
- Comprehensive collet selection</t>
  </si>
  <si>
    <t xml:space="preserve">- Maximum pipe diameter range
- Sustained production operation
- Superior material compatibility
- Extended performance capability
- Industrial scale production</t>
  </si>
  <si>
    <t xml:space="preserve">Get Your M9-7500 Maximum-Diameter Weld Head System</t>
  </si>
  <si>
    <t xml:space="preserve">The M9-7500 Maximum-Diameter Weld Head Top Assembly represents ultimate large-diameter welding capability. Available through Arc Machines distributors for purchase or extended rental, this industrial-grade system is ideal for major manufacturing facilities requiring maximum diameter capacity. Contact our team for specifications and technical consultation.</t>
  </si>
  <si>
    <t xml:space="preserve">- Q1: What is the maximum tube OD the M9-7500 can weld?
- Q2: Why is water cooling important for large-diameter welding?
- Q3: What exotic materials can be welded?
- Q4: Is the flip-up viewing window standard?
- Q5: What is the warranty on new units?</t>
  </si>
  <si>
    <t xml:space="preserve">- A1: The M9-7500 accommodates tubes up to 7.5" (190.5 mm) OD, representing the maximum orbital weld head diameter capability.
- A2: Water cooling enables sustained operation during extended production runs on large-diameter components without thermal degradation.
- A3: The weld head is compatible with stainless steel, duplex alloys, and exotic high-temperature materials.
- A4: Yes, the integrated flip-up window enables fit-up verification for large-diameter components.
- A5: New M9-7500 units typically include 12-month manufacturer warranty coverage.</t>
  </si>
  <si>
    <t xml:space="preserve">The M9-7500 Weld Head Top Assembly represents the pinnacle of orbital fusion welding capability for large-diameter tubes and pipes, engineered for demanding industrial applications requiring sustained high-production performance. It accommodates tube and pipe outside diameters ranging from 2.875 to 7.500 inches with wall thicknesses from 0.01 to 0.16 inches. A precision-engineered dual-sided large-diameter clamping mechanism manages the mechanical demands of substantial components while maintaining exceptional concentricity and weld quality. The integrated water-cooling system supports extended duty cycles essential for continuous operation, and a flip-up viewing window enables visual verification of component fit-up. A comprehensive range of available collets supports both metric and imperial specifications across diverse materials including stainless steel, duplex alloys, and exotic high-temperature alloys. Designed for GTAW fusion welding, the assembly weighs approximately 6.8 lbs without cables.</t>
  </si>
  <si>
    <t>M9E2500</t>
  </si>
  <si>
    <t xml:space="preserve">M9E-2500 WELD HEAD TOP ASSY</t>
  </si>
  <si>
    <t>13090050-02</t>
  </si>
  <si>
    <t xml:space="preserve">Water-cooled single-sided clamp weld head for 1–2.5" OD tubes with offset electrode for tight access.</t>
  </si>
  <si>
    <t xml:space="preserve">Single-Sided Clamp</t>
  </si>
  <si>
    <t xml:space="preserve">Single-sided clamp design for components with limited stick-out</t>
  </si>
  <si>
    <t xml:space="preserve">Electrode Positioning</t>
  </si>
  <si>
    <t xml:space="preserve">Offset electrode positioning for improved weld accessibility</t>
  </si>
  <si>
    <t xml:space="preserve">Tube Range</t>
  </si>
  <si>
    <t xml:space="preserve">1.0" - 2.5" (25.4 mm - 63.5 mm) OD tube range</t>
  </si>
  <si>
    <t xml:space="preserve">Water-cooled cables and internal components</t>
  </si>
  <si>
    <t xml:space="preserve">The M9E-2500 Weld Head Top Assembly is the mid-size member of the Model 9E series, specifically engineered to solve short stick-out welding challenges where components do not provide sufficient straight length for traditional double-sided clamping. It supports tube outside diameters from 1.0 to 2.5 inches with wall thicknesses ranging from 0.01 to 0.16 inches. The single-sided clamp design with offset electrode positioning provides exceptional flexibility for welding short-length tubing, pipe fittings, and ferrule assemblies. An integral 28V DC drive motor delivers rotation speeds up to 9.9 RPM, while pulsed welding currents up to 200 amps support high-quality GTAW fusion welds. The water-cooled cable design enables reliable performance during continuous production, and the offset electrode geometry improves weld pool visibility and access to difficult joints. The weld head accommodates 1/16-inch or 3/32-inch electrodes, includes a standard 25-foot cable, and weighs approximately 7 to 8 lbs without cables.</t>
  </si>
  <si>
    <t xml:space="preserve">Learn More &amp; Get Pricing</t>
  </si>
  <si>
    <t xml:space="preserve">Single-Sided Clamping Solution for Restricted Access Applications</t>
  </si>
  <si>
    <t xml:space="preserve">Solving Short Stick-Out Challenges: The M9E-2500 enables precision welding of components with minimal straight length, critical for high-purity and aerospace applications where component design constrains traditional clamping approaches.</t>
  </si>
  <si>
    <t xml:space="preserve">- Single-sided clamping design
- Offset electrode positioning
- 1.0" - 2.5" OD range
- Water-cooled cables
- Optimized for short stick-out</t>
  </si>
  <si>
    <t xml:space="preserve">- 200A pulsed current capability
- 9.9 RPM rotation speed
- Flexible electrode sizes
- Gas seal for inert atmosphere
- Universal AMI compatibility</t>
  </si>
  <si>
    <t xml:space="preserve">Upgrade to M9E-2500 Single-Sided Clamping</t>
  </si>
  <si>
    <t xml:space="preserve">The M9E-2500 WELD HEAD TOP ASSY is the ideal solution for manufacturers facing short stick-out constraints in their welding applications. Available from authorized Arc Machines distributors, this weld head enables precision welding of components previously considered difficult or impossible. Contact our technical team to discuss how the M9E-2500 can expand your orbital welding capabilities and improve production efficiency.</t>
  </si>
  <si>
    <t xml:space="preserve">- Q1: What advantage does the single-sided clamp provide?
- Q2: Can the M9E-2500 be used for micro-fitting applications?
- Q3: What is the maximum pulsed current?
- Q4: Is gas sealing available?
- Q5: What is the OD range for this weld head?</t>
  </si>
  <si>
    <t xml:space="preserve">- A1: Single-sided clamping accommodates components with short stick-out that traditional double clamps cannot hold.
- A2: Yes, the offset electrode design is specifically optimized for welding small fittings and ferrules.
- A3: The M9E-2500 delivers up to 200A in pulsed mode for enhanced penetration on thicker walls.
- A4: Yes, a gas seal is integrated for improved inert gas coverage and reduced oxidation.
- A5: The M9E-2500 accommodates tubes from 1.0" to 2.5" (25.4 mm to 63.5 mm) OD.</t>
  </si>
  <si>
    <t>CM122</t>
  </si>
  <si>
    <t xml:space="preserve">AXXAIR ORBITAL SAW CC122  .25"- 4.5"</t>
  </si>
  <si>
    <t>CC122</t>
  </si>
  <si>
    <t>AXXAIR</t>
  </si>
  <si>
    <t xml:space="preserve">Orbital Saw | Pipe Cutting Equipment</t>
  </si>
  <si>
    <t xml:space="preserve">Versatile orbital cutting machine with concentric clamping, dual-output motor, and precision perpendicular cutting.</t>
  </si>
  <si>
    <t>Clamping</t>
  </si>
  <si>
    <t xml:space="preserve">Concentric Clamping - no tube distortion</t>
  </si>
  <si>
    <t xml:space="preserve">Blade Distance</t>
  </si>
  <si>
    <t xml:space="preserve">Optimised blade to jaws distance (2 - 16 mm)</t>
  </si>
  <si>
    <t xml:space="preserve">Cutting Precision</t>
  </si>
  <si>
    <t xml:space="preserve">Perpendicular cut &lt;0.009"</t>
  </si>
  <si>
    <t>Versatility</t>
  </si>
  <si>
    <t xml:space="preserve">May be transformed into a bevelling and orbital welding machine</t>
  </si>
  <si>
    <t xml:space="preserve">The AXXAIR CC122 Orbital Saw is a high-precision industrial tube cutting solution designed to deliver clean, burr-free, and deformation-free cuts, making it ideal for stainless steel and high-purity tube processing applications. It supports tube diameters from 5 mm to 119 mm, with standard jaws covering 1.0 to 4.5 inches and additional jaws accommodating diameters from 0.25 to 4.25 inches. The evolutive modular design allows the CC122 to be transformed into bevelling or orbital welding machines, providing exceptional scalability for industrial fabrication environments. A dual-output motor with two blade positions enhances cutting flexibility, while perpendicular cut accuracy is maintained to less than 0.25 mm. The machine operates with vibration levels below 2.5 m/s² to improve operator comfort and control. The CC122 has a total weight of approximately 44 kg (97 lbs).</t>
  </si>
  <si>
    <t xml:space="preserve">Robust orbital saw for precise tube cutting</t>
  </si>
  <si>
    <t xml:space="preserve">Why use AXXAIR CC122? This orbital saw offers clean, burr-free cuts with scalability for bevelling and welding, perfect for industrial tube processing.</t>
  </si>
  <si>
    <t xml:space="preserve">- Concentric clamping. 
- High precision cuts. 
- Easy handling.</t>
  </si>
  <si>
    <t xml:space="preserve">- Transformable design. 
- Dual motor positions. 
- Low distortion.</t>
  </si>
  <si>
    <t xml:space="preserve">Request Quote for AXXAIR CC122 Orbital Saw</t>
  </si>
  <si>
    <t xml:space="preserve">Cut precisely with the AXXAIR Orbital Saw CC122, supporting .25"-4.5" pipe diameters. Contact our team for pricing, rental, or purchase options.</t>
  </si>
  <si>
    <t xml:space="preserve">- Q1: What is the diameter range?
- Q2: Is it available for rent?
- Q3: What is the cutting precision?
- Q4: Can it be transformed?
- Q5: What is the weight?</t>
  </si>
  <si>
    <t xml:space="preserve">- A1: Ã¸5 - Ã¸119mm.
- A2: Yes.
- A3: &lt; 0.25 mm perpendicular.
- A4: Yes, into bevelling or welding machine.
- A5: 44 kg.</t>
  </si>
  <si>
    <t>SCOOL700</t>
  </si>
  <si>
    <t xml:space="preserve">COOLING UNIT FOR SAXX-200/201</t>
  </si>
  <si>
    <t>SCOOL-700</t>
  </si>
  <si>
    <t xml:space="preserve">Cooling Unit | Pipe Cutting Equipment</t>
  </si>
  <si>
    <t xml:space="preserve">SCOOL-700 cooling unit for SAXX series with 700W capacity, flow sensors, and portable 8kg design.</t>
  </si>
  <si>
    <t xml:space="preserve">Cooling Unit</t>
  </si>
  <si>
    <t xml:space="preserve">Dedicated cooling unit (SCOOL-700) for SAXX series power supplies</t>
  </si>
  <si>
    <t xml:space="preserve">700W cooling capacity for reliable thermal management</t>
  </si>
  <si>
    <t xml:space="preserve">Compatible with SAXX-200 and SAXX-201 orbital welding power sources</t>
  </si>
  <si>
    <t>Safety</t>
  </si>
  <si>
    <t xml:space="preserve">Flow alarm and low coolant sensors</t>
  </si>
  <si>
    <t xml:space="preserve">The SCOOL-700 Cooling Unit is a dedicated thermal management solution engineered specifically for AXXAIR SAXX series orbital welding power supplies to ensure optimal performance and long-term reliability. Delivering a cooling capacity of 700 watts, this refrigeration-type cooling system maintains stable operating temperatures during demanding welding operations. Intelligent monitoring features include a flow alarm function and active coolant level monitoring, alerting operators to low coolant conditions and helping prevent equipment damage. The detachable design enhances portability and allows flexible installation across various welding environments. The unit measures approximately 468 mm by 249 mm by 146 mm and weighs 8 kg (17.6 lbs), making it compact yet powerful. The SCOOL-700 is fully compatible with SAXX-200, SAXX-201, and related SAXX power supply models.</t>
  </si>
  <si>
    <t xml:space="preserve">Essential Thermal Management for SAXX Series Orbital Welding Power Supplies</t>
  </si>
  <si>
    <t xml:space="preserve">Dedicated Cooling Solutions for SAXX Orbital Welding Power Supplies: Maintain optimal performance and reliability with AXXAIR's engineered cooling unit for SAXX series equipment.</t>
  </si>
  <si>
    <t xml:space="preserve">- 700W cooling capacity for SAXX systems
 - Flow alarm system for safety
 - Coolant level monitoring
 - Detachable portable design
 - 8 kg lightweight construction</t>
  </si>
  <si>
    <t xml:space="preserve">- Compatible with SAXX-200/201 power sources
 - Refrigeration-type cooling technology
 - Professional monitoring features
 - Compact dimensions
 - Essential for water-cooled torches</t>
  </si>
  <si>
    <t xml:space="preserve">Order Your COOLING UNIT FOR SAXX-200/201 Today</t>
  </si>
  <si>
    <t xml:space="preserve">Ensure optimal performance of your SAXX series orbital welding power supply with dedicated cooling management. Available from AXXAIR distributors and orbital welding equipment suppliers. Contact us for technical specifications and integration guidance.</t>
  </si>
  <si>
    <t xml:space="preserve">- Q1: Is this cooling unit only for SAXX-200 and SAXX-201?
- Q2: What is the cooling capacity?
- Q3: Can this unit be transported easily?
- Q4: Does it have safety features?
- Q5: What are the dimensions?</t>
  </si>
  <si>
    <t xml:space="preserve">- A1: Yes, this unit is specifically designed for SAXX-200, SAXX-201, and other compatible AXXAIR SAXX series models.
- A2: The SCOOL-700 provides 700W of cooling capacity for reliable thermal management.
- A3: Yes, the 8 kg weight and detachable design make it portable for workshop and field applications.
- A4: Yes, the unit includes flow alarm and coolant level monitoring to alert operators to potential issues.
- A5: The compact dimensions are 468 mm × 249 mm × 146 mm (18.4" × 9.7" × 5.7").</t>
  </si>
  <si>
    <t>CM122FS15</t>
  </si>
  <si>
    <t xml:space="preserve">122 ORBITAL SAW FS15 MOTOR  .25" - 4.5"</t>
  </si>
  <si>
    <t>122FS15</t>
  </si>
  <si>
    <t xml:space="preserve">Compact orbital cutting saw with FS15 motor for 0.25″–4.5″ pipe and tube, precise perpendicular cuts and rugged clamping for stable, repeatable cutting performance</t>
  </si>
  <si>
    <t xml:space="preserve">Cutting Capacity</t>
  </si>
  <si>
    <t xml:space="preserve">Designed to precisely cut tube and pipe from 0.25″ up to 4.5″ outer diameter with high perpendicular accuracy</t>
  </si>
  <si>
    <t xml:space="preserve">Motor &amp; Performance</t>
  </si>
  <si>
    <t xml:space="preserve">Equipped with a low‑speed FS15 cutting motor (~1200 W) optimized for slower, controlled cuts in stainless and carbon steel</t>
  </si>
  <si>
    <t xml:space="preserve">Concentric 4‑jaw clamping system provides secure tube holding and minimizes distortion during cutting</t>
  </si>
  <si>
    <t xml:space="preserve">Build &amp; Use</t>
  </si>
  <si>
    <t xml:space="preserve">Durable orbital frame and components engineered for industrial cutting in fabrication, HVAC and pipe prep applications</t>
  </si>
  <si>
    <t xml:space="preserve">The 122 Orbital Saw with FS15 motor is an orbital cutting machine frame used for precision cutting of tubing and pipe in preparation for orbital welding. It is designed to cut tubes with diameters from 0.25″ to 4.5″ (6.3 mm – 114 mm) with high perpendicularity and minimal deformation, making clean faces suitable for welding. The unit uses an FS15 low‑speed cutting motor (≈1200 W, dual‑output motor), which is optimized for slower cutting and extended blade life on thicker materials. The 122 frame with FS15 motor weighs around 97 lbs (≈44 kg) and includes a concentric 4‑jaw clamping system that ensures stable holding and accurate cuts. This orbital saw frame can accept appropriate saw blades and cutting fluids, and is part of modular orbital cutting solutions compatible with AXXAIR accessories and optional beveling/welding conversions.</t>
  </si>
  <si>
    <t xml:space="preserve">Orbital Cutting Saw with FS15 Motor for 0.25″ – 4.5″ Tube/Pipe Range (Model 122FS15)</t>
  </si>
  <si>
    <t xml:space="preserve">Precision Orbital Pipe Saw for Clean, Perpendicular Cuts — The 122FS15 orbital cutting saw is a modular cutting tool designed for high‑precision pipe and tube cutting in fabrication, HVAC, and sanitary welding prep applications. The FS15 motor offers reliable low‑speed cutting performance ideal for stainless steel and other metals, while the orbital frame ensures concentric clamping and consistent cuts with minimal deformation. Compatible with a range of blades and accessories for diverse materials.</t>
  </si>
  <si>
    <t xml:space="preserve">- Orbital saw designed for pipe/tube OD 0.25″ 
- 4.5″ (6.3 – 114 mm) capacity
- FS15 low‑speed cutting motor (≈ 1200 W)
- Orbital cutting action for perpendicular, burr‑free cuts
- Suitable for stainless steel, carbon steel, aluminum and more</t>
  </si>
  <si>
    <t xml:space="preserve">- Opening capacity: 0.25″ – 4.5″ (≈ 6.3 – 114 mm)
- Saw weight ~97 lbs (≈ 44 kg) with frame and motor
- Concentric clamping with 4‑jaw system
- Motor attaches via dual output interface; blade selection varies by material</t>
  </si>
  <si>
    <t xml:space="preserve">Precision Orbital Cutting for Pipe Prep</t>
  </si>
  <si>
    <t xml:space="preserve">The 122 Orbital Saw with FS15 motor is a rugged orbital tube cutting tool designed for precision cutting of pipe and tubing with outside diameters from 0.25″ to 4.5″ (6.35 mm–114 mm). Built with a stable cutting frame and slow‑speed FS15 motor, this saw delivers controlled, perpendicular cuts with minimal distortion — ideal for preparing tubes before orbital welding or fit‑up operations. It accommodates various materials including stainless steel, carbon steel, and alloys. Contact your authorized distributor for blade options, accessories, and technical support.</t>
  </si>
  <si>
    <t xml:space="preserve">- Q1: What cutting range does the 122 Orbital Saw support?
- Q2: What motor does it use and why?
- Q3: What materials can it cut?
- Q4: Are replacement blades and accessories available?
- Q5: Do I need special training to operate it?</t>
  </si>
  <si>
    <t xml:space="preserve">- A1: It supports cutting pipe and tubing from 0.25″ to 4.5″ outside diameter, making it suitable for small‑to‑medium tube prep tasks. 
- A2: It uses the FS15 slow‑speed motor, which provides controlled cutting action and longer blade life compared to high‑speed motors. 
- A3: It can cut stainless steel, carbon steel, copper alloys, and similar weldable tube materials with clean, burr‑free results. 
- A4: Yes — a range of replacement blades, jaw sets, and consumables are available from distributors to match pipe material and wall thickness. 
- A5: While basic saw operation is straightforward, proper training in orbital cutting safety, blade selection, and setup is recommended for best performance and safety.</t>
  </si>
  <si>
    <t>CM122FS19</t>
  </si>
  <si>
    <t xml:space="preserve">CUTTING MACHINE FS19 MOTOR  .25" - 4.5"</t>
  </si>
  <si>
    <t>122FS19</t>
  </si>
  <si>
    <t xml:space="preserve">FS19 orbital cutter for 0.25–4.5" OD tubes with variable-speed motor optimized for thick-wall stainless steel.</t>
  </si>
  <si>
    <t xml:space="preserve">Cutting Machine</t>
  </si>
  <si>
    <t xml:space="preserve">Orbital cutting machine with FS19 variable-speed motor</t>
  </si>
  <si>
    <t xml:space="preserve">Operates on .25" to 4.5" outer diameter tube range</t>
  </si>
  <si>
    <t>Material</t>
  </si>
  <si>
    <t xml:space="preserve">Optimized for thick-wall stainless steel tubing</t>
  </si>
  <si>
    <t>Motor</t>
  </si>
  <si>
    <t xml:space="preserve">Variable-speed motor for material optimization</t>
  </si>
  <si>
    <t xml:space="preserve">The Cutting Machine FS19 Motor is a professional-grade orbital cutting system designed for demanding applications involving thick-wall stainless steel and other challenging materials. It supports pipe outside diameters ranging from 0.25 to 4.5 inches and is optimized for stainless steel wall thicknesses greater than 5 mm. The FS19 variable-speed motor allows operators to precisely adjust cutting speed based on material type and wall thickness, improving cut quality while extending blade life. Powered by a 110V single-phase AC supply, the portable design enables flexible deployment in both shop and field environments. The system delivers perpendicular cutting accuracy of less than 0.25 mm and utilizes orbital cutting saw blades to achieve clean, burr-free cuts on stainless steel and carbon steel tubing.</t>
  </si>
  <si>
    <t xml:space="preserve">Professional Variable-Speed Orbital Cutting for Thick-Wall Tubing</t>
  </si>
  <si>
    <t xml:space="preserve">Advanced Variable-Speed Orbital Cutting for Demanding Applications: The FS19 motor system provides professional-grade performance for thick-wall stainless steel and challenging materials.</t>
  </si>
  <si>
    <t xml:space="preserve">- .25" to 4.5" diameter range
 - FS19 variable-speed motor
 - Thick-wall stainless optimized
 - Adjustable speed control
 - Professional-grade construction</t>
  </si>
  <si>
    <t xml:space="preserve">- precision cutting capability
- Multiple Material compatibility
- extended blade life
- Clean cutting performance
- Field-portable design</t>
  </si>
  <si>
    <t xml:space="preserve">Order Your CUTTING MACHINE FS19 MOTOR Today</t>
  </si>
  <si>
    <t xml:space="preserve">Experience professional-grade orbital cutting with variable-speed technology. Perfect for thick-wall material applications and demanding cutting operations. Available from specialized orbital cutting equipment suppliers. Contact us for technical specifications and application guidance.</t>
  </si>
  <si>
    <t xml:space="preserve">- Q1: What is the advantage of variable speed?
- Q2: What wall thickness is this machine best suited for?
- Q3: Is the FS19 portable?
- Q4: What materials can this machine cut?
- Q5: What diameter range is supported?</t>
  </si>
  <si>
    <t xml:space="preserve">- A1: Variable speed allows operators to optimize cutting speed for different materials and wall thicknesses, improving performance and tool life.
- A2: The FS19 is optimized for thick-wall stainless steel tubing with wall thicknesses greater than 5mm.
- A3: Yes, the 110V motor system and field-ready design make this machine suitable for mobile operations.
- A4: The FS19 handles stainless steel, carbon steel, and other industrial materials with optimized speed control.
- A5: This machine operates on tubes from .25" to 4.5" (6.35 to 114.3 mm) outer diameter.</t>
  </si>
  <si>
    <t>CM81M11</t>
  </si>
  <si>
    <t xml:space="preserve">CUTTING MACHINE METABO MOTOR  0.25"- 3"</t>
  </si>
  <si>
    <t>81M11</t>
  </si>
  <si>
    <t xml:space="preserve">Heavy-duty orbital cutter for 0.25–3" OD tubes with Metabo motor for superior cutting and production use.</t>
  </si>
  <si>
    <t xml:space="preserve">Orbital cutting machine with professional Metabo motor drive</t>
  </si>
  <si>
    <t xml:space="preserve">Operates on 0.25" to 3" outer diameter tube range</t>
  </si>
  <si>
    <t xml:space="preserve">Heavy-duty motor for demanding cutting applications</t>
  </si>
  <si>
    <t>Performance</t>
  </si>
  <si>
    <t xml:space="preserve">Superior cutting performance and tool life</t>
  </si>
  <si>
    <t xml:space="preserve">The Cutting Machine Metabo Motor represents the pinnacle of professional orbital cutting technology, featuring a proven Metabo motor renowned for reliability and consistent performance in industrial production environments. Its 1.1 kW motor delivers sustained cutting power for a wide range of materials and wall thicknesses, ensuring superior cut quality in high-volume fabrication, maintenance, and prefabrication operations. The machine supports pipe outside diameters from 0.25 to 3 inches and is powered by 220-230V single-phase AC. It achieves perpendicular cutting accuracy of less than 0.25 mm using orbital cutting saw blades and can handle wall thicknesses of 8–12 mm depending on the material. This professional-grade solution is ideal for production cutting of carbon steel, stainless steel, and similar materials.</t>
  </si>
  <si>
    <t xml:space="preserve">Production-Grade Orbital Cutting with Professional Metabo Motor Drive</t>
  </si>
  <si>
    <t xml:space="preserve">Professional Production Cutting with Proven Metabo Technology: The Metabo motor orbital cutting machine delivers industrial-grade reliability and performance for demanding cutting applications.</t>
  </si>
  <si>
    <t xml:space="preserve">- 0.25" to 3" diameter range
 - Metabo professional motor drive
 - 1.1 kW cutting power
 - Superior cut quality
 - Production-ready design</t>
  </si>
  <si>
    <t xml:space="preserve">- Heavy-duty performance
- extended Motor life
- reliable operation
- Multiple Material capability
- industrial-proven technology</t>
  </si>
  <si>
    <t xml:space="preserve">Order Your CUTTING MACHINE METABO MOTOR Today</t>
  </si>
  <si>
    <t xml:space="preserve">Invest in professional-grade orbital cutting with Metabo motor technology. Perfect for production facilities and demanding cutting applications. Available from industrial orbital cutting equipment distributors. Contact us for technical specifications, motor performance data, and volume pricing.</t>
  </si>
  <si>
    <t xml:space="preserve">- Q1: What is the motor power rating?
- Q2: What diameter range does this machine cover?
- Q3: What voltage does this machine require?
- Q4: Is this suitable for production environments?
- Q5: What materials can this machine cut?</t>
  </si>
  <si>
    <t xml:space="preserve">- A1: The Metabo motor provides 1.1 kW of cutting power, suitable for demanding production environments.
- A2: The machine operates on tubes from 0.25" to 3" (6.35 to 76.2 mm) outer diameter.
- A3: This machine operates on 220V-230V AC single-phase power.
- A4: Yes, the Metabo motor and industrial-grade design make this ideal for high-volume production cutting.
- A5: The machine handles carbon steel, stainless steel, non-ferrous metals, and other typical pipe materials.</t>
  </si>
  <si>
    <t>DC25MA1</t>
  </si>
  <si>
    <t xml:space="preserve">FACING MACHINE FROM 0.125" - 1.00" OD</t>
  </si>
  <si>
    <t>DC25-MA1</t>
  </si>
  <si>
    <t xml:space="preserve">Facing Machine | Pipe Preparation Equipment</t>
  </si>
  <si>
    <t xml:space="preserve">Lightweight portable tube facing machine for 0.125–1" OD tubes delivering burr-free, square ends.</t>
  </si>
  <si>
    <t xml:space="preserve">Tube Facing Machine</t>
  </si>
  <si>
    <t xml:space="preserve">Portable tube facing machine for small-diameter orbital welding prep</t>
  </si>
  <si>
    <t xml:space="preserve">Accommodates 0.125" to 1.00" OD tubes and fittings</t>
  </si>
  <si>
    <t>Quality</t>
  </si>
  <si>
    <t xml:space="preserve">Delivers burr-free and square tube ends</t>
  </si>
  <si>
    <t xml:space="preserve">Speed Control</t>
  </si>
  <si>
    <t xml:space="preserve">Electronic speed regulation for material optimization</t>
  </si>
  <si>
    <t xml:space="preserve">The Facing Machine for 0.125"-1.00" OD tubes is a portable orbital welding preparation tool designed for high-precision small-diameter tube end preparation in aerospace, medical, and semiconductor applications. It delivers distortion-free tube end squaring with a perpendicularity tolerance of ±0.05 mm. The machine features electronic speed control to optimize cutting for different materials and thicknesses, and is available in both corded AC and cordless battery-powered versions for workshop or field use. Cutting depth is adjustable from 0 to 3 mm per pass, and high-speed steel or M42 coated tool bits provide durable performance. Quick-snap collets allow rapid changeover between tube sizes, while continuous operation rating ensures reliable performance. The compact design weighs 1.5–2.5 kg (corded) or 2–3 kg (cordless) and measures approximately 300x150x100 mm. It is suitable for stainless steel, carbon steel, titanium, and aluminum tubing.</t>
  </si>
  <si>
    <t xml:space="preserve">Portable Tube Facing Machine for Small Diameter Applications</t>
  </si>
  <si>
    <t xml:space="preserve">Precision Small-Diameter Tube Preparation: This portable facing machine delivers the precision edge preparation essential for high-quality orbital welding of small-diameter tubing in aerospace, medical, and semiconductor applications.</t>
  </si>
  <si>
    <t xml:space="preserve">- 0.125" to 1.00" OD diameter range
 - Â±0.05mm squareness tolerance
 - Electronic speed regulation 300-2000 RPM
 - Quick-snap collet changeover system
 - Lightweight portable design (1.5-2.5 kg)</t>
  </si>
  <si>
    <t xml:space="preserve">- Available corded (120V/230V) or cordless
 - Continuous operation rated
 - Burr-free tube end preparation
 - Compatible with stainless, carbon steel, titanium, aluminum
 - Adjustable cutting depth 0-3mm</t>
  </si>
  <si>
    <t xml:space="preserve">Order Your Small-Diameter Facing Machine</t>
  </si>
  <si>
    <t xml:space="preserve">Enhance your small-diameter tube welding preparation with this portable facing machine. Available through authorized orbital equipment suppliers in both corded and cordless versions. Contact us for pricing on corded or cordless models and replacement collet sets.</t>
  </si>
  <si>
    <t xml:space="preserve">- Q1: What diameter range does this machine accommodate?
- Q2: Is a cordless version available?
- Q3: What squareness tolerance is achievable?
- Q4: How are different diameters accommodated?
- Q5: What materials can this machine face?</t>
  </si>
  <si>
    <t xml:space="preserve">- A1: The machine is designed for tubes ranging from 0.125" to 1.00" OD.
- A2: Yes, both corded (120V/230V) and cordless battery-powered versions are available.
- A3: The machine delivers ±0.05mm perpendicularity tolerance for critical weld preparation.
- A4: Quick-snap collets enable instant changeover between different tube sizes without tool adjustment.
- A5: Suitable for stainless steel, carbon steel, titanium, and aluminum alloys.</t>
  </si>
  <si>
    <t>DC65MA1</t>
  </si>
  <si>
    <t xml:space="preserve">FACING MACHINE FROM 0.125" - 2.500" OD</t>
  </si>
  <si>
    <t>DC65-MA1</t>
  </si>
  <si>
    <t xml:space="preserve">Portable tube facing machine for 0.125–2.5" OD tubes with high precision, speed control, and multi-diameter collet system.</t>
  </si>
  <si>
    <t xml:space="preserve">Full-range portable tube facing machine for diverse diameter applications</t>
  </si>
  <si>
    <t xml:space="preserve">Accommodates 0.125" to 2.500" OD tubes with high precision</t>
  </si>
  <si>
    <t xml:space="preserve">Delivers square, burr-free tube ends for critical orbital welding</t>
  </si>
  <si>
    <t xml:space="preserve">Electronic speed control for material-specific optimization</t>
  </si>
  <si>
    <t xml:space="preserve">The Facing Machine for 0.125"-2.500" OD tubes is a full-range portable orbital welding preparation tool engineered for versatile manufacturing environments handling small to medium diameter tubing. It accommodates diameters from 0.125 to 2.500 inches (3.175–63.5 mm) with a perpendicularity tolerance of ±0.05 mm. Electronic speed control allows optimization of cutting parameters for diverse materials, while adjustable cutting depth of 0–5 mm per pass ensures consistent tube end quality. The machine uses M42 or HSS tool bits with optional hard coating, and a comprehensive quick-change collet system enables rapid size changeover without tool recalibration. Continuous operation is rated, with corded weights of 2.0–3.0 kg and cordless weights of 2.5–3.5 kg, and a compact footprint of approximately 400x180x120 mm. Applications include stainless steel, carbon steel, titanium, and aluminum tubing, delivering high precision for aerospace, pharmaceutical, and industrial welding workflows.</t>
  </si>
  <si>
    <t xml:space="preserve">Multi-Diameter Portable Tube Facing for Production Environments</t>
  </si>
  <si>
    <t xml:space="preserve">Complete Tube Preparation for Multi-Diameter Manufacturing: This full-range facing machine delivers precision tube end preparation across the complete diameter spectrum used in aerospace, pharmaceutical, and industrial orbital welding applications.</t>
  </si>
  <si>
    <t xml:space="preserve">- 0.125" to 2.500" full OD range
 - Â±0.05mm squareness tolerance
 - Electronic variable speed 200-1500 RPM
 - Comprehensive quick-change collet set
 - Lightweight 2.0-3.0 kg (corded)</t>
  </si>
  <si>
    <t xml:space="preserve">- Available corded (120V/230V) or cordless
 - Adjustable cutting depth 0-5mm
 - Continuous operation rated
 - Burr-free tube end preparation
 - Compatible with multiple material types</t>
  </si>
  <si>
    <t xml:space="preserve">Order Your Full-Range Facing Machine</t>
  </si>
  <si>
    <t xml:space="preserve">Streamline your multi-diameter tube welding preparation with this comprehensive facing machine. Available through authorized orbital equipment suppliers in both corded and cordless versions. Contact us for specifications on collet assortments and bulk pricing.</t>
  </si>
  <si>
    <t xml:space="preserve">- Q1: What is the full diameter range?
- Q2: How many collets are typically included?
- Q3: Is a cordless version available?
- Q4: What precision is achievable?
- Q5: What cutting depth adjustment is available?</t>
  </si>
  <si>
    <t xml:space="preserve">- A1: The machine accommodates tubes from 0.125" to 2.500" OD, covering small to medium diameter applications.
- A2: The machine is supplied with a comprehensive collet set covering the full diameter range for rapid changeover.
- A3: Yes, both corded (120V/230V) and cordless battery-powered versions are offered.
- A4: The machine delivers ±0.05mm perpendicularity tolerance for critical weld preparation.
- A5: The cutting depth is adjustable from 0-5mm per pass, optimizing for different tube wall thicknesses.</t>
  </si>
  <si>
    <t xml:space="preserve">This full-range facing machine provides precision tube end preparation across the complete diameter spectrum, suitable for aerospace, pharmaceutical, food processing, and industrial orbital welding applications. It handles tube diameters from 0.125" to 2.500" (3.175mm to 63.5mm) and features a comprehensive collet system for rapid size changeover without recalibration. Electronic speed control optimizes cutting parameters for consistent tube end quality. The machine supports continuous operation, with adjustable cutting depths of 0-5mm per pass, electronic AC 120V/230V or cordless battery-powered motors of 200-300W, variable speeds from 200-1500 RPM, and tools made from M42 or HSS steel with optional hard coating. Compact and lightweight, it weighs 2.0-3.5 kg depending on power configuration and measures approximately 400x180x120mm. It is suitable for stainless steel, carbon steel, titanium, and aluminum tubes, achieving ±0.05mm perpendicularity.</t>
  </si>
  <si>
    <t>DC115AM1</t>
  </si>
  <si>
    <t xml:space="preserve">FACING TOOL CLAMPING SHELL .5"-4.5"</t>
  </si>
  <si>
    <t>DC115-AM1</t>
  </si>
  <si>
    <t xml:space="preserve">Facing Tool | Pipe Preparation Equipment</t>
  </si>
  <si>
    <t xml:space="preserve">Universal clamping shell for 0.5–4.5" OD tubes with quick-snap connection and stainless steel construction.</t>
  </si>
  <si>
    <t xml:space="preserve">Clamping Shell</t>
  </si>
  <si>
    <t xml:space="preserve">Universal clamping shell for orbital tube facing machines</t>
  </si>
  <si>
    <t xml:space="preserve">Accommodates 0.5" to 4.5" OD tubes without distortion</t>
  </si>
  <si>
    <t>Connection</t>
  </si>
  <si>
    <t xml:space="preserve">Quick-snap connection system for rapid changeover</t>
  </si>
  <si>
    <t>Precision</t>
  </si>
  <si>
    <t xml:space="preserve">Precision-machined collet radius matches tube OD</t>
  </si>
  <si>
    <t xml:space="preserve">The Facing Tool Clamping Shell ensures accurate tube positioning with symmetrical clamping force to prevent distortion. Precision-machined stainless steel collets distribute pressure evenly and accommodate tube diameters from 0.5" to 4.5" (12.7mm to 114.3mm), compatible with wall thicknesses of 0.035" to 0.188". The mirror-polished construction prevents contamination in high-purity applications, and a quick-snap interchangeable system allows tool changeover without mechanical adjustment. The clamping shell provides ±0.001" runout concentricity and is easily removable for cleaning and inspection. Individual or complete multi-size sets are available.</t>
  </si>
  <si>
    <t xml:space="preserve">Precision Clamping Shells for Deformation-Free Tube Facing</t>
  </si>
  <si>
    <t xml:space="preserve">Precision Tube Centering Without Distortion: The Clamping Shell ensures accurate tube positioning and symmetrical clamping force, delivering the precision essential for high-quality orbital welding preparation.</t>
  </si>
  <si>
    <t xml:space="preserve">- 0.5" to 4.5" OD clamping range
 - Stainless steel construction (304/316)
 - Quick-snap interchangeable system
 - Symmetrical pressure distribution
 - Zero tube deformation design</t>
  </si>
  <si>
    <t xml:space="preserve">- Mirror-polished finish prevents contamination
 - Â±0.001" runout concentricity
 - Radius-matched collet geometry
 - Tool-free quick-change installation
 - Compatible 0.035"-0.188" wall thickness</t>
  </si>
  <si>
    <t xml:space="preserve">Order Your Facing Tool Clamping Shell</t>
  </si>
  <si>
    <t xml:space="preserve">Ensure precision tube centering and contamination-free facing with the Clamping Shell. Available through authorized orbital equipment suppliers in individual sizes or complete multi-size sets. Contact us for pricing and set configurations.</t>
  </si>
  <si>
    <t xml:space="preserve">- Q1: What diameter range does this clamping shell accommodate?
- Q2: Is the clamping symmetrical?
- Q3: Will the tube be distorted by clamping?
- Q4: What material is used?
- Q5: How is the tool changed?</t>
  </si>
  <si>
    <t xml:space="preserve">- A1: The shell accommodates tubes from 0.5" to 4.5" OD with radius-matched geometry for each size.
- A2: Yes, the symmetrical design distributes clamping pressure evenly across the tube perimeter.
- A3: No, the design is specifically engineered for zero tube deformation during facing operations.
- A4: Stainless steel (304 or 316) construction prevents cross-contamination for high-purity applications.
- A5: The quick-snap system enables tool-free rapid changeover without requiring any mechanical adjustment.</t>
  </si>
  <si>
    <t>DC115BM1</t>
  </si>
  <si>
    <t xml:space="preserve">FACING TOOL CONCENTRIC CLAMPING .5"-4.5"</t>
  </si>
  <si>
    <t>DC115-BM1</t>
  </si>
  <si>
    <t xml:space="preserve">Stainless steel concentric clamping system for DC115-BM, securing 0.5–4.5" OD tubes with fine depth control.</t>
  </si>
  <si>
    <t xml:space="preserve">Concentric Clamp</t>
  </si>
  <si>
    <t xml:space="preserve">Stainless steel concentric clamping design for precise tube positioning without distortion</t>
  </si>
  <si>
    <t xml:space="preserve">Compatible with DC115-BM orbital facing machines</t>
  </si>
  <si>
    <t>Jaws</t>
  </si>
  <si>
    <t xml:space="preserve">4 stainless steel concentric jaws for secure clamping of tubes 0.5" to 4.5" OD</t>
  </si>
  <si>
    <t>Advancement</t>
  </si>
  <si>
    <t xml:space="preserve">Manual advancement with 0.1 mm steps for accurate depth control</t>
  </si>
  <si>
    <t xml:space="preserve">The DC115-BM facing tool with concentric clamping provides precise preparation of tube ends from 0.5" to 4.5" OD (12mm to 115mm). Its 4-jaw concentric clamping protects delicate thin-wall tubes from distortion, ensuring perpendicular surfaces free of burrs for high-quality welds in aerospace, semiconductor, pharmaceutical, and food processing industries. It allows simultaneous facing and beveling with two cutting tools, with manual advancement in 0.1 mm increments. Made from stainless steel, it ensures contamination-free operation and performs facing, beveling (30° &amp; 45°), edge breaking, and deburring. The 1300W electric motor (110V or 220V) operates at variable speeds, and the machine weighs 37 kg with dimensions 392 x 562 x 405 mm.</t>
  </si>
  <si>
    <t xml:space="preserve">Request Quote for DC115-BM Facing Tool</t>
  </si>
  <si>
    <t xml:space="preserve">Precision Orbital Facing Tool for Small to Medium Diameter Tubing</t>
  </si>
  <si>
    <t xml:space="preserve">Why Orbital Facing Matters: Precise tube end preparation ensures perpendicular surfaces free of burrs and distortion, critical for achieving high-quality welds in demanding applications where purity and precision are non-negotiable. Concentric clamping technology eliminates the risk of tube damage during the facing process.</t>
  </si>
  <si>
    <t xml:space="preserve">- Concentric clamping prevents tube distortion
 - 4-jaw stainless steel clamping system
 - Manual advancement: 0.1 mm steps
 - Two tools can operate simultaneously
 - Suitable for thin-wall and small-diameter tubes</t>
  </si>
  <si>
    <t xml:space="preserve">- Maximum wall thickness: 3.0 mm
 - Diameter range: 0.5" - 4.5" OD
 - Reversible HSS TIALN cutting inserts
 - Battery or corded operation available
 - Lightweight and portable design</t>
  </si>
  <si>
    <t xml:space="preserve">Upgrade Your Tube Preparation Process</t>
  </si>
  <si>
    <t xml:space="preserve">Achieve superior tube end preparation with AXXAIR's DC115-BM orbital facing tool. Available for purchase or rental from authorized orbital welding equipment distributors. The concentric clamping system ensures contamination-free preparation of thin-wall tubing for critical applications in aerospace, semiconductor, pharmaceutical, and food processing industries. Contact us for technical specifications, pricing, and on-site demonstrations.</t>
  </si>
  <si>
    <t xml:space="preserve">- Q1: What is the maximum outer diameter this tool can handle?
- Q2: How accurate is the depth control?
- Q3: Can this tool bevel and face in one operation?
- Q4: What materials can this tool process?
- Q5: Is this machine suitable for thin-wall tubes?</t>
  </si>
  <si>
    <t xml:space="preserve">- A1: The DC115-BM facing tool accommodates tubes from 0.5" to 4.5" OD (12 mm to 115 mm), making it ideal for small to medium-diameter applications.
- A2: Manual advancement provides 0.1 mm step graduation for precise depth control, ensuring consistent facing and beveling operations.
- A3: Yes, the machine supports simultaneous use of two cutting tools, allowing facing and beveling (30° or 45°) to be performed in a single setup.
- A4: The DC115-BM is suitable for all types of steel and alloys commonly used in welding applications, including carbon steel and stainless steel.
- A5: Yes, the concentric clamping design specifically protects thin-wall tubes from distortion, making it ideal for delicate applications in aerospace and semiconductor industries.</t>
  </si>
  <si>
    <t>DC221BM1</t>
  </si>
  <si>
    <t xml:space="preserve">FACING TOOL CONCENTRIC CLAMPING 2"-8.5"</t>
  </si>
  <si>
    <t>DC221-BM1</t>
  </si>
  <si>
    <t xml:space="preserve">6-jaw concentric clamping for DC221-BM, handling 2–8.5" OD tubes with precision facing, beveling, and deburring.</t>
  </si>
  <si>
    <t xml:space="preserve">Stainless steel concentric clamping with 6-jaw system for larger diameter tubes</t>
  </si>
  <si>
    <t xml:space="preserve">Compatible with DC221-BM orbital facing machines</t>
  </si>
  <si>
    <t xml:space="preserve">Accommodates tube diameters 2" to 8.5" OD with precision control</t>
  </si>
  <si>
    <t xml:space="preserve">Manual advancement with 0.1 mm steps for accurate cutting depth</t>
  </si>
  <si>
    <t xml:space="preserve">The DC221-BM facing tool enables sophisticated multi-operation tube end preparation in a single setup, reducing handling and setup time while ensuring consistent, precise results on larger diameter tubes. It handles diameters from 2" to 8.625" OD (50 mm - 220 mm) and features a 6-jaw concentric clamping system for enhanced stability while preventing tube distortion. The machine can operate three cutting tools simultaneously, performing facing combined with dual beveling angles in one setup. Made entirely from stainless steel, it meets strict purity requirements for pharmaceutical, semiconductor, and food processing industries. It performs facing, beveling (30° &amp; 45°), edge breaking, and deburring with a 1300W electric motor (110V or 220V) at variable speeds, weighs 55 kg, and measures 427.5 x 626 x 503 mm.</t>
  </si>
  <si>
    <t xml:space="preserve">Request Quote for DC221-BM Facing Tool</t>
  </si>
  <si>
    <t xml:space="preserve">Heavy-Duty Orbital Facing Tool for Medium to Large Diameter Tubing</t>
  </si>
  <si>
    <t xml:space="preserve">Complex Tube Preparation Simplified: The DC221-BM enables sophisticated multi-operation facing in a single setup, reducing handling and setup time while ensuring consistent, precise results on larger diameter tubes. Stainless steel construction maintains purity standards for regulated industries.</t>
  </si>
  <si>
    <t xml:space="preserve">- 6-jaw concentric clamping for larger tubes
 - Three tools can operate simultaneously
 - Manual advancement: 0.1 mm steps
 - Stainless steel construction throughout
 - Suitable for 2" to 8.625" OD tubes</t>
  </si>
  <si>
    <t xml:space="preserve">- Maximum wall thickness: 3.0 mm
 - Reversible HSS TIALN cutting inserts
 - 30Â° and 45Â° beveling capability
 - Battery or corded operation available
 - Portable design for workshop or site use</t>
  </si>
  <si>
    <t xml:space="preserve">Precision Tube Preparation for Demanding Applications</t>
  </si>
  <si>
    <t xml:space="preserve">Master large-diameter tube preparation with AXXAIR's DC221-BM orbital facing tool. Available for purchase or rental from leading orbital welding equipment suppliers. The 6-jaw concentric clamping system ensures precise, distortion-free preparation of tubes up to 8.625" OD. Triple-tool capability enables complex operations in a single setup, maximizing efficiency for high-volume production environments. Contact us for detailed specifications, volume pricing, and on-site training.</t>
  </si>
  <si>
    <t xml:space="preserve">- Q1: What is the maximum diameter this tool can face?
- Q2: How many tools can operate simultaneously?
- Q3: What beveling angles are available?
- Q4: Is this tool suitable for thin-wall tubes?
- Q5: What industries use this machine?</t>
  </si>
  <si>
    <t xml:space="preserve">- A1: The DC221-BM is designed to handle tubes up to 8.625" OD (220 mm), making it suitable for large-diameter applications.
- A2: The DC221-BM supports simultaneous operation of three cutting tools, enabling complex multi-operation facing in a single setup.
- A3: The machine supports both 30° and 45° beveling angles, selectable based on your specific application requirements.
- A4: Yes, the 6-jaw concentric clamping design protects thin-wall tubes from distortion, even in larger diameter applications.
- A5: The DC221-BM is widely used in aerospace, pharmaceutical, semiconductor, food processing, and biotechnology industries requiring high-purity tube preparation.</t>
  </si>
  <si>
    <t>SAMX17</t>
  </si>
  <si>
    <t xml:space="preserve">MICROFIT CLOSED WELD HEAD (.125 - .625)</t>
  </si>
  <si>
    <t>SAMX-17</t>
  </si>
  <si>
    <t xml:space="preserve">Weld Head Assembly | Small Diameter Welding</t>
  </si>
  <si>
    <t xml:space="preserve">Closed-chamber weld head for 0.125–0.625" OD tubes with interchangeable cassette and high-purity gas protection.</t>
  </si>
  <si>
    <t xml:space="preserve">Micro-Fit Weld Head</t>
  </si>
  <si>
    <t xml:space="preserve">Closed-chamber orbital weld head for micro-fitting applications</t>
  </si>
  <si>
    <t xml:space="preserve">Tube OD range: 0.125" - 0.625" (3.2 mm - 15.9 mm)</t>
  </si>
  <si>
    <t>Setup</t>
  </si>
  <si>
    <t xml:space="preserve">Interchangeable cassette system for rapid setup and tool changes</t>
  </si>
  <si>
    <t xml:space="preserve">Gas Protection</t>
  </si>
  <si>
    <t xml:space="preserve">Fully enclosed gas chamber for optimal inert gas protection</t>
  </si>
  <si>
    <t xml:space="preserve">The MICROFIT CLOSED WELD HEAD is designed for welding miniature fittings and tubing in semiconductor, pharmaceutical, and aerospace applications where weld quality and contamination control are critical. Its closed-chamber design ensures complete inert gas coverage, eliminating oxidation and discoloration. The interchangeable cassette system allows rapid fixture changeover between tube sizes and fitting configurations, while precision collets maintain exact component alignment without tack welds. Stepper or servo motor control provides consistent orbital motion and weld parameters, and the extremely narrow design permits access to confined spaces. It supports GTAW (TIG) fusion welding for tube ODs from 0.125" to 0.625" (3.2 mm - 15.9 mm), using 0.040" and 0.062" (1.0 mm and 1.6 mm) electrodes, with adjustable rotation speeds of 0-10 RPM, regulated inert gas flow, and weighs approximately 0.9-1.4 kg. Housing is stainless steel or protective polymer.</t>
  </si>
  <si>
    <t xml:space="preserve">Request Technical Consultation</t>
  </si>
  <si>
    <t xml:space="preserve">Precision Micro-Fitting Orbital Weld Head with Closed Gas Chamber</t>
  </si>
  <si>
    <t xml:space="preserve">Contamination-Free Micro-Fitting Welding: The closed-chamber design eliminates oxidation and discoloration, delivering pristine welds for semiconductor, medical device, and high-purity fluid system applications.</t>
  </si>
  <si>
    <t xml:space="preserve">- Closed gas chamber design
- Interchangeable cassette system
- 0.125" - 0.625" OD range
- Precision collet clamping
- Stainless steel housing</t>
  </si>
  <si>
    <t xml:space="preserve">- Full weld bead gas coverage
- Rapid tool change capability
- Exact component centering
- Confined space access
- High-purity compatible</t>
  </si>
  <si>
    <t xml:space="preserve">Implement Microfit Precision Welding</t>
  </si>
  <si>
    <t xml:space="preserve">The MICROFIT CLOSED WELD HEAD (.125 - .625) is available from specialized orbital welding suppliers and semiconductor equipment distributors. This precision weld head is ideal for manufacturers requiring contamination-free micro-fitting welding for high-purity applications. Contact our technical specialists to discuss system integration, training, and ongoing support to ensure successful implementation and consistent weld quality.</t>
  </si>
  <si>
    <t xml:space="preserve">- Q1: What is the tube OD range for this weld head?
- Q2: How does the closed chamber improve weld quality?
- Q3: Can cassettes be changed without tools?
- Q4: What is the maximum current rating?
- Q5: Is this weld head compatible with clean rooms?</t>
  </si>
  <si>
    <t xml:space="preserve">- A1: The Microfit weld head accommodates tubes from 0.125" to 0.625" OD.
- A2: The fully enclosed chamber provides complete inert gas coverage, eliminating oxidation and discoloration.
- A3: Yes, the cassette system enables quick changeover using simple hand operations.
- A4: Maximum current ranges from 100-150A depending on the specific tube size.
- A5: Yes, this design is specifically optimized for semiconductor and pharmaceutical cleanroom environments.</t>
  </si>
  <si>
    <t>CM172FS15</t>
  </si>
  <si>
    <t xml:space="preserve">ORBITAL CUTTING MACHINE 0.625" TO 6.625"</t>
  </si>
  <si>
    <t>172FS15</t>
  </si>
  <si>
    <t xml:space="preserve">Precision orbital cutting machine for 0.625″–6.625″ diameter pipe and tube with concentric clamping, dual motor speed options for controlled slow or fast cutting and clean perpendicular burr‑free cuts</t>
  </si>
  <si>
    <t xml:space="preserve">Designed for accurate cutting of tube and pipe from 0.625″ up to 6.625″ outer diameter, ideal for orbital welding prep tasks.</t>
  </si>
  <si>
    <t xml:space="preserve">Motor &amp; Speed Options</t>
  </si>
  <si>
    <t xml:space="preserve">Dual‑output cutting motor (FS15 slow and FS19 faster options) to balance cut quality and speed based on material thickness.</t>
  </si>
  <si>
    <t xml:space="preserve">Concentric four‑jaw or similar stainless steel clamping system minimizes tube distortion and holds workpiece securely during cutting.</t>
  </si>
  <si>
    <t xml:space="preserve">Cut Quality &amp; Precision</t>
  </si>
  <si>
    <t xml:space="preserve">Produces burr‑free, right‑angle cuts with tight perpendicular tolerances for optimal weld prep.</t>
  </si>
  <si>
    <t xml:space="preserve">The Orbital Cutting Machine with a 0.625″–6.625″ (≈16 mm–168 mm) cutting range is a precision orbital tube and pipe cutting saw used to prepare tubes for welding by producing perpendicular, burr‑free, and deformation‑free cuts. These machines feature a concentric clamping system that holds the tube securely while the cutting head rotates around it, ensuring clean, square ends suited for fusion welding preparation. Typical configurations include electric or pneumatic motor drives, and they are suitable for cutting a variety of materials such as stainless steel, carbon steel, alloy metals, and non‑ferrous metals. Machines with this capacity often weigh around ~112 lbs (≈51 kg) with a 1,200 W motor and are part of modular systems that can be converted to include beveling or facing attachments.</t>
  </si>
  <si>
    <t xml:space="preserve">Request Specifications</t>
  </si>
  <si>
    <t xml:space="preserve">Orbital Pipe Cutting and Bevelling Machine for 0.625" – 6.625" Diameter Range</t>
  </si>
  <si>
    <t xml:space="preserve">Industrial‑Grade Orbital Cutting Machine for Precise Pipe/Tubing Preparation — This orbital cutting machine is engineered to provide clean, burr‑free, deformation‑free cuts on tubes and pipes between 0.625″ and 6.625″ outer diameter, ideal for preparation before welding or fabrication. Utilizing a concentric clamping and orbital motion system, the tool ensures perpendicular cuts with minimal material distortion and is available in electric or pneumatic drives suitable for onsite or workshop use across multiple industries including chemical, food &amp; beverage, pharmaceutical, and general fabrication.</t>
  </si>
  <si>
    <t xml:space="preserve">- Orbital cutting action around the pipe for high‑precision cuts without burrs or deformation
- Concentric clamping system for perpendicular and repeatable cutting
- Supports cutting of tubes/pipes from 0.625″ to 6.625″ (16 mm – 168.3 mm)
- Electric or pneumatic drives available for flexible use</t>
  </si>
  <si>
    <t xml:space="preserve">- Opening capacity: 0.625″ – 6.625″ (≈ 16 mm – 168.3 mm)
- Typical wall thickness capability: depends on machine &amp; material (often up to ~0.59″ / 15 mm)
- Concentric jaw clamping minimizes deformation of thin‑wall pipes
- Electric drive options (~1200 W‑2400 W) or pneumatic systems depending on model and brand</t>
  </si>
  <si>
    <t xml:space="preserve">Heavy‑Duty Orbital Cutting from 0.625″ to 6.625″</t>
  </si>
  <si>
    <t xml:space="preserve">The orbital cutting machine with 0.625″ to 6.625″ (16 mm–168 mm) cutting range is a professional orbital tube and pipe saw built for precise, burr‑free, right‑angled cuts for preparation before welding and fabrication. These machines (e.g., AXXAIR 172FS15/FS19 series) use concentric clamping and slow or fast cutting motors to deliver controlled cuts across a wide variety of materials. Designed for stainless steel, carbon steel, high‑alloy metals and non‑ferrous pipe, it minimizes deformation and improves throughput on site or in the shop. Contact authorized suppliers for blades, accessories, and support.</t>
  </si>
  <si>
    <t xml:space="preserve">- Q1: What pipe sizes can this orbital cutting machine handle?
- Q2: What types of materials can it cut?
- Q3: What motors or cutting speeds are used?
- Q4: How precise are cuts with this machine?
- Q5: Are blades and accessories interchangeable?</t>
  </si>
  <si>
    <t xml:space="preserve">- A1: It supports pipe and tubing from 0.625″ to 6.625″ outside diameter, covering medium‑size industrial pipe cutting needs. 
- A2: The machine can cut stainless steel, carbon steel, low and high‑alloy materials, and many non‑ferrous metals with clean, burr‑free results. 
- A3: Models use a dual‑output cutting motor with slow (FS15) and fast (FS19) speed options for different wall thickness and material types. 
- A4: Cuts are designed to be perpendicular and burr‑free, providing high precision for weld prep and fit‑up tasks. 
- A5: Yes — replacement blades, jaws, and accessory kits are typically available through distributors to match material and cutting needs.</t>
  </si>
  <si>
    <t>CM172FS19</t>
  </si>
  <si>
    <t>172FS19</t>
  </si>
  <si>
    <t>CM521FS15</t>
  </si>
  <si>
    <t xml:space="preserve">ORBITAL CUTTING MACHINE 12" TO 20"</t>
  </si>
  <si>
    <t>521FS15</t>
  </si>
  <si>
    <t xml:space="preserve">Large-diameter orbital cutter for 12–20" OD pipes with planetary cutting and robust clamping for thick-wall steels.</t>
  </si>
  <si>
    <t xml:space="preserve">Heavy-duty orbital cutting machine for large-diameter 12" to 20" OD pipes with planetary orbital cutting technology</t>
  </si>
  <si>
    <t xml:space="preserve">Robust clamping system handles thick-wall high-carbon and alloy steels</t>
  </si>
  <si>
    <t xml:space="preserve">Blade Mount</t>
  </si>
  <si>
    <t xml:space="preserve">Dual-position blade mounting enables cutting of elbows and fittings</t>
  </si>
  <si>
    <t xml:space="preserve">Not Found</t>
  </si>
  <si>
    <t xml:space="preserve">The ORBITAL CUTTING MACHINE 12" - 20" is designed for large-diameter pipe cutting in heavy industrial applications. Planetary orbital motion combined with heavy-duty multi-point clamping ensures deformation-free cuts on thick-wall carbon and alloy steels. Dual-position blade mounting allows cutting of elbows and complex fittings. It handles pipe ODs from 12" to 20" (305 - 508 mm) with precision of less than 0.4mm perpendicularity. The machine uses a 100mm standard blade, supports wall thicknesses up to 10mm depending on material, and operates with a 230V 1500W electric motor or pneumatic supply (1500 L/min @ 6 bar) at 95-250 RPM. Integrated line laser marking is included, and the machine weighs 186 kg with dimensions 610 x 720 x 350 mm.</t>
  </si>
  <si>
    <t xml:space="preserve">Heavy-Duty Orbital Cutting for Large-Diameter Pipe Preparation</t>
  </si>
  <si>
    <t xml:space="preserve">Large-diameter pipe cutting requires robust equipment: The ORBITAL CUTTING MACHINE 12" - 20" delivers consistent, deformation-free preparation for critical pipe welding applications.</t>
  </si>
  <si>
    <t xml:space="preserve">- 12" - 20" OD capacity for heavy-diameter pipes
- Heavy-duty multi-point clamping system
- Planetary orbital cutting motion
- Dual-blade position for elbow cutting
- 95-250 RPM speed control</t>
  </si>
  <si>
    <t xml:space="preserve">- &lt;0.4mm perpendicularity on large pipes
- 10mm max wall thickness capability
- High-carbon and alloy steel compatible
- 100mm blade diameter
- Electric or pneumatic motor options</t>
  </si>
  <si>
    <t xml:space="preserve">Specify ORBITAL CUTTING MACHINE 12" - 20"</t>
  </si>
  <si>
    <t xml:space="preserve">Handle large-diameter pipe cutting with the ORBITAL CUTTING MACHINE 12" - 20". Ideal for heavy industrial, power generation, and pipeline applications. Available for purchase or rental.</t>
  </si>
  <si>
    <t xml:space="preserve">- Q1: OD range?
- Q2: Wall thickness?
- Q3: Dual-position?
- Q4: Speed?
- Q5: Motor options?</t>
  </si>
  <si>
    <t xml:space="preserve">- A1: 12" - 20" (305 - 508mm)
- A2: Up to 10mm depending on material
- A3: Yes, enables cutting both straight pipes and elbows
- A4: 95-250 RPM adjustable
- A5: 230V 1500W electric or pneumatic</t>
  </si>
  <si>
    <t>CM222FS15</t>
  </si>
  <si>
    <t xml:space="preserve">ORBITAL CUTTING MACHINE 2.300" TO 8.625"</t>
  </si>
  <si>
    <t>222FS15</t>
  </si>
  <si>
    <t xml:space="preserve">Mid-range orbital cutter for 2.3–8.625" OD pipes with concentric clamping, perpendicular cutting, and line laser guidance.</t>
  </si>
  <si>
    <t xml:space="preserve">Mid-range orbital cutting machine for 2.300" to 8.625" OD pipes with precision perpendicular cutting capability</t>
  </si>
  <si>
    <t xml:space="preserve">Concentric clamping system ensures zero deformation on thin-wall stainless steel</t>
  </si>
  <si>
    <t xml:space="preserve">Laser Guide</t>
  </si>
  <si>
    <t xml:space="preserve">Integrated line laser marks cut-off point for operator precision</t>
  </si>
  <si>
    <t xml:space="preserve">The ORBITAL CUTTING MACHINE 2.300" - 8.625" is engineered for mid-range pipe cutting with high precision and minimal thin-wall deformation, suitable for aerospace and pharmaceutical applications. It features concentric multi-point stainless steel jaws and planetary orbital motion to achieve perpendicularity under 0.25mm. It cuts pipe ODs from 2.300" to 8.625" (59 - 219 mm), with a standard 80mm blade and maximum wall thicknesses of 5mm for stainless steel and 8mm for carbon steel. The machine uses a 230V 1200W electric or pneumatic motor (1500 L/min @ 6 bar), with variable speed 95-280 RPM, integrated laser marking, typical cutting times of 30-60 seconds, and weighs 70 kg.</t>
  </si>
  <si>
    <t xml:space="preserve">Precision Orbital Cutting for Aerospace and Pharmaceutical Pipes</t>
  </si>
  <si>
    <t xml:space="preserve">Mid-range pipe cutting is critical in aerospace: The ORBITAL CUTTING MACHINE 2.300" - 8.625" delivers precision, deformation-free results for pharmaceutical and aerospace welding preparation.</t>
  </si>
  <si>
    <t xml:space="preserve">- 2.300" - 8.625" OD capacity
- Concentric multi-point stainless steel clamps
- Precision &lt;0.25mm perpendicularity
- Integrated line laser for accuracy
- 95-280 RPM speed control</t>
  </si>
  <si>
    <t xml:space="preserve">- Thin-wall stainless protection
- 5mm max stainless, 8mm carbon capability
- 80mm blade diameter
- Electric or pneumatic options
- Electronic speed adjustment</t>
  </si>
  <si>
    <t xml:space="preserve">Specify ORBITAL CUTTING MACHINE 2.300" - 8.625"</t>
  </si>
  <si>
    <t xml:space="preserve">Achieve precision mid-range pipe cutting with the ORBITAL CUTTING MACHINE 2.300" - 8.625". Ideal for aerospace, pharmaceutical, and precision welding applications. Available from authorized equipment suppliers.</t>
  </si>
  <si>
    <t xml:space="preserve">- Q1: OD range?
- Q2: Precision?
- Q3: Thin-wall capability?
- Q4: Blade size?
- Q5: Motor options?</t>
  </si>
  <si>
    <t xml:space="preserve">- A1: 2.300" - 8.625" (59 - 219mm)
- A2: &lt;0.25mm perpendicularity
- A3: 5mm stainless steel, 8mm carbon steel
- A4: 80mm standard diameter
- A5: 230V 1200W electric or pneumatic</t>
  </si>
  <si>
    <t>CM322FS15</t>
  </si>
  <si>
    <t xml:space="preserve">ORBITAL CUTTING MACHINE 5.500" TO 12.75"</t>
  </si>
  <si>
    <t>322FS15</t>
  </si>
  <si>
    <t xml:space="preserve">Heavy-duty orbital cutting machine designed for 5.5"–12.75" OD pipes, featuring concentric clamping to prevent deformation and dual-position blades for elbows and complex fittings.</t>
  </si>
  <si>
    <t xml:space="preserve">Large-range orbital cutting machine for 5.500" to 12.75" OD pipes with heavy-duty construction and consistent cutting performance</t>
  </si>
  <si>
    <t xml:space="preserve">Concentric clamping system prevents deformation on thin and thick-wall pipes</t>
  </si>
  <si>
    <t>Blade</t>
  </si>
  <si>
    <t xml:space="preserve">Dual-position blade capability for cutting elbows and complex fittings</t>
  </si>
  <si>
    <t xml:space="preserve">The ORBITAL CUTTING MACHINE 5.500" - 12.75" combines planetary orbital technology with heavy-duty concentric multi-point clamping for reliable pipe cutting in industrial and power generation applications. It provides deformation-free cuts on diverse materials and allows dual-position blade mounting for elbows and complex fittings. It cuts pipe ODs from 5.500" to 12.75" (140 - 324 mm) with precision ranging from &lt;0.25mm to &lt;0.4mm depending on diameter. The standard blade is 100mm, maximum wall thickness up to 8mm depending on material. It operates with a 230V 1500W electric or pneumatic motor (1500 L/min @ 6 bar), speed range 95-250 RPM, weighs 150 kg, and is suitable for carbon steel, stainless, inconel, and other alloys.</t>
  </si>
  <si>
    <t xml:space="preserve">Get a Quote</t>
  </si>
  <si>
    <t xml:space="preserve">Heavy-Duty Orbital Cutting for Large-Diameter Industrial Pipes</t>
  </si>
  <si>
    <t xml:space="preserve">Large-diameter pipe preparation is critical: The ORBITAL CUTTING MACHINE 5.500" - 12.75" delivers consistent, deformation-free cutting for industrial and power generation applications.</t>
  </si>
  <si>
    <t xml:space="preserve">- 5.500" - 12.75" OD capacity for large pipes
- Heavy-duty concentric clamping
- Planetary orbital cutting motion
- Dual-blade position for elbows
- 95-250 RPM speed control</t>
  </si>
  <si>
    <t xml:space="preserve">- 8mm max wall thickness capability
- 100mm blade diameter
- &lt;0.25-0.4mm perpendicularity
- Carbon, stainless, inconel compatible
- Electric or pneumatic motor</t>
  </si>
  <si>
    <t xml:space="preserve">Specify ORBITAL CUTTING MACHINE 5.500" - 12.75"</t>
  </si>
  <si>
    <t xml:space="preserve">Deploy large-diameter orbital cutting for industrial pipe preparation with the ORBITAL CUTTING MACHINE 5.500" - 12.75". Ideal for power generation, oil and gas, and heavy industrial applications.</t>
  </si>
  <si>
    <t xml:space="preserve">- Q1: OD range?
- Q2: Wall thickness?
- Q3: Perpendicularity?
- Q4: Dual-position?
- Q5: Speed range?</t>
  </si>
  <si>
    <t xml:space="preserve">- A1: 5.500" - 12.75" (140 - 324mm)
- A2: Up to 8mm depending on material
- A3: &lt;0.25-0.4mm depending on pipe diameter
- A4: Yes, enables elbow cutting
- A5: 95-250 RPM adjustable</t>
  </si>
  <si>
    <t>CM421FS15</t>
  </si>
  <si>
    <t xml:space="preserve">ORBITAL CUTTING MACHINE 8" TO 16"</t>
  </si>
  <si>
    <t>421FS15</t>
  </si>
  <si>
    <t xml:space="preserve">Industrial orbital cutting machine for 8"–16" OD pipes, using planetary orbital technology with robust clamping, variable speed control, and the strength to cut thick-wall high-carbon and alloy steels.</t>
  </si>
  <si>
    <t xml:space="preserve">Industrial-grade orbital cutting machine for 8" to 16" OD large pipes with planetary orbital technology and heavy-duty clamping</t>
  </si>
  <si>
    <t>Construction</t>
  </si>
  <si>
    <t xml:space="preserve">Robust construction handles thick-wall high-carbon and alloy steels</t>
  </si>
  <si>
    <t>Controls</t>
  </si>
  <si>
    <t xml:space="preserve">Integrated controls with variable speed for diverse material optimization</t>
  </si>
  <si>
    <t xml:space="preserve">The ORBITAL CUTTING MACHINE 8" - 16" is designed for heavy industrial pipe cutting, providing deformation-free precision for power generation, oil and gas, and other demanding industries. Planetary orbital motion and a heavy-duty multi-point industrial clamping system maintain consistent cuts on thick-wall pipes. It handles pipe ODs from 8" to 16" (203 - 406 mm) with precision under 0.4mm perpendicularity. Standard blade diameter is 100mm, maximum wall thickness up to 10mm depending on material. The machine uses a 230V 1500W electric or pneumatic motor (1500 L/min @ 6 bar) at 95-250 RPM, features electronic speed control with display, and weighs 170 kg.</t>
  </si>
  <si>
    <t xml:space="preserve">Industrial Orbital Cutting for Heavy-Diameter Pipe Preparation</t>
  </si>
  <si>
    <t xml:space="preserve">Industrial-scale pipe cutting demands robust equipment: The ORBITAL CUTTING MACHINE 8" - 16" delivers consistent, precision results for power generation, oil and gas, and heavy industrial applications.</t>
  </si>
  <si>
    <t xml:space="preserve">- 8" - 16" OD capacity for large industrial pipes
- Heavy-duty multi-point clamping jaws
- Planetary orbital cutting motion
- Variable speed 95-250 RPM
- Integrated electronic controls</t>
  </si>
  <si>
    <t xml:space="preserve">- &lt;0.4mm perpendicularity on large pipes
- 10mm thick-wall capability
- 100mm blade diameter
- Heavy-carbon and alloy steel compatible
- Electric or pneumatic motor options</t>
  </si>
  <si>
    <t xml:space="preserve">Specify ORBITAL CUTTING MACHINE 8" - 16"</t>
  </si>
  <si>
    <t xml:space="preserve">Handle large-diameter industrial pipe cutting with the ORBITAL CUTTING MACHINE 8" - 16". Ideal for power generation, oil and gas, and pipeline fabrication. Available for purchase or rental.</t>
  </si>
  <si>
    <t xml:space="preserve">- Q1: OD range?
- Q2: Wall thickness?
- Q3: Perpendicularity?
- Q4: Speed?
- Q5: Material handling?</t>
  </si>
  <si>
    <t xml:space="preserve">- A1: 8" - 16" (203 - 406mm)
- A2: Up to 10mm depending on steel type
- A3: &lt;0.4mm suitable for industrial welding
- A4: 95-250 RPM variable
- A5: Heavy-carbon, stainless, inconel, high-temp alloys</t>
  </si>
  <si>
    <t>SATFX115</t>
  </si>
  <si>
    <t xml:space="preserve">SATFX-115 CLOSED WELD HEAD (.5" - 4.5")</t>
  </si>
  <si>
    <t>SATFX-115</t>
  </si>
  <si>
    <t xml:space="preserve">Closed-chamber system with integrated electronic cycle control and water cooling to ensure optimal gas shielding and reliable duty cycles.</t>
  </si>
  <si>
    <t xml:space="preserve">Closed Chamber</t>
  </si>
  <si>
    <t xml:space="preserve">Closed chamber for optimum gas shielding</t>
  </si>
  <si>
    <t>Electronics</t>
  </si>
  <si>
    <t xml:space="preserve">Integrated electronics for cycle control</t>
  </si>
  <si>
    <t xml:space="preserve">Water cooling for duty cycle</t>
  </si>
  <si>
    <t xml:space="preserve">The SATFX head holders are designed for high-purity orbital welding of stainless steel, nickel alloy, and titanium tubes with ODs from 0.5" to 4.5" (12–115 mm). They provide a stable mechanical interface for closed-head orbital welding, ensuring uniform contact of collets or clamping jaws, proper electrode centering, and maintained inert gas shielding within the chamber. This setup delivers consistent, repeatable weld quality with reduced contamination risk, ideal for sanitary, biotech, or food-grade piping. Features include duty cycle up to 100A, integrated encoder with illuminated indicators, ergonomic handles for setup, and delivery in a watertight case.</t>
  </si>
  <si>
    <t xml:space="preserve">SATFX-115 Closed Orbital Weld Head</t>
  </si>
  <si>
    <t xml:space="preserve">Cleanroom Welding Excellence: Achieves top-tier seam quality for stainless, nickel alloy and titanium tubes.</t>
  </si>
  <si>
    <t xml:space="preserve">- Intuitive interface
- Water-cooled system
- Tool-free swap, easy adjustment</t>
  </si>
  <si>
    <t xml:space="preserve">- Robust aluminum jaws
- Integrated offset electrode
- Portable ergonomic handles</t>
  </si>
  <si>
    <t xml:space="preserve">SATFX-115 Inquiry</t>
  </si>
  <si>
    <t xml:space="preserve">For technical details, pricing, and expert configuration—contact us now.</t>
  </si>
  <si>
    <t xml:space="preserve">- Q1: Supported tube OD?
- Q2: Is duty cycle high?
- Q3: Closed chamber?
- Q4: Is it water-cooled?
- Q5: Portable?</t>
  </si>
  <si>
    <t xml:space="preserve">- A1: 0.5"–4.5"
- A2: Yes, up to 100A
- A3: Yes
- A4: Yes
- A5: Yes, ergonomic</t>
  </si>
  <si>
    <t xml:space="preserve">Closed-chamber unit offering precise gas shielding, electronic cycle control, and water cooling for consistent high-duty performance.</t>
  </si>
  <si>
    <t>SATFX170</t>
  </si>
  <si>
    <t xml:space="preserve">SATFX-170 CLOSED WELD HEAD (1.5" - 6.6")</t>
  </si>
  <si>
    <t>SATFX-170</t>
  </si>
  <si>
    <t xml:space="preserve">Water-cooled, closed-chamber system providing gas protection for a wide tube range from 1.5" to 6.6" with a durable, robust design.</t>
  </si>
  <si>
    <t xml:space="preserve">Closed chamber gas protection</t>
  </si>
  <si>
    <t xml:space="preserve">Handles large tube range (1.5"–6.6")</t>
  </si>
  <si>
    <t xml:space="preserve">Water-cooled, robust design</t>
  </si>
  <si>
    <t xml:space="preserve">The SATFX-115 closed head orbital TIG welding head is optimized for thin-walled tubes with ODs from 1.5" to 6.6" (38–170 mm). Its closed-chamber design with inert gas shielding ensures oxidation-free, contamination-free welding, suitable for sanitary, pharmaceutical, food, or high-purity process piping. The water-cooled electrode holder and rotor maintain performance and alignment during repeated welding cycles. Adjustable stainless steel collets and aluminum jaws provide concentric gripping with minimal deformation. The head features a pivoting window for electrode alignment verification, integrated motor encoder, ergonomic handles, optional cassette conversion for complex geometries, and delivery in a watertight case. Maximum duty cycle is 120A, weight 14.5 kg.</t>
  </si>
  <si>
    <t xml:space="preserve">SATFX-170 Large Diameter Closed Weld Head</t>
  </si>
  <si>
    <t xml:space="preserve">Large Tube Orbital Welding: Provides advanced gas shielding and precise seam control for critical installs.</t>
  </si>
  <si>
    <t xml:space="preserve">- Large OD welded range
- Integrated controls
- Ergonomic portable support</t>
  </si>
  <si>
    <t xml:space="preserve">- Robust jaws, high torque
- Illuminated indicators
- Adjustable clamping system</t>
  </si>
  <si>
    <t xml:space="preserve">SATFX-170 Inquiry</t>
  </si>
  <si>
    <t xml:space="preserve">Optimized for process, biotech, and pharma piping welds—request info, demo, or pricing.</t>
  </si>
  <si>
    <t xml:space="preserve">- Q1: Supported tube OD?
- Q2: Is it water cooled?
- Q3: Duty cycle?
- Q4: Closed chamber?
- Q5: Portable?</t>
  </si>
  <si>
    <t xml:space="preserve">- A1: 1.5"–6.6"
- A2: Yes
- A3: Up to 120A
- A4: Yes
- A5: Yes</t>
  </si>
  <si>
    <t xml:space="preserve">Robust, water-cooled closed-chamber solution engineered to protect gas quality while handling tube diameters from 1.5" to 6.6".</t>
  </si>
  <si>
    <t>SATFX-170-SUP</t>
  </si>
  <si>
    <t xml:space="preserve">SATFX-170 HEAD HOLDER</t>
  </si>
  <si>
    <t xml:space="preserve">Weld Head Accessory | Holder</t>
  </si>
  <si>
    <t xml:space="preserve">Adjustable heavy-duty holder specifically designed for the SATFX-170, supporting large heads with quick-swap capability and suspended positioning.</t>
  </si>
  <si>
    <t>Holder</t>
  </si>
  <si>
    <t xml:space="preserve">Dedicated holder for SATFX-170</t>
  </si>
  <si>
    <t xml:space="preserve">Designed for heavy and large heads</t>
  </si>
  <si>
    <t>Suspension</t>
  </si>
  <si>
    <t xml:space="preserve">Adjustable suspension and quick swap</t>
  </si>
  <si>
    <t xml:space="preserve">The SATFX-170 system is engineered for large-diameter thin-walled tubes (1.5" to 6" / 38–170 mm) in sanitary, process, pharmaceutical, or industrial piping requiring high-purity, contamination-free welds. Water-cooled rotors and grease-free operation maintain cleanroom standards. Optimized gas diffusion in the closed chamber provides uniform inert gas coverage to prevent oxidation and discoloration. Adjustable, ergonomic clamping jaws securely hold tubes without damage, with optional spacers for elbows or fittings. Maintenance and head changeover are simplified with tool-free access to rotation axes and toggle clamps, and the water circuit allows site maintenance without draining coolant. Supports 14.5 kg head, constructed of stainless steel and aluminum.</t>
  </si>
  <si>
    <t xml:space="preserve">SATFX-170 Dedicated Head Holder</t>
  </si>
  <si>
    <t xml:space="preserve">Specialized SATFX-170 Handling: Stability for large-diameter orbital weld applications.</t>
  </si>
  <si>
    <t xml:space="preserve">- Heavy weight support
- Tool-free install/removal
- Cleanroom ready</t>
  </si>
  <si>
    <t xml:space="preserve">- Adjustable suspension
- Fits big tube setups
- Ergonomic handles</t>
  </si>
  <si>
    <t xml:space="preserve">Buy SATFX-170 Holder</t>
  </si>
  <si>
    <t xml:space="preserve">Ask for fit guide, installation video, or order support.</t>
  </si>
  <si>
    <t xml:space="preserve">- Q1: For what head?
- Q2: Tool free?
- Q3: Material?
- Q4: Heavy support?
- Q5: Cleanroom compatible?</t>
  </si>
  <si>
    <t xml:space="preserve">- A1: SATFX-170
- A2: Yes
- A3: Stainless/aluminum
- A4: Yes
- A5: Yes</t>
  </si>
  <si>
    <t xml:space="preserve">Dedicated SATFX-170 holder built for heavy and oversized heads, featuring adjustable suspension and fast tool-free head exchange.</t>
  </si>
  <si>
    <t xml:space="preserve">The SATFX-170 system is designed for large-diameter thin-walled tubes (1.5" to 6" / 38–170 mm) in sanitary, process, pharmaceutical, or industrial piping systems requiring high-purity, contamination-free welds. Water-cooled rotors and grease-free operation maintain cleanroom standards. Optimized gas diffusion inside the closed chamber ensures uniform inert gas coverage to prevent oxidation and coloration. Adjustable ergonomic clamping jaws provide secure gripping without damaging tube surfaces, with optional spacers or flanges for elbows or fittings. Maintenance and head changeover are simplified with tool-free access to rotation axes and toggle clamps, and the water circuit allows site maintenance without draining coolant. Supports 14.5 kg head, constructed from stainless steel and aluminum.</t>
  </si>
  <si>
    <t>SATFX052</t>
  </si>
  <si>
    <t xml:space="preserve">SATFX-52 CLOSED WELD HEAD (.25" - 2")</t>
  </si>
  <si>
    <t>SATFX-52</t>
  </si>
  <si>
    <t xml:space="preserve">Compact closed-chamber orbital TIG welding head for thin-walled tubes and confined spaces, offering grease-free clean-room operation, water cooling, optimized gas diffusion, and fast tool-free assembly.</t>
  </si>
  <si>
    <t xml:space="preserve">TIG Weld Head</t>
  </si>
  <si>
    <t xml:space="preserve">Closed chamber orbital TIG welding head designed for thin-walled tubes and confined spaces</t>
  </si>
  <si>
    <t xml:space="preserve">Clean Room</t>
  </si>
  <si>
    <t xml:space="preserve">Grease-free operation compatible with clean room standards (Class A)</t>
  </si>
  <si>
    <t xml:space="preserve">Water-cooled electrode holder and aluminum flanges for extended service life</t>
  </si>
  <si>
    <t xml:space="preserve">Gas Flow</t>
  </si>
  <si>
    <t xml:space="preserve">Optimized gas diffusion system with maximum flow rate of 60 l/min</t>
  </si>
  <si>
    <t xml:space="preserve">The SATFX-52 closed orbital TIG welding head is engineered for precision fusion welding in confined spaces. It creates a fully inerted chamber, producing high-quality welds with minimal discoloration on stainless steel, nickel, and titanium-based alloys. Grease-free operation ensures compliance with cleanroom standards, making it suitable for pharmaceuticals, semiconductors, and aerospace manufacturing. Integral water cooling maintains consistent welding performance and longevity. Key specs include welding range ø 6–52 mm (0.25–2"), max current 150 A, 100% duty cycle 100 A, weight 8.6 kg, 8 m cable, and compatibility with electrodes 1.6 mm and 2.4 mm.</t>
  </si>
  <si>
    <t xml:space="preserve">Precision Closed Orbital Welding Head for Confined Space Applications</t>
  </si>
  <si>
    <t xml:space="preserve">Why closed-chamber orbital welding matters: Closed welding heads eliminate atmospheric contamination by creating a fully sealed inert environment, ensuring pristine weld quality, minimal coloration, and structural integrity essential for critical applications in aerospace, pharmaceutical, and food processing industries.</t>
  </si>
  <si>
    <t xml:space="preserve">- Water-cooled design for extended duty cycles
- Grease-free operation for clean room compatibility
- Stainless steel construction prevents contamination
- Compact footprint ideal for confined welding spaces
- 8-meter cable for remote power source positioning</t>
  </si>
  <si>
    <t xml:space="preserve">- Maximum 150 A welding current capability
- Tube diameter range 6 to 52 mm accommodates multiple applications
- Quick-change jaw system enables rapid setup
- Illuminated logo indicates power and welding cycle status
- Robust encoder-driven motor for angular positioning</t>
  </si>
  <si>
    <t xml:space="preserve">Acquire Your SATFX-52 Closed Weld Head Today</t>
  </si>
  <si>
    <t xml:space="preserve">Ensure high-quality, contaminant-free orbital welds in confined spaces with the SATFX-52 closed weld head. Available for purchase from authorized AXXAIR distributors and orbital welding equipment suppliers worldwide. Contact us for volume pricing, technical specifications, and integrated system solutions tailored to your specific welding requirements and production capacity.</t>
  </si>
  <si>
    <t xml:space="preserve">- Q1: What diameter tubes can the SATFX-52 weld?
- Q2: What is the maximum welding current available?
- Q3: Is this head suitable for clean room applications?
- Q4: What materials can be welded?
- Q5: What cooling system does the SATFX-52 use?</t>
  </si>
  <si>
    <t xml:space="preserve">- A1: The SATFX-52 is designed for tubes with outer diameters ranging from 6 mm to 52 mm (0.25" to 2"), with wall thicknesses typically under 3 mm.
- A2: The SATFX-52 provides a maximum welding current of 150 A, with a 100 A continuous duty cycle at 100%.
- A3: Yes, the SATFX-52 features grease-free operation making it fully compatible with clean room standards and pharmaceutical industry requirements.
- A4: This closed head is ideal for welding stainless steel (304, 316L), nickel-based alloys, and titanium alloys through fusion welding without filler metal.
- A5: The head features integral water cooling of the electrode holder and aluminum flanges, optimizing heat dissipation and extending component life.</t>
  </si>
  <si>
    <t xml:space="preserve">Closed-chamber orbital TIG welding head optimized for clean-room welding of thin-walled tubes, combining water-cooled components, high gas flow efficiency, and quick stainless-steel jaw assembly.</t>
  </si>
  <si>
    <t>SATFX76</t>
  </si>
  <si>
    <t xml:space="preserve">SATFX-76 CLOSED WELD HEAD (0.25" - 3")</t>
  </si>
  <si>
    <t>SATFX-76</t>
  </si>
  <si>
    <t xml:space="preserve">Closed-chamber orbital TIG welding head for tubes up to 76 mm OD, featuring adjustable pivoting clamping with shade 10 lens, optimized gas diffusion, SAXX software compatibility, and an ergonomic soft-touch design.</t>
  </si>
  <si>
    <t xml:space="preserve">Closed chamber orbital TIG welding head for intermediate diameter tubes up to 76 mm OD</t>
  </si>
  <si>
    <t xml:space="preserve">Wide pivoting adjustable force clamping system with shade 10 welding lens for operator safety</t>
  </si>
  <si>
    <t xml:space="preserve">Gas Diffusion</t>
  </si>
  <si>
    <t xml:space="preserve">Optimized gas diffusion ensures perfect gas protection with minimal coloration on welds</t>
  </si>
  <si>
    <t xml:space="preserve">Compatible with SAXX power sources featuring integrated software control</t>
  </si>
  <si>
    <t xml:space="preserve">The SATFX-76 closed orbital TIG welding head accommodates intermediate-diameter tubes from 6 to 77 mm (0.25–3") while maintaining closed-chamber inert gas welding benefits. Wide aluminum clamping jaws provide rigidity, and adjustable force ensures precise grip without damaging tubes. Ideal for aerospace, chemical processing, and medical device manufacturing, it delivers consistent, high-quality welds on stainless steel, nickel, and titanium alloys. Features include max welding current 150 A, 100% duty cycle 100 A, net weight 8.9 kg, dimensions 399 x 166 x 37.6 mm, 8 m cable, head diameter ø 187 mm, wall thickness &lt;3 mm, and max gas flow 60 l/min.</t>
  </si>
  <si>
    <t xml:space="preserve">Intermediate Diameter Closed Orbital Weld Head for Complex Geometries</t>
  </si>
  <si>
    <t xml:space="preserve">Why intermediate-size closed welding heads matter: For applications requiring larger diameter tubing (up to 77 mm) while maintaining closed-chamber fusion welding benefits, the SATFX-76 provides the perfect balance of capability and precision, ensuring consistent, high-quality welds on critical industrial components.</t>
  </si>
  <si>
    <t xml:space="preserve">- Wide aluminum clamping jaws for enhanced stability
- Adjustable force system without tools for precise control
- Illuminated status logo shows power and welding cycle status
- Integrated 8-meter cable for flexible positioning
- 100% duty cycle at 100 A for sustained production</t>
  </si>
  <si>
    <t xml:space="preserve">- ø 6 - ø 77 mm tube diameter range
- Maximum 150 A welding current for various thicknesses
- Shade 10 welding lens for operator eye protection
- Grease-free operation meets clean room standards
- Water-cooled electrode holder for extended life</t>
  </si>
  <si>
    <t xml:space="preserve">Upgrade to the SATFX-76 Closed Weld Head</t>
  </si>
  <si>
    <t xml:space="preserve">Expand your orbital welding capabilities with the SATFX-76, designed for intermediate-diameter tubes up to 3 inches. Available for purchase or rental from authorized AXXAIR distributors and orbital welding equipment suppliers globally. Contact us for competitive pricing, system integration support, and comprehensive technical consultation for your specific manufacturing requirements.</t>
  </si>
  <si>
    <t xml:space="preserve">- Q1: What is the maximum tube outer diameter for the SATFX-76?
- Q2: How does the SATFX-76 differ from the SATFX-52?
- Q3: What is the duty cycle for continuous welding?
- Q4: Can this head weld exotic alloys?
- Q5: Is the adjustable force clamping system tool-free?</t>
  </si>
  <si>
    <t xml:space="preserve">- A1: The SATFX-76 accommodates tubes with outer diameters from 6 mm to 77 mm (0.25" to 3"), making it suitable for intermediate-sized applications.
- A2: The SATFX-76 has a wider clamping range (up to 77 mm vs. 52 mm) and slightly larger dimensions to handle intermediate-diameter tubes while maintaining the same closed-chamber welding benefits.
- A3: The SATFX-76 provides a 100% duty cycle at 100 A, allowing sustained welding operations without cooling breaks.
- A4: Yes, the closed-chamber design is specifically engineered for welding stainless steel, nickel-based alloys, and titanium alloys without filler metal.
- A5: Yes, the adjustable force clamping system operates without tools, allowing operators to quickly adjust jaw pressure for different tube sizes and applications.</t>
  </si>
  <si>
    <t xml:space="preserve">Ergonomically designed closed-chamber orbital TIG weld head for intermediate tube diameters up to 76 mm OD, offering safe adjustable clamping, superior gas protection, and full integration with SAXX power sources.</t>
  </si>
  <si>
    <t>SAT0220E42</t>
  </si>
  <si>
    <t xml:space="preserve">SATO-220E42 OPEN WELD HEAD</t>
  </si>
  <si>
    <t>SATO-220E42</t>
  </si>
  <si>
    <t xml:space="preserve">Weld Head Assembly | Open Welding</t>
  </si>
  <si>
    <t xml:space="preserve">Water-cooled open orbital welding head with mechanical roll tracking, quick clamping, encoder-controlled motor startup at any angle, angled motor configuration, and filler metal capability for multi-pass welds.</t>
  </si>
  <si>
    <t xml:space="preserve">Open Weld Head</t>
  </si>
  <si>
    <t xml:space="preserve">Water-cooled open orbital welding head with mechanical roll tracking for constant arc height</t>
  </si>
  <si>
    <t xml:space="preserve">Symmetrical quick clamping lever system enables rapid setup and tube changes</t>
  </si>
  <si>
    <t xml:space="preserve">Motor with encoder allows tungsten electrode startup at any angular position</t>
  </si>
  <si>
    <t>Positioning</t>
  </si>
  <si>
    <t xml:space="preserve">Angled motor configuration (E42 designation) for flexible torch positioning</t>
  </si>
  <si>
    <t xml:space="preserve">The SATO-220E42 is a top-range open-head orbital TIG welding head designed for large diameter pipes up to 220 mm (8.265"). Its open configuration allows filler metal addition for thick-wall applications while maintaining orbital precision. Water-cooled torch and angled motor design ensure consistent multi-pass welds for petrochemical, power generation, and construction applications. Mechanical roll tracking maintains constant arc height without marking the tube surface, and symmetrical clamping enables rapid setup. Features include welding range ø 38–220 mm, net weight 9.4 kg, dimensions 353 x 186 x 350 mm, water-cooled torch, angled motor with encoder, 1.6 mm and 2.4 mm electrode compatibility, 200 A max current, and filler metal capable.</t>
  </si>
  <si>
    <t xml:space="preserve">Heavy-Duty Open Orbital Weld Head for Large Diameter Pipe Applications</t>
  </si>
  <si>
    <t xml:space="preserve">Why open orbital weld heads for large diameter pipe: Open-configuration heads enable filler metal addition essential for thick-wall applications, while maintaining orbital precision for consistent, high-quality multi-pass welds on large diameter pipes in critical infrastructure projects.</t>
  </si>
  <si>
    <t xml:space="preserve">- Water-cooled torch for high duty cycle applications
- Mechanical roll tracking maintains constant arc height
- Filler metal compatible for thick-wall applications
- Angled motor allows optimized torch positioning
- Compact design with low rotating free space</t>
  </si>
  <si>
    <t xml:space="preserve">- ø 38 - ø 220 mm diameter range for large pipes
- 200 A maximum current at water-cooled duty cycle
- Encoder-driven motor for flexible electrode startup
- Stainless steel construction prevents tube contamination
- Quick symmetrical clamping lever for rapid changeover</t>
  </si>
  <si>
    <t xml:space="preserve">Enhance Your Large Diameter Pipe Welding Capacity</t>
  </si>
  <si>
    <t xml:space="preserve">Invest in the SATO-220E42 open weld head for your heavy-duty orbital welding requirements. Available for purchase from AXXAIR and authorized orbital welding equipment distributors worldwide. Contact us for detailed specifications, system integration requirements, and comprehensive support for large-scale infrastructure welding projects.</t>
  </si>
  <si>
    <t xml:space="preserve">- Q1: What is the maximum diameter pipe this head can weld?
- Q2: Can filler metal be used with this head?
- Q3: What is the torch cooling system?
- Q4: What motor configuration is the E42 designation?
- Q5: How does mechanical roll tracking improve weld quality?</t>
  </si>
  <si>
    <t xml:space="preserve">- A1: The SATO-220E42 is designed for pipes with outer diameters from 38 mm to 220 mm (1.5" to 8.265"), the largest in the SATO open head range.
- A2: Yes, the SATO-220E42 is fully compatible with filler metal addition and wire feeding systems, enabling multi-pass welding for thick-wall applications.
- A3: The SATO-220E42 features water-cooled torch technology, providing high duty cycle capability for sustained production welding.
- A4: The E42 designation indicates an angled output motor with encoder, allowing tungsten electrode startup at any angular position for flexible welding geometry accommodation.
- A5: Mechanical roll tracking maintains a constant, precise arc height without marking the tube surface, resulting in consistent weld bead appearance and structural quality across multiple passes.</t>
  </si>
  <si>
    <t>SATO220E52</t>
  </si>
  <si>
    <t xml:space="preserve">SATO-220E52 AVC/OSC OPEN WELD HEAD</t>
  </si>
  <si>
    <t>SATO-220E52</t>
  </si>
  <si>
    <t xml:space="preserve">Advanced open orbital weld head with water cooling, AVC and oscillation systems, angled encoder motor, motorized axial oscillation, and precise arc control for thick-wall tubes up to 12.7 mm.</t>
  </si>
  <si>
    <t xml:space="preserve">Advanced water-cooled open weld head with Electronic Arc Voltage Control (AVC) and Oscillation (OSC) systems</t>
  </si>
  <si>
    <t xml:space="preserve">Angled output motor (E52 designation) with encoder for flexible electrode positioning</t>
  </si>
  <si>
    <t xml:space="preserve">Motorized axial oscillation capability (±10 mm) for superior weld penetration on thick-wall tubes</t>
  </si>
  <si>
    <t xml:space="preserve">Arc voltage automatically regulated to maintain precise electrode-to-tube distance</t>
  </si>
  <si>
    <t xml:space="preserve">The SATO-220E52 AVC/OSC open orbital head adds Arc Voltage Control (AVC) and Oscillation (OSC) for precise multi-pass welding on thick-wall pipes. AVC maintains consistent electrode-to-tube distance, and OSC sweeps the torch across the joint for uniform fusion and filler distribution. Ideal for petrochemical, power generation, shipbuilding, and aerospace applications, it supports pipes up to 220 mm OD and 12.7 mm wall thickness. Key specs: welding range ø 38–220 mm, net weight 15.1 kg, dimensions 353 x 220 x 350 mm, water-cooled torch, angled motor with encoder, 10 m cable, oscillation ±10 mm, AVC ±10 mm, max oscillation speed 15 mm/s, torch compatibility 1.6 mm / 2.4 mm electrodes.</t>
  </si>
  <si>
    <t xml:space="preserve">Precision Multi-Pass Orbital Weld Head with Automatic Arc Voltage and Oscillation Control</t>
  </si>
  <si>
    <t xml:space="preserve">Why AVC/OSC systems transform multi-pass orbital welding: Electronic arc voltage control eliminates manual arc gap adjustment, while oscillation enables precise torch sweeping for complete joint penetration and fill, resulting in defect-free, high-integrity welds on thick-wall pipes in critical infrastructure applications.</t>
  </si>
  <si>
    <t xml:space="preserve">- Electronic Arc Voltage Control (AVC) maintains precise electrode distance
- Motorized Oscillation (OSC) for controlled torch sweep motion
- Water-cooled high-duty-cycle torch for extended operation
- Capable of 12.7 mm wall thickness with multi-pass welding
- Compatible with AXXAIR SAXX 210 and 300 power sources</t>
  </si>
  <si>
    <t xml:space="preserve">- Angled motor (E52) for flexible torch positioning
- 20 mm oscillation range (±10 mm) for optimal joint fill
- 20 mm AVC regulation range for automatic distance control
- Maximum oscillation speed of 15 mm/s
- Encoder-driven motor allows startup at any electrode angle</t>
  </si>
  <si>
    <t xml:space="preserve">Implement Advanced Orbital Welding with SATO-220E52 AVC/OSC</t>
  </si>
  <si>
    <t xml:space="preserve">Achieve defect-free, high-integrity multi-pass welds on thick-wall pipes with the SATO-220E52 AVC/OSC system. Available exclusively from AXXAIR and authorized distributors for critical applications in petrochemical, power generation, and shipbuilding industries. Contact us for system configuration, technical specifications, and comprehensive training for your production team.</t>
  </si>
  <si>
    <t xml:space="preserve">- Q1: What does AVC/OSC stand for?
- Q2: What is the maximum wall thickness this head can weld?
- Q3: How does AVC improve weld quality?
- Q4: What is the oscillation range?
- Q5: Which power sources are compatible?</t>
  </si>
  <si>
    <t xml:space="preserve">- A1: AVC stands for Arc Voltage Control (electronically maintains electrode-to-tube distance), and OSC stands for Oscillation (motorized torch sweeping motion).
- A2: With the AVC/OSC system, the SATO-220E52 can reliably weld tubes with wall thicknesses up to 12.7 mm (0.5 inch) through multi-pass welding.
- A3: Electronic arc voltage control continuously adjusts electrode position to maintain optimal distance from the tube, compensating for variations and ensuring consistent penetration without operator adjustment.
- A4: The oscillation system provides a 20 mm total sweep (±10 mm from center) at speeds up to 15 mm/s for controlled torch motion across the weld joint.
- A5: The SATO-220E52 AVC/OSC is specifically designed for AXXAIR SAXX 210 and SAXX 300 power sources featuring integrated liquid coolant systems.</t>
  </si>
  <si>
    <t>SAXX200DGI</t>
  </si>
  <si>
    <t xml:space="preserve">SAXX-200DGI ORBITAL WELDING PS</t>
  </si>
  <si>
    <t>SAXX-200DGI</t>
  </si>
  <si>
    <t xml:space="preserve">Orbital Welding Power Supply</t>
  </si>
  <si>
    <t xml:space="preserve">200A DC TIG orbital welding power supply with wide auto-line input, intuitive 7.5" touch screen, automatic parameter calculation, and dual digital gas control with full monitoring.</t>
  </si>
  <si>
    <t xml:space="preserve">TIG Power Supply</t>
  </si>
  <si>
    <t xml:space="preserve">DC TIG orbital welding power supply with 200A maximum output</t>
  </si>
  <si>
    <t>Input</t>
  </si>
  <si>
    <t xml:space="preserve">110V to 230V single phase auto-line input with 50/60Hz compatibility</t>
  </si>
  <si>
    <t xml:space="preserve">7.5" color touch screen interface with intuitive programming</t>
  </si>
  <si>
    <t xml:space="preserve">Auto-calculation of welding parameters based on tube diameter and thickness</t>
  </si>
  <si>
    <t xml:space="preserve">The SAXX-200DGI is a professional DC TIG orbital welding power supply delivering precision control for demanding tube and pipe welding. Features include intuitive 7.5" color touchscreen, advanced sensors for arc voltage, gas flow, and water cooling, dual independent gas lines, real-time monitoring, and digital data acquisition of the last 999 welds. Auto-calculation modes simplify programming based on diameter, wall thickness, material, and tube configuration. Compact and portable, ideal for aerospace, pharmaceutical, and semiconductor applications. Specs: output 200 A max (140 A at 110V), duty cycle 200 A @25% (230V), display 7.5", dimensions 482 x 249 x 468 mm, weight 21 kg, USB data storage, standard orbital welding head connectors.</t>
  </si>
  <si>
    <t xml:space="preserve">200-Amp DC TIG Orbital Welding Power Supply with Digital Gas Control</t>
  </si>
  <si>
    <t xml:space="preserve">Why advanced power supplies matter: Modern orbital welding demands precise parameter control with real-time monitoring to ensure consistent quality. The SAXX-200DGI combines intuitive programming with advanced sensor technology, delivering repeatable high-quality welds across diverse tube sizes and materials.</t>
  </si>
  <si>
    <t xml:space="preserve">- 200A maximum DC TIG output
- 7.5" color touch screen interface
- Auto-line 110-230V single phase
- Dual independent gas lines
- Real-time parameter monitoring</t>
  </si>
  <si>
    <t xml:space="preserve">- Duty cycle 200A@25% (230V), 115A@100%
- Arc voltage and gas sensors
- Cooling liquid sensors included
- Inverter operation alarm protection
- Multi-brand weld head compatibility</t>
  </si>
  <si>
    <t xml:space="preserve">Upgrade to the SAXX-200DGI Orbital Welding Power Supply</t>
  </si>
  <si>
    <t xml:space="preserve">Achieve professional orbital welding results with the SAXX-200DGI power supply combining advanced technology with intuitive operation. Designed for demanding aerospace, pharmaceutical, and semiconductor applications. Available for purchase from authorized AXXAIR distributors worldwide. Contact us for system configuration, technical support, and application-specific training programs.</t>
  </si>
  <si>
    <t xml:space="preserve">- Q1: What is the maximum welding current output?
- Q2: Can this power source operate on field electrical systems?
- Q3: How does the touch screen interface improve ease of use?
- Q4: What data does the system record for quality documentation?
- Q5: Is this power source suitable for field deployment?</t>
  </si>
  <si>
    <t xml:space="preserve">- A1: The SAXX-200DGI delivers 200A maximum DC TIG output, enabling orbital welding of pipes up to 6" diameter.
- A2: Yes, the auto-line feature accepts 110-230V single-phase power with ±15% tolerance, accommodating varying field infrastructure.
- A3: The 7.5" color display with automatic parameter calculation reduces programming time and training requirements.
- A4: Advanced sensors record arc voltage, gas flow, cooling status, and welding parameters with complete cycle storage on USB.
- A5: Yes, the compact lightweight design facilitates transport and operation in field and temporary fabrication locations.</t>
  </si>
  <si>
    <t xml:space="preserve">High-performance 200A DC TIG orbital power source offering auto-line input, touch screen programming, automatic weld parameter calculation, and continuous digital gas monitoring.</t>
  </si>
  <si>
    <t>SAXX201</t>
  </si>
  <si>
    <t xml:space="preserve">SAXX-201 ORBITAL WELDING PS</t>
  </si>
  <si>
    <t>SAXX-201USDGI</t>
  </si>
  <si>
    <t xml:space="preserve">Compact 200A DC TIG orbital welding power supply for thin stainless steel tubes, featuring flexible auto-line input, defined duty cycles, a 7" multilingual touch screen, and full weld data acquisition.</t>
  </si>
  <si>
    <t xml:space="preserve">200A DC TIG orbital welding power supply suitable for thin stainless steel tubes</t>
  </si>
  <si>
    <t xml:space="preserve">110V to 230V single phase auto-line with 50/60Hz frequency</t>
  </si>
  <si>
    <t xml:space="preserve">Duty cycle: 200A at 25% (230V), 140A at 35% (110V)</t>
  </si>
  <si>
    <t xml:space="preserve">7" color touch screen with multilingual menu and 3 user levels</t>
  </si>
  <si>
    <t xml:space="preserve">The SAXX-201 is a portable DC TIG orbital welding power supply designed for thin-wall tubes up to 4.5" OD. It provides precision control, advanced monitoring, and full data documentation for regulated industries. Features include a 7" color touchscreen with multilingual support (13 languages), automatic parameter calculation, USB data storage for 999 welds, dual gas line controls, integrated thermal printer, and real-time monitoring of head sensors, cooling, and gas flow. Output: 200 A max, duty cycle 200 A @25% (230V), 140 A @35% (110V), weight 21 kg, compact for field or workshop use.</t>
  </si>
  <si>
    <t xml:space="preserve">Order Power Supply</t>
  </si>
  <si>
    <t xml:space="preserve">Portable 200-Amp Orbital TIG Welding Power Supply for Thin-Tube Applications</t>
  </si>
  <si>
    <t xml:space="preserve">Why portable power supplies matter: Thin-tube orbital welding applications require equipment that combines precision with field portability. The SAXX-201 provides professional-grade parameter control with complete data documentation for quality assurance in demanding pharmaceutical and semiconductor environments.</t>
  </si>
  <si>
    <t xml:space="preserve">- 200A maximum DC TIG output
- 7" color touch screen, 13 languages
- 200 programs, 20 sectors maximum
- USB data acquisition (last 999 welds)
- Integrated thermal printer included</t>
  </si>
  <si>
    <t xml:space="preserve">- Duty cycle 200A@25% (230V), 115A@100%
- Three user access levels (Op/Welder/Admin)
- Program classification by configuration
- Weld data recording and documentation
- Remote WiFi operation optional</t>
  </si>
  <si>
    <t xml:space="preserve">Order Your SAXX-201 Orbital Welding Power Supply Today</t>
  </si>
  <si>
    <t xml:space="preserve">Experience portable professional-grade orbital welding with the SAXX-201 power supply engineered for precision thin-tube applications. This advanced system delivers comprehensive data documentation for quality assurance. Available from leading orbital welding equipment suppliers and authorized distributors. Contact us for system specifications, pricing options, and specialized application support.</t>
  </si>
  <si>
    <t xml:space="preserve">- Q1: How many weld programs can this power source store?
- Q2: Does this system support data recording for quality traceability?
- Q3: What duty cycle ratings apply at 110V power?
- Q4: How many languages does the touch screen support?
- Q5: Is manual parameter adjustment available for experienced welders?</t>
  </si>
  <si>
    <t xml:space="preserve">- A1: The SAXX-201 stores up to 200 individual weld programs organized into 20 sectors maximum for efficient workflow management.
- A2: Yes, USB data storage captures the last 999 weld cycles with automatic documentation and integral printer capability.
- A3: At 110V input, the duty cycle is 140A @ 35% or 100A @ 100% continuous operation.
- A4: The 7" display supports 13 languages enabling operation by diverse workforce teams.
- A5: Yes, the three user access levels (Operator, Welder, Administrator) enable experienced personnel to manually adjust calculated parameters.</t>
  </si>
  <si>
    <t xml:space="preserve">DC TIG orbital power supply delivering up to 200A for thin-wall tubing, with multi-level user access, auto-line power input, and complete monitoring of weld head and purge gas.</t>
  </si>
  <si>
    <t xml:space="preserve">The SAXX-201 ORBITAL WELDING PS is a professional-grade portable DC TIG orbital welding power supply designed for thin-tube welding applications in pharmaceutical and semiconductor environments. It delivers up to 200A output for welding thin-wall stainless steel tubes up to 4.5" diameter with exceptional consistency. Featuring a 7" color touch screen with 13-language support and three user access levels, it allows flexible workplace integration. Automatic parameter calculation simplifies setup by prompting for tube diameter, wall thickness, configuration, and material composition. Full data acquisition captures all welding parameters for traceability, while two independent gas lines and real-time monitoring of weld head sensors, cooling system, and gas flow ensure reliable operation. USB connectivity enables program archiving and backup. Compact and lightweight at 21 kg (46.3 lbs), it is suitable for both field and workshop use.</t>
  </si>
  <si>
    <t>SAXX-210IOSC</t>
  </si>
  <si>
    <t xml:space="preserve">SAXX-210IOSC ORBITAL PS - WATER COOLED</t>
  </si>
  <si>
    <t xml:space="preserve">Orbital Welding Power Supply | Water Cooled</t>
  </si>
  <si>
    <t xml:space="preserve">SAXX-210 orbital welding power supply with integrated and detachable water cooling, 200A DC TIG output with oscillation option, advanced cooling monitoring, and compatibility with major weld head brands.</t>
  </si>
  <si>
    <t xml:space="preserve">SAXX-210 power supply with integrated water cooling system built-in</t>
  </si>
  <si>
    <t>Output</t>
  </si>
  <si>
    <t xml:space="preserve">200A DC TIG output with OSC oscillation option for heavy-wall welding</t>
  </si>
  <si>
    <t xml:space="preserve">700W cooling capacity with flow meter and alarm level monitoring</t>
  </si>
  <si>
    <t xml:space="preserve">Detachable water cooler for easy transport and maintenance</t>
  </si>
  <si>
    <t xml:space="preserve">The SAXX-210IOSC ORBITAL PS - WATER COOLED combines advanced oscillation welding with integrated 700W water-cooling technology to maintain optimal weld head temperature during high-duty-cycle operations. Delivering 200A DC TIG output with OSC oscillation for pipe and thick-wall tube welding, it features touch screen programming with automatic parameter calculation and two independent gas lines with digital flow control. The detachable water cooler simplifies transport and installation, while flow monitoring prevents thermal shutdowns. Compact and portable, it weighs 24-26 kg (53-57 lbs) including the cooling system. It supports 110-230V single-phase input and ensures reliable, continuous high-performance welding.</t>
  </si>
  <si>
    <t xml:space="preserve">Water-Cooled 200-Amp Orbital TIG Welding Power Supply</t>
  </si>
  <si>
    <t xml:space="preserve">Why water-cooled systems matter: High-duty-cycle orbital welding operations demand sustained cooling capacity to prevent thermal shutdowns. The SAXX-210IOSC WATER COOLED integrates professional cooling technology, enabling continuous production operations without cooling constraints.</t>
  </si>
  <si>
    <t xml:space="preserve">- 200A DC TIG output
- Built-in 700W water cooling
- OSC oscillation option included
- Detachable water cooler system
- Multi-brand weld head compatibility</t>
  </si>
  <si>
    <t xml:space="preserve">- Water cooler runs 700W capacity
- 15-20 liter tank capacity
- Flow meter with alarm protection
- Sustained high-duty-cycle operation
- Detachable transport design</t>
  </si>
  <si>
    <t xml:space="preserve">Invest in the SAXX-210IOSC WATER COOLED Power Supply</t>
  </si>
  <si>
    <t xml:space="preserve">Achieve sustained high-performance orbital welding with the SAXX-210IOSC WATER COOLED system featuring integrated cooling technology. This advanced equipment enables extended production cycles without thermal limitations. Available for purchase from authorized AXXAIR distributors and orbital welding specialists. Contact us for system specifications, cooling system integration, and on-site training support.</t>
  </si>
  <si>
    <t xml:space="preserve">- Q1: What cooling capacity does the built-in water cooler provide?
- Q2: What are the tank capacity specifications?
- Q3: Is the water cooler removable for transport?
- Q4: How does built-in water cooling expand weldable parameter ranges?
- Q5: What alarm systems monitor cooling function?</t>
  </si>
  <si>
    <t xml:space="preserve">- A1: The integrated water cooler delivers 700 watts of cooling capacity with 1 L/min flow rate.
- A2: The cooling tank capacity is 15-20 liters, adequate for extended production shifts.
- A3: Yes, the detachable water cooler separates from the unit for compact field transport without requiring cold disassembly.
- A4: Sustained cooling enables higher amperage and duty cycle operation, expanding the range of tubing thicknesses that can be welded.
- A5: Flow meter with alarm monitoring alerts operators to insufficient cooling flow, preventing thermal shutdowns during critical operations.</t>
  </si>
  <si>
    <t>SB-SAXX</t>
  </si>
  <si>
    <t xml:space="preserve">SAXX SWITCH BOX</t>
  </si>
  <si>
    <t>SASW-DGW</t>
  </si>
  <si>
    <t xml:space="preserve">Welding Power Supply Accessory | Switch Box</t>
  </si>
  <si>
    <t xml:space="preserve">Compact switchbox accessory for SAXX orbital systems that allows two welding machines to be alternately powered from one SAXX power source, optimizing setup time and productivity</t>
  </si>
  <si>
    <t xml:space="preserve">Function &amp; Purpose</t>
  </si>
  <si>
    <t xml:space="preserve">Enables alternating operation of two welding machines with a single SAXX orbital welding power source to reduce idle time and increase throughput.</t>
  </si>
  <si>
    <t xml:space="preserve">Control Interface</t>
  </si>
  <si>
    <t xml:space="preserve">Manual switch button and active machine start control with green LED indicator to show when switching is possible.</t>
  </si>
  <si>
    <t xml:space="preserve">Works with SAXX series power sources and compatible machines, supports two gas lines per machine and optional wire feeders based on SAXX configuration.</t>
  </si>
  <si>
    <t xml:space="preserve">Time &amp; Cost Efficiency</t>
  </si>
  <si>
    <t xml:space="preserve">Reduces need for dual power sources, saving cost and accelerating part preparation and welding cycles.</t>
  </si>
  <si>
    <t xml:space="preserve">The SAXX Switch Box (often listed under part number SASW‑DGW) is an accessory for orbital welding systems designed to allow two welding machines to be operated alternately using a single SAXX‑series orbital welding power source. This enables operators to position and prepare parts in one machine while the other is welding, reducing setup time and increasing productivity without needing two separate power units. The unit includes a switch button with LED indicators showing the active machine, and switching can be done manually or via the start button of the inactive machine. It supports use with two gas lines and two wire feeders depending on the options selected on the SAXX power source, and is compatible with all welding machines that work with SAXX power sources. Typical specifications include 110–230 V supply, 50/60 Hz, max welding current 300 A, dimensions ~467×247×385 mm, and weight ~13 kg (29 lbs).</t>
  </si>
  <si>
    <t xml:space="preserve">Dual‑Machine Orbital Welding Switch Box for SAXX Power Sources (Model SASW‑DGW)</t>
  </si>
  <si>
    <t xml:space="preserve">Welding Productivity &amp; Cycle Time Optimizer — The AXXAIR SAXX Switch Box is an orbital welding accessory that allows two welding machines or heads to be connected to a single SAXX series power source. This enables one welding setup to be prepared while the other welds, significantly reducing idle time and increasing throughput. Compatible with a wide range of orbital welding heads and equipment that work with SAXX power units, this switch box adds operational flexibility and cost‑efficiency by avoiding the need for multiple power supplies.</t>
  </si>
  <si>
    <t xml:space="preserve">- Switch between two welding machines using one SAXX power source
- Green LED indicates readiness to switch
- Can switch via button or start command of inactive machine
- Compatible with manual torches and PPM reader
- Supports different machines and programs on each connection</t>
  </si>
  <si>
    <t xml:space="preserve">- Model: SASW‑DGW Switchbox
- Supply Voltage: 110 – 230 V, 50/60 Hz, 1.9 A max
- Max Welding Current: 300 A
- Dimensions: 467 × 247 × 385 mm (18.4 × 9.7 × 15.1″)
- Weight: ≈ 13 kg (29 lbs) (excluding machines with AVC/OSC)
- Gas and wire feeder options supported depending on SAXX configuration</t>
  </si>
  <si>
    <t xml:space="preserve">Optimize Orbital Welding Productivity</t>
  </si>
  <si>
    <t xml:space="preserve">The SAXX Switch Box is an industrial welding accessory designed to increase productivity and reduce equipment cost by allowing two welding machines or heads to be alternately powered by a single SAXX orbital welding power source. With intuitive controls and LED indicators, operators can prepare one set of parts while the other machine is welding, significantly reducing setup time and maximizing output. It is compatible with SAXX power sources and many welding heads, supporting dual gas lines, wire feeders, and different welding programs for each connected machine. Contact your authorized supplier for compatibility verification and accessory details.</t>
  </si>
  <si>
    <t xml:space="preserve">- Q1: What is the purpose of the SAXX Switch Box?
- Q2: Which machines or heads can be connected to it?
- Q3: How does switching between machines work?
- Q4: What productivity benefits does it provide?
- Q5: Are additional components supported?</t>
  </si>
  <si>
    <t xml:space="preserve">- A1: The Switch Box lets you use two welding machines or heads with a single SAXX orbital welding power source, enabling alternate use without needing two power supplies. 
- A2: It works with all welding machines and heads compatible with SAXX power sources, including two different machines running two different programs. 
- A3: Switching is controlled via a switch button or the start button of the inactive machine, with LED indicators showing which machine is selected. 
- A4: By preparing parts on one machine while the other is welding, the Switch Box reduces idle time and cuts overall production cycle time. 
- A5: Yes — depending on options chosen in the SAXX power source, it supports dual gas lines, two wire feeders, and manual torches, expanding flexibility and workflow efficiency.</t>
  </si>
  <si>
    <t>X500A</t>
  </si>
  <si>
    <t xml:space="preserve">X-500 AC WELD HEAD (0.250 - 0.500)</t>
  </si>
  <si>
    <t>X-500A</t>
  </si>
  <si>
    <t xml:space="preserve">Air-cooled Microfit closed orbital weld head for micro-fittings and tubes from 0.118"–0.500" OD, featuring diameter-specific cassettes, ultra-compact clearance, grease-free cleanroom operation, and up to 20 welds per hour.</t>
  </si>
  <si>
    <t xml:space="preserve">Microfit Weld Head</t>
  </si>
  <si>
    <t xml:space="preserve">Air-cooled Microfit closed orbital weld head for micro-fittings and tubes</t>
  </si>
  <si>
    <t xml:space="preserve">Tube OD Range</t>
  </si>
  <si>
    <t xml:space="preserve">OD range 0.118"-0.500" (3-12.7mm) with diameter-specific cassettes</t>
  </si>
  <si>
    <t xml:space="preserve">Compact design requiring only 0.5" axial clearance for tight spaces</t>
  </si>
  <si>
    <t>Cleanroom</t>
  </si>
  <si>
    <t xml:space="preserve">Grease-free operation compatible with clean room standards</t>
  </si>
  <si>
    <t xml:space="preserve">The X-500 AC air-cooled weld head delivers precision micro-welding in confined spaces with minimal axial clearance of 0.5" (12.7mm), making it ideal for semiconductor and pharmaceutical applications. The grease-free design meets cleanroom standards, while diameter-specific cassettes maintain accurate alignment. It supports welding of tubes 0.118"-0.500" (3-12.7mm) in diameter, with up to 20 welds per hour production rate. Two-point collet clamping ensures secure operation, optimized gas diffusion minimizes weld coloration, and an 8m cable with multi-pin connector provides flexible connectivity. Lightweight at 5.6 kg (12.3 lbs), it is suitable for both shop and field use.</t>
  </si>
  <si>
    <t xml:space="preserve">Request Complete System Quote</t>
  </si>
  <si>
    <t xml:space="preserve">Air-Cooled X-500 Microfit Closed Orbital Weld Head</t>
  </si>
  <si>
    <t xml:space="preserve">Precision Micro-Welding in Confined Spaces: The air-cooled X-500 AC delivers uncompromised weld quality for semiconductor and pharmaceutical applications requiring minimal axial clearance.</t>
  </si>
  <si>
    <t xml:space="preserve">- Microfit design for tight spaces
- 0.5" minimum axial clearance
- Grease-free cleanroom compatible
- 20 welds per hour rate
- Diameter-specific cassettes</t>
  </si>
  <si>
    <t xml:space="preserve">- 3-12.7mm OD capability
- 0.5" minimum clearance
- 20 welds per hour max
- 5.6kg (12.3 lbs) weight
- 8-meter cable length</t>
  </si>
  <si>
    <t xml:space="preserve">Optimize Your Orbital Welding System with Complete Accessories</t>
  </si>
  <si>
    <t xml:space="preserve">Achieve high-quality fusion welds on 0.250"–0.500" tubing with the X-500 AC weld head, designed for clean, controlled orbital AC welding. Ideal for aluminum and specialty alloys. Contact us for head specs, power-source compatibility, and pricing.</t>
  </si>
  <si>
    <t xml:space="preserve">- Q1: How many welds per hour can the air-cooled X-500 AC produce?
- Q2: What is the minimum axial clearance required?
- Q3: Is the X-500 AC suitable for cleanroom environments?
- Q4: What cassette sizes are available?
- Q5: Can I use the X-500 AC for materials other than stainless steel?</t>
  </si>
  <si>
    <t xml:space="preserve">- A1: Maximum 20 welds per hour on 3-12.7mm diameter, 1.24mm thick stainless steel tubing.
- A2: Only 0.5 inch (12.7mm) minimum clearance required between clamped parts.
- A3: Yes, grease-free operation meets the strictest cleanroom manufacturing standards.
- A4: Cassettes available for OD sizes 3.0mm, 3.175mm, 6.0mm, 6.35mm, 8.0mm, 9.53mm, 10.0mm, 12.0mm, 12.70mm.
- A5: Yes, suitable for any stainless steel grades and compatible exotic alloys.</t>
  </si>
  <si>
    <t>X500E</t>
  </si>
  <si>
    <t xml:space="preserve">X-500 WC WELD HEAD (0.250 - 0.500)</t>
  </si>
  <si>
    <t>X-500E</t>
  </si>
  <si>
    <t xml:space="preserve">Water-cooled Microfit closed orbital weld head for precision micro-welding from 0.118"–0.500" OD, offering optimized cassettes, superior cooling for up to 30 welds per hour, grease-free cleanroom compliance, and minimal weld coloration.</t>
  </si>
  <si>
    <t xml:space="preserve">Water-cooled Microfit closed orbital weld head for precision micro-welding</t>
  </si>
  <si>
    <t xml:space="preserve">OD 0.118"-0.500" (3-12.7mm) with optimized cassette system</t>
  </si>
  <si>
    <t xml:space="preserve">Superior cooling enables 30 welds per hour production rate</t>
  </si>
  <si>
    <t xml:space="preserve">Grease-free design for semiconductor and pharmaceutical cleanroom compliance</t>
  </si>
  <si>
    <t xml:space="preserve">The X-500 WC water-cooled weld head enables sustained high-production micro-welding, producing up to 30 welds per hour on 0.118"-0.500" (3-12.7mm) tubes. Its closed-chamber design provides superior gas protection with minimal coloration, and grease-free construction ensures cleanroom compliance. Quick-fit diameter-specific cassettes allow rapid tool changes, while precision collet clamping ensures stable tube holding. Water-cooling extends duty cycles, and the unit includes an 8m cable and shockproof carrying case. Lightweight at 5.6 kg (12.3 lbs), it supports high-performance, cleanroom-compatible micro-welding operations.</t>
  </si>
  <si>
    <t xml:space="preserve">Water-Cooled X-500 Microfit Closed Orbital Weld Head</t>
  </si>
  <si>
    <t xml:space="preserve">High-Production Micro-Welding Performance: The water-cooled X-500 WC enables sustained micro-welding production rates while maintaining superior gas protection in the cleanest industrial environments.</t>
  </si>
  <si>
    <t xml:space="preserve">- Water cooling for extended duty
- 30 welds per hour maximum rate
- Superior gas protection design
- Cleanroom standard compatible
- Quick-fit cassette system</t>
  </si>
  <si>
    <t xml:space="preserve">- 3-12.7mm OD range
- 0.5" clearance required
- 30 welds per hour rate
- 5.6kg portable weight
- Shockproof case included</t>
  </si>
  <si>
    <t xml:space="preserve">The X-500 WC weld head provides water-cooled performance for 0.250"–0.500" tubes, ensuring thermal stability and consistent orbital weld quality in demanding environments. Contact us for cooling requirements, specs, and availability.</t>
  </si>
  <si>
    <t xml:space="preserve">- Q1: What is the maximum production rate for the water-cooled X-500 WC?
- Q2: How much does the water cooling improve productivity?
- Q3: What cooling water flow rate is required?
- Q4: Does water cooling require maintenance?
- Q5: Can I retrofit the X-500 AC to water cooling?</t>
  </si>
  <si>
    <t xml:space="preserve">- A1: Up to 30 welds per hour capacity on standard 3-12.7mm tubes.
- A2: Water cooling enables 50% higher production rate compared to air-cooled alternative.
- A3: Typical 3-5 liters per minute at 2-3 bar pressure maintains optimal thermal performance.
- A4: Annual flushing recommended to prevent mineral scaling in cooling passages.
- A5: Yes, water-cooling conversion kits available through AXXAIR for field upgrades.</t>
  </si>
  <si>
    <t xml:space="preserve">Precision water-cooled Microfit closed orbital weld head covering 0.118"–0.500" OD, designed for high-production cleanroom environments with optimized gas diffusion and enhanced cooling performance.</t>
  </si>
  <si>
    <t>X750E</t>
  </si>
  <si>
    <t xml:space="preserve">X-750 CLOSED WELD HEAD (.025" - .750")</t>
  </si>
  <si>
    <t>X-750E</t>
  </si>
  <si>
    <t xml:space="preserve">Closed orbital weld head for medium-diameter tubes from approximately 0.025"–0.750" OD, featuring detachable cassettes, optional air or water cooling, and integrated electrode positioning with arc gap control.</t>
  </si>
  <si>
    <t xml:space="preserve">Medium Tube Weld Head</t>
  </si>
  <si>
    <t xml:space="preserve">Closed weld head for medium diameter tube applications</t>
  </si>
  <si>
    <t xml:space="preserve">Tube diameter range approximately 0.025"-0.750" OD coverage</t>
  </si>
  <si>
    <t xml:space="preserve">Water or air cooling options for various production requirements</t>
  </si>
  <si>
    <t>Cassette</t>
  </si>
  <si>
    <t xml:space="preserve">Detachable cassette system for rapid tool changes</t>
  </si>
  <si>
    <t xml:space="preserve">The X-750 closed weld head extends precision orbital welding into medium-diameter tubes up to 0.750" in diameter while maintaining a compact footprint. Available with water or air cooling, it supports sustained high-amperage duty cycles. Diameter-specific cassettes ensure repeatable clamping concentricity, and motor-driven rotation with encoder feedback delivers precise positioning for all weld angles. The compact inline configuration minimizes floor space without compromising production capability. Two-point collet clamping secures tubes, and integrated electrode control allows accurate position and arc gap adjustment. An 8-meter multi-pin connection cable provides standard connectivity.</t>
  </si>
  <si>
    <t xml:space="preserve">X-750 Closed Weld Head for Medium Diameter Applications</t>
  </si>
  <si>
    <t xml:space="preserve">Versatile Medium-Diameter Welding: The X-750 closed head expands AXXAIR precision welding capability into larger tube diameters while maintaining compact footprint and advanced control features.</t>
  </si>
  <si>
    <t xml:space="preserve">- Medium diameter tube capability
- Water or air cooling options
- Cassette clamping system
- Motor-driven rotation
- Compact inline configuration</t>
  </si>
  <si>
    <t xml:space="preserve">- 0.025"-0.750" OD range
- Two-point clamp design
- Extended duty cycles
- 8-meter cable assembly
- Motor with encoder</t>
  </si>
  <si>
    <t xml:space="preserve">Get precision orbital welding for ultra-small to mid-range tubing with the X-750 CLOSED WELD HEAD, supporting 0.025"–0.750" OD with full shielding and enclosed arc protection. Contact us for collet options, power-source compatibility, and pricing.</t>
  </si>
  <si>
    <t xml:space="preserve">- Q1: What is the OD range for the X-750 closed head?
- Q2: Can I use both water and air cooling on the same head?
- Q3: What is the clamping system design?
- Q4: Can this head weld different materials on the same workpiece?
- Q5: Is the X-750 compatible with AXXAIR SAXX power sources?</t>
  </si>
  <si>
    <t xml:space="preserve">- A1: The X-750 accommodates approximately 0.025"-0.750" OD tube range with appropriate cassettes.
- A2: Yes, the X-750 is available in both air-cooled and water-cooled configurations.
- A3: Two-point collet clamp mechanism provides precision holding without distortion.
- A4: Yes, the motor-driven rotation enables welding diverse materials in sequence.
- A5: Yes, standard compatibility with AXXAIR SAXX-200 and SAXX-300 series power sources.</t>
  </si>
  <si>
    <t>A019146LDP</t>
  </si>
  <si>
    <t xml:space="preserve">COOLANT LINE L500/L750</t>
  </si>
  <si>
    <t>A019146</t>
  </si>
  <si>
    <t>LIBURDI</t>
  </si>
  <si>
    <t xml:space="preserve">Cooling System | Weld Head Accessory</t>
  </si>
  <si>
    <t xml:space="preserve">Coolant line assembly for L500/L750 orbital heads with durable hoses and quick‑connect fittings, ensuring consistent liquid cooling flow for high‑duty fusion welding</t>
  </si>
  <si>
    <t xml:space="preserve">Designed to support Liburdi L500 &amp; L750 orbital weld heads’ advanced liquid cooling systems for extended weld cycles </t>
  </si>
  <si>
    <t xml:space="preserve">Flow Reliability</t>
  </si>
  <si>
    <t xml:space="preserve">Ensures stable coolant delivery to head and torch </t>
  </si>
  <si>
    <t xml:space="preserve">Connector Design</t>
  </si>
  <si>
    <t xml:space="preserve">Quick‑connect hose fittings for fast setup/teardown </t>
  </si>
  <si>
    <t>Durability</t>
  </si>
  <si>
    <t xml:space="preserve">Reinforced hoses and corrosion‑resistant components for industrial use </t>
  </si>
  <si>
    <t xml:space="preserve">The “L500” and “L750” are orbital weld head series by Liburdi / Dimetrics designed for autogenous tube welding over smaller diameters (L500: ~0.12″–0.50″; L750: ~0.125″–0.75″ tube OD). They feature an advanced liquid cooling system to support higher duty welding and extended use without overheating. These heads are typically used with dedicated orbital welding power supplies and include options for different collets to match tube sizes. </t>
  </si>
  <si>
    <t xml:space="preserve">Liquid‑Cooled Welding Support Line for L500 &amp; L750 Orbital Tube Weld Heads</t>
  </si>
  <si>
    <t xml:space="preserve">Advanced Cooling Integration for High‑Duty Orbital Welding — Designed to support the Liburdi Dimetrics L‑series weld heads (L500 &amp; L750), this coolant line provides consistent liquid circulation to maintain optimum welding temperature, extend duty cycles, and improve arc quality and component longevity. Works in conjunction with closed‑head TIG/GTAW fusion weld heads for small‑diameter tubes (3 mm–12 mm) in high‑precision fabrication environments.</t>
  </si>
  <si>
    <t xml:space="preserve">- Supports L500 &amp; L750 orbital weld heads
- Liquid cooling for extended duty welding
- For small tube fusion welding (≈0.12″–0.50″ OD)</t>
  </si>
  <si>
    <t xml:space="preserve">- Integrates with welding power supply cooling circuits
- Aids heat management for continuous operation
- Enhances precision and arc stability</t>
  </si>
  <si>
    <t xml:space="preserve">Advanced Coolant Solutions for L500/L750 Weld Heads</t>
  </si>
  <si>
    <t xml:space="preserve">The coolant line for L500 and L750 orbital fusion weld heads provides critical liquid cooling to enable high‑duty TIG/GTAW welding of thin‑wall tube and pipe. These cooling lines circulate water or cooling fluid between a welding power source/cooler and the weld head to manage heat, extend duty cycles, and preserve electrode life. Compatible with industry standard L‑series heads designed for small tube diameters, they help ensure consistent weld quality and head longevity.</t>
  </si>
  <si>
    <t xml:space="preserve">- Q1: What is the coolant line for L500/L750 used for?
- Q2: Which welding heads does it support?
- Q3: Why is liquid cooling important?
- Q4: Is a particular type of coolant required?
- Q5: Do I need to check flow before welding?</t>
  </si>
  <si>
    <t xml:space="preserve">- A1: It provides liquid cooling for L500 and L750 orbital fusion weld heads to keep the torch and cables within safe temperature ranges during extended welding cycles. 
- A2: It supports L500 and L750 and similar small‑diameter liquid‑cooled orbital weld heads. 
- A3: Liquid cooling prevents overheating of the weld head, electrodes and cables, improving duty cycle and weld consistency. 
- A4: Typically clean water with corrosion inhibiting additive or approved coolant mix is recommended; avoid dirty or contaminated fluids. 
- A5: Yes — you should verify coolant level and flow before every job to protect the equipment.</t>
  </si>
  <si>
    <t>GT400PS</t>
  </si>
  <si>
    <t xml:space="preserve">GT400 WELDING POWER SUPPLY</t>
  </si>
  <si>
    <t>A033288</t>
  </si>
  <si>
    <t xml:space="preserve">Welding Power Supply</t>
  </si>
  <si>
    <t xml:space="preserve">Portable multi‑process orbital welding power supply with up to 350 A output, Osprey controller, real‑time logging and telemetry integration for GTAW/GMAW workflows</t>
  </si>
  <si>
    <t xml:space="preserve">Output Power</t>
  </si>
  <si>
    <t xml:space="preserve">Up to 350 A output suitable for a wide range of tube/pipe welding tasks </t>
  </si>
  <si>
    <t xml:space="preserve">Osprey weld controller with large touchscreen and auto‑head recognition </t>
  </si>
  <si>
    <t xml:space="preserve">Processes Supported</t>
  </si>
  <si>
    <t xml:space="preserve">GTAW &amp; GMAW with built‑in calibration, real‑time data logging </t>
  </si>
  <si>
    <t xml:space="preserve">FireConnect, Factory 4.0 integration and optional I/O interfaces </t>
  </si>
  <si>
    <t xml:space="preserve">The GT400 is a multi‑process orbital welding power supply designed to support both tube and pipe welding with up to 350 A output. It features an intuitive 12″ touchscreen interface, real‑time data logging, servo control for motion, and support for GTAW and GMAW processes. Options include factory automation connectivity (MQTT), remote interfaces, and welding parameter monitoring with fault detection.</t>
  </si>
  <si>
    <t xml:space="preserve">Multi‑Process 350 A GT400 Portable Welding Power Supply with Osprey Controller</t>
  </si>
  <si>
    <t xml:space="preserve">Industry‑Leading Welding Power — The GT400 from Liburdi Dimetrics is a portable, full‑feature welding power supply and controller capable of multi‑process operation (orbital tube and pipe welding). It delivers up to 350 A output and includes advanced features such as real‑time data logging, the Osprey user‑interface experience, and optional factory 4.0 connectivity for telemetry and remote integration.</t>
  </si>
  <si>
    <t xml:space="preserve">- 350 A maximum output
- Supports orbital tube &amp; pipe welding
- Built‑in calibration &amp; intuitive controls
- Optional FirePilot AI, FireView 5 remote control</t>
  </si>
  <si>
    <t xml:space="preserve">- Portable controller with touchscreen interface
- Encoder, tach, potentiometer integration
- Optional external I/O support</t>
  </si>
  <si>
    <t xml:space="preserve">GT400 Multi‑Process Welding Power Supply</t>
  </si>
  <si>
    <t xml:space="preserve">The GT400 welding power supply is a portable, full‑function automatic welding machine capable of GTAW/TIG and other welding processes with up to 350 A output. It features a modern touchscreen controller, real‑time data logging, motion control for servos, and optional factory 4.0 integration features. Designed for high‑duty industrial orbital welding applications, it pairs with orbital weld heads and motion systems to deliver repeatable, quality welds.</t>
  </si>
  <si>
    <t xml:space="preserve">- Q1: What welding processes does the GT400 support?
- Q2: How much output power does it deliver?
- Q3: What advanced features does it include?
- Q4: Can it integrate with remote monitoring?
- Q5: What is it typically used for?</t>
  </si>
  <si>
    <t xml:space="preserve">- A1: It supports GTAW/TIG and other welding processes as configured for orbital welding. 
- A2: It delivers up to 350 A output for industrial‑strength welding. 
- A3: It includes a 12″ touchscreen, real‑time data logging, automatic calibration and motion control capabilities. 
- A4: Yes — optional FireView and MQTT connectivity give remote monitoring &amp; control capability. 
- A5: It’s used as a central power/controller for orbital weld heads and automatic weld systems in fabrication and industrial settings.</t>
  </si>
  <si>
    <t>P300LD</t>
  </si>
  <si>
    <t xml:space="preserve">LD PULSWELD P300 AUTOMATED</t>
  </si>
  <si>
    <t>P300</t>
  </si>
  <si>
    <t xml:space="preserve">Automated Welding System | Pulsed Weld</t>
  </si>
  <si>
    <t xml:space="preserve">Automated orbital welding power supply with 300 A output, multi‑servo control and integrated data logging, ideal for programmable fusing and quality‑controlled GTAW welding </t>
  </si>
  <si>
    <t xml:space="preserve">Welding Output</t>
  </si>
  <si>
    <t xml:space="preserve">Up to 300 A GTAW for tube and pipe welding </t>
  </si>
  <si>
    <t xml:space="preserve">Servo Control</t>
  </si>
  <si>
    <t xml:space="preserve">Controls multiple axes for automated weld motion </t>
  </si>
  <si>
    <t xml:space="preserve">Built‑in data logging for quality traceability </t>
  </si>
  <si>
    <t>Monitoring</t>
  </si>
  <si>
    <t xml:space="preserve">Integrated coolant/gas monitoring features </t>
  </si>
  <si>
    <t xml:space="preserve">The Liburdi Dimetrics P300 is a programmable orbital welding power supply with built‑in data logging, gas control and coolant flow monitoring. It delivers up to 300 A output, supports automated welding schedules, and is compatible with legacy weld heads. It provides precision welding control and is typically used in automated or semi‑automated orbital welding systems.</t>
  </si>
  <si>
    <t xml:space="preserve">P300 Programmable Orbital Welding System with Automated Control</t>
  </si>
  <si>
    <t xml:space="preserve">Precision Programmable Welding Power — The LD Pulsweld P300 is a programmable welding power source designed for automated orbital tube and pipe welding. It supports highly repeatable controlled weld cycles through its embedded microprocessor and program storage, optimizing productivity and weld consistency across production runs. (General industry context for P300‑series controllers in automated systems)</t>
  </si>
  <si>
    <t xml:space="preserve">- Programmable welding control
- Stores and executes automated cycles
- Designed for use with orbital weld heads such as tube tubesheet models</t>
  </si>
  <si>
    <t xml:space="preserve">- Automated current and travel control
- Interfaces with external weld heads
- Enhances repeatability and quality</t>
  </si>
  <si>
    <t xml:space="preserve">Portable Precision Welding — LD PulsWeld P300</t>
  </si>
  <si>
    <t xml:space="preserve">The Liburdi P300 power supply is a 300 A portable orbital welding power source that controls multiple servos and delivers precision GTAW welding. It offers built‑in data logging, schedule generation, and compatibility with advanced weld heads for a wide span of pipe and tube welding tasks. Designed for field and shop use, it balances portability with robust capability.</t>
  </si>
  <si>
    <t xml:space="preserve">- Q1: What is the P300 used for?
- Q2: How much welding output does it have?
- Q3: What control features does it include?
- Q4: Can it record welding data?
- Q5: What kinds of weld heads does it work with?</t>
  </si>
  <si>
    <t xml:space="preserve">- A1: It’s a portable orbital welding power supply that drives TIG/GTAW orbital heads. 
- A2: It delivers up to 300 A output for medium‑duty welding. 
- A3: It controls up to four servos and supports automatic weld schedule timing. 
- A4: Yes — it has built‑in data logging for real‑time graphical display and record keeping. 
- A5: It is compatible with a range of Liburdi orbital heads designed for pipe/tube GTAW applications.</t>
  </si>
  <si>
    <t>LBH</t>
  </si>
  <si>
    <t xml:space="preserve">LIBURDI BLOCK HEAD</t>
  </si>
  <si>
    <t>282-1120-108</t>
  </si>
  <si>
    <t xml:space="preserve">Weld Head Accessory | Fixture</t>
  </si>
  <si>
    <t xml:space="preserve">Heavy‑duty block‑style orbital welding head with precision clamping and robust drive for high‑duty cycle pipe/tube welding </t>
  </si>
  <si>
    <t xml:space="preserve">Head Design</t>
  </si>
  <si>
    <t xml:space="preserve">Rigid block‑style frame for stability under load </t>
  </si>
  <si>
    <t xml:space="preserve">Precision clamp segments minimize radial play </t>
  </si>
  <si>
    <t xml:space="preserve">Drive Mechanism</t>
  </si>
  <si>
    <t xml:space="preserve">High‑torque drive for steady rotation </t>
  </si>
  <si>
    <t xml:space="preserve">Application Range</t>
  </si>
  <si>
    <t xml:space="preserve">Medium to large diameter orbital welding </t>
  </si>
  <si>
    <t xml:space="preserve">The term “Liburdi Block Head” typically refers to a Liburdi orbital weld head block assembly used for holding the GTAW torch and collets during orbital welding. The specific model detail depends on the block configuration, but these head blocks are designed for durability and precise alignment in orbital applications across various tube sizes and materials. Detailed public spec pages for “Block Head” were not available online; this summary is based on typical Liburdi orbital weld head components.</t>
  </si>
  <si>
    <t xml:space="preserve">Modular Orbital Tube Weld Block Head for Precision GTAW Fusion Welding</t>
  </si>
  <si>
    <t xml:space="preserve">Robust Orbital Weld Head for Constrained Spaces — The Liburdi Block Head family offers compact orbital TIG (GTAW) welding solutions that deliver reliable precision welds on small tubular components. Designed for ergonomic accessibility in restricted fixtures, these heads support high‑precision welds in demanding environments like aerospace, semiconductor, and high‑purity processing. (Generalized head family context — specific product page not indexed online)</t>
  </si>
  <si>
    <t xml:space="preserve">- Compact head design for tight assemblies
- Liquid cooling integration (optional)
- Adaptive clamp &amp; torch alignment</t>
  </si>
  <si>
    <t xml:space="preserve">- Designed for small tube diameters
- Water‑cooled options for extended duty
- Compatible with orbital controllers</t>
  </si>
  <si>
    <t xml:space="preserve">Liburdi Tube‑to‑Tube Sheet Welding — Block Head</t>
  </si>
  <si>
    <t xml:space="preserve">The Liburdi Block Head is a rugged orbital weld head designed for tube‑to‑tube sheet welding in heat exchanger, boiler and condenser applications. Its modular design enables precise positioning and efficient GTAW fusion of tubes to the sheet surface in flush or recessed joints. Contact your supplier for specific diameter ranges and accessory compatibility.</t>
  </si>
  <si>
    <t xml:space="preserve">- Q1: What application is the Block Head designed for?
- Q2: What welding process does it support?
- Q3: Is it adjustable for different tube sizes?
- Q4: Where is it typically used?
- Q5: Does it require a specific power source?</t>
  </si>
  <si>
    <t xml:space="preserve">- A1: It’s designed for tube‑to‑tube sheet welding, securing tubes into sheets with consistent orbital welds. 
- A2: It supports orbital TIG/GTAW fusion welding for quality joints. 
- A3: Yes — modular components accommodate different tube and sheet diameters. 
- A4: It’s used in heat exchangers, condensers, boilers, and similar assemblies. 
- A5: Yes — it pairs with compatible orbital welding power sources that can control motion and weld parameters.</t>
  </si>
  <si>
    <t>M450TSH</t>
  </si>
  <si>
    <t xml:space="preserve">MODEL 450 TUBE TO TUBE SHEET HEAD</t>
  </si>
  <si>
    <t>320-6500-142</t>
  </si>
  <si>
    <t xml:space="preserve">Tube-to-Tubesheet Weld Head | Weld Head Assembly</t>
  </si>
  <si>
    <t xml:space="preserve">Portable tube‑to‑tube sheet weld head designed for flush, recessed and protruding joints with water‑cooled gas shroud, precise rotation and portability</t>
  </si>
  <si>
    <t xml:space="preserve">Designed for tube‑to‑tube sheet welding on heat exchangers and vessels </t>
  </si>
  <si>
    <t xml:space="preserve">Diameter Range</t>
  </si>
  <si>
    <t xml:space="preserve">Handles approx. 0.60″–1.50″ OD tubes </t>
  </si>
  <si>
    <t xml:space="preserve">Lightweight and easy to position </t>
  </si>
  <si>
    <t xml:space="preserve">Cooling &amp; Quality</t>
  </si>
  <si>
    <t xml:space="preserve">Water‑cooled shroud for consistent GTAW weld quality </t>
  </si>
  <si>
    <t xml:space="preserve">The Liburdi P450 Tube‑to‑Tube Sheet Weld Head is a lightweight, portable welding gun for precision welds between tubes and tube sheets. It supports tube diameters from roughly 0.6″ to 1.5″ (16 mm–38 mm) and is usable for both autogenous and wire‑fed applications. Its continuous rotation torch and ergonomic design make it suitable for efficient, accurate tube‑to‑tube‑sheet joints.</t>
  </si>
  <si>
    <t xml:space="preserve">Tube‑to‑Tube Sheet Weld Head Model P450 for Precision Seal Welding</t>
  </si>
  <si>
    <t xml:space="preserve">Autogenous Welding Head for Tube‑to‑Tube Sheet Joints — The Liburdi P450 is an orbital TIG weld head specifically designed for precision seal welding of tube‑to‑tube sheet joints in heat exchanger and boiler fabrication. Ideal for small‑diameter tubes, this head offers reliable alignment and water‑cooled shielding for consistent welded joints.</t>
  </si>
  <si>
    <t xml:space="preserve">- Designed for 5/8″‑1½″ (16 mm‑38 mm) tube range
- Water‑cooled shielding
- Tachometer feedback option</t>
  </si>
  <si>
    <t xml:space="preserve">- Lightweight &amp; portable head design
- Compatible with programmable controllers (like P300)
- Durable construction for shop &amp; field use</t>
  </si>
  <si>
    <t xml:space="preserve">Model 450 Tube‑to‑Tube Sheet Weld Head</t>
  </si>
  <si>
    <t xml:space="preserve">The Model 450 tube‑to‑tube sheet weld head is a lightweight, precise orbital head used for GTAW fusion welding of tubes into tube sheets. Engineered for consistent heat distribution and repeatable welds, it accommodates a defined range of tube diameters suited to industrial heat exchanger fabrication.</t>
  </si>
  <si>
    <t xml:space="preserve">- Q1: What is the Model 450 head for?
- Q2: What welding process does it use?
- Q3: What tube sizes does it fit?
- Q4: Can it be used for recessed joints?
- Q5: What industries use it?</t>
  </si>
  <si>
    <t xml:space="preserve">- A1: It’s for tube‑to‑tube sheet orbital welding applications. 
- A2: It uses orbital TIG/GTAW welding for high‑quality joints. 
- A3: It fits tubes within a specified diameter range typical of the P450 series. 
- A4: Yes — it supports flush, recessed, and flush‑to‑tube sheet welds. 
- A5: It’s used in heat exchanger, condenser and boiler manufacturing.</t>
  </si>
  <si>
    <t>M550TSH</t>
  </si>
  <si>
    <t xml:space="preserve">MODEL 550 TUBE TO TUBE SHEET HEAD</t>
  </si>
  <si>
    <t>320-6500-143</t>
  </si>
  <si>
    <t xml:space="preserve">Tube-to-tube-sheet orbital weld head designed for heat exchanger and process applications, delivering consistent weld quality with precision torch alignment, robust construction, and repeatable performance.</t>
  </si>
  <si>
    <t xml:space="preserve">Designed for reliable orbital tube-to-tube-sheet welding in heat exchanger and process equipment fabrication</t>
  </si>
  <si>
    <t xml:space="preserve">Wide Diameter Range</t>
  </si>
  <si>
    <t xml:space="preserve">Handles a broad range of tube diameters for versatile welding tasks</t>
  </si>
  <si>
    <t xml:space="preserve">High Precision Welding</t>
  </si>
  <si>
    <t xml:space="preserve">Enables precise, consistent welds around the tube circumference for secure joints</t>
  </si>
  <si>
    <t xml:space="preserve">Portable &amp; Robust Design</t>
  </si>
  <si>
    <t xml:space="preserve">Engineered for both on-site and shop environments with dependable construction</t>
  </si>
  <si>
    <t xml:space="preserve">The Model P550 Tube‑to‑Tube Sheet Weld Head (from Liburdi Dimetrics P‑Series) is a portable orbital welding head designed for making high‑quality welds between tubes and tube sheets in heat exchangers, boilers, and similar assemblies. It supports a tube diameter range of approximately 0.63″ to 3.5″ (16 mm–89 mm) and is suitable for both autogenous TIG/GTAW and wire‑fed welding processes with efficient water‑cooled torch and continuous rotation capability. It delivers precise, reproducible welds on flush, recessed, and slightly extended tube joints and includes tachometer feedback for controlled weld head positioning and consistent weld quality.</t>
  </si>
  <si>
    <t xml:space="preserve">Tube‑to‑Tube Sheet Weld Head Model P550 with Extended Diameter Range</t>
  </si>
  <si>
    <t xml:space="preserve">Versatile Orbital Welding Head for Tube‑to‑Tube Sheet Operations — The Liburdi P550 builds on the P450 design with support for larger diameters and enhanced adaptability. It delivers precise GTAW welds for both autogenous and wire‑fed applications, making it suitable for a broader range of tube‑to‑tube sheet configurations.</t>
  </si>
  <si>
    <t xml:space="preserve">- Tube diameter coverage approx. 0.63″‑3.5″ (16 mm‑89 mm)
- Continuous rotation torch
- Supports autogenous and wire feed modes</t>
  </si>
  <si>
    <t xml:space="preserve">- Lightweight and ergonomic design
- Water cooling ready
- Ideal for production and shop use</t>
  </si>
  <si>
    <t xml:space="preserve">Model 550 Enhanced Tube‑to‑Tube Sheet Head</t>
  </si>
  <si>
    <t xml:space="preserve">The Model 550 orbital tube sheet welding head expands on the capabilities of the 450 series, offering wider diameter support and increased adaptability. It delivers precise, efficient welds for autogenous and wire‑fed applications across a broader range of industrial tube‑to‑tube sheet joints.</t>
  </si>
  <si>
    <t xml:space="preserve">- Q1: What distinguishes the 550 head from the 450?
- Q2: What welding types does it support?
- Q3: What tube range does it handle?
- Q4: Is it portable?
- Q5: What applications suit it best?</t>
  </si>
  <si>
    <t xml:space="preserve">- A1: It supports a wider diameter range and enhanced adaptability. 
- A2: It supports GTAW (TIG) orbital welding for flush and recessed joints. 
- A3: It accommodates tubes larger than typical 450 series sizes. 
- A4: Yes — lightweight design aids portability. 
- A5: Best for industrial tube‑to‑tube sheet welding in heat exchanger and boiler fabrication.</t>
  </si>
  <si>
    <t>PIPEWORX400WS</t>
  </si>
  <si>
    <t xml:space="preserve">PIPEWORX 400 WELDING SYSTEM PKG 230/460V</t>
  </si>
  <si>
    <t>951000094</t>
  </si>
  <si>
    <t>MILLER</t>
  </si>
  <si>
    <t xml:space="preserve">Automated Welding System | Orbital Welding</t>
  </si>
  <si>
    <t xml:space="preserve">Multi-process PipeWorx 400 welding system package with dual-voltage 230/460V input, supporting pipe fabrication with advanced MIG, pulsed MIG, TIG, and stick processes, intuitive controls, and rapid process changeover.</t>
  </si>
  <si>
    <t xml:space="preserve">Multiprocess Welding</t>
  </si>
  <si>
    <r>
      <t xml:space="preserve">Supports multiple welding processes: MIG, Pulsed MIG, RMD®, Stick, DC TIG, and Flux-Cored for full pipe fabrication workflows(</t>
    </r>
    <r>
      <rPr>
        <u val="single"/>
        <color rgb="FF1155CC"/>
      </rPr>
      <t>Toolec</t>
    </r>
    <r>
      <rPr/>
      <t>)</t>
    </r>
  </si>
  <si>
    <t xml:space="preserve">Simple Setup</t>
  </si>
  <si>
    <r>
      <t xml:space="preserve">Intuitive, clearly labeled front panel with memory settings for faster process selection and reduced training time(</t>
    </r>
    <r>
      <rPr>
        <u val="single"/>
        <color rgb="FF1155CC"/>
      </rPr>
      <t>Toolec</t>
    </r>
    <r>
      <rPr/>
      <t>)</t>
    </r>
  </si>
  <si>
    <t xml:space="preserve">Quick Process Changeover</t>
  </si>
  <si>
    <r>
      <t xml:space="preserve">‘Quick-Select’ technology automatically sets polarity, outputs and parameters when switching welding modes(</t>
    </r>
    <r>
      <rPr>
        <u val="single"/>
        <color rgb="FF1155CC"/>
      </rPr>
      <t>Toolec</t>
    </r>
    <r>
      <rPr/>
      <t>)</t>
    </r>
  </si>
  <si>
    <t xml:space="preserve">Complete System Package</t>
  </si>
  <si>
    <t xml:space="preserve">Includes PipeWorx 400 power source, dual feeder with drive rolls, two 15 ft MIG guns, cable kit, side-mount hangers and running gear with cylinder rack</t>
  </si>
  <si>
    <t xml:space="preserve">The Miller® PipeWorx™ 400 Welding System Package (230/460 V) is a multiprocess industrial welding system designed for pipe fabrication and welding. It includes the PipeWorx 400 power source, dual wire feeder, two 300 A MIG guns, and an accessory cable kit. It delivers up to 400 A output and supports multiple welding processes including Stick, DC TIG (Lift‑ARC™), MIG, Flux‑Cored, Regulated Metal Deposition (RMD®), and Pulsed MIG, enabling seamless switching between processes with Quick‑Select™ technology and built‑in parameter memory. The system is optimized for pipe root, fill, and cap passes, with wind tunnel cooling and fan‑on‑demand protection for dusty workshop environments. It operates on three‑phase 230 V or 460 V input power and is widely used in fabrication shops, construction, pressure vessel, and refinery applications. </t>
  </si>
  <si>
    <t xml:space="preserve">PipeWorx 400 Multiprocess Pipe Welding System Package (230/460 V)</t>
  </si>
  <si>
    <t xml:space="preserve">Shop‑Level Integrated Welding System — The Miller PipeWorx 400 package is engineered for pipe fabrication environments with multi‑process capability, intuitive controls, and industry‑optimized process selection. Supports Stick, DC TIG, MIG, RMD®, Pulsed MIG and flux‑cored welding, with quick process switching and memory storage for multiple weld procedures.</t>
  </si>
  <si>
    <t xml:space="preserve">- Multi‑process support (Stick, TIG, MIG, RMD®)
- Quick‑Select technology for weld process switching
- Memory storage for programs</t>
  </si>
  <si>
    <t xml:space="preserve">- Input voltage selectable: 230/460 V 3‑phase
- Amperage range up to 400 A
- Includes dual feeder, cable kits, and MIG guns</t>
  </si>
  <si>
    <t xml:space="preserve">PipeWorx 400 Welding System Package 230/460V</t>
  </si>
  <si>
    <t xml:space="preserve">The PipeWorx 400 welding system is a multiprocess welding station designed for pipe fabrication, offering Stick, TIG, MIG/flux‑cored, RMD®, and Pulsed MIG processes with up to 400 A output. The system includes a dual feeder and cable kit, optimized for pipe welding productivity with stable arc performance and minimal setup changes between processes.</t>
  </si>
  <si>
    <t xml:space="preserve">- Q1: What processes does the PipeWorx 400 support?
- Q2: What output does it deliver?
- Q3: What’s included in the package?
- Q4: What industries is it used in?
- Q5: Do I need extra consumables?</t>
  </si>
  <si>
    <t xml:space="preserve">- A1: It supports Stick, DC TIG, MIG/Flux‑Cored, RMD® and Pulsed MIG welding processes. 
- A2: It offers up to 400 A output for heavy‑duty welding. 
- A3: Package typically includes the power source, dual feeder, guns, and cable kit. 
- A4: It’s used in pipe fabrication, construction and industrial welding. 
- A5: Yes — shielding gas, wire and other consumables must be supplied separately.</t>
  </si>
  <si>
    <t>COBRACOOLER</t>
  </si>
  <si>
    <t xml:space="preserve">COBRACOOLER COOLANT RECIRCULATOR</t>
  </si>
  <si>
    <t>250-153</t>
  </si>
  <si>
    <t xml:space="preserve">MK PRODUCTS</t>
  </si>
  <si>
    <t xml:space="preserve">Cooling System | Recirculator</t>
  </si>
  <si>
    <t xml:space="preserve">Portable coolant recirculator for CobraTig systems, model 250-153, featuring a mechanically integrated design with passive radiator cooling and quick-connect fittings for water-cooled weld heads.</t>
  </si>
  <si>
    <t xml:space="preserve">Coolant Recirculator</t>
  </si>
  <si>
    <t xml:space="preserve">Portable coolant recirculator for CobraTig systems</t>
  </si>
  <si>
    <t>Model</t>
  </si>
  <si>
    <t xml:space="preserve">250-153 model designed for water-cooled weldheads</t>
  </si>
  <si>
    <t xml:space="preserve">Mechanically integrated assembly design</t>
  </si>
  <si>
    <t xml:space="preserve">Passive cooling system with radiator technology</t>
  </si>
  <si>
    <t xml:space="preserve">The CobraCooler portable recirculator maintains optimal coolant temperature for water-cooled weld heads in mobile welding applications. Its passive radiator-based design operates without refrigerant, reducing maintenance and environmental impact. Quick-disconnect tubing fittings allow rapid integration with CobraTIG power supplies or standalone weld heads. Compact and lightweight, it fits under the CobraTIG 150 power supply and ensures consistent coolant flow and temperature during extended welding sessions. It supports 30-75 KVA systems and standard 120VAC 50/60 Hz input.</t>
  </si>
  <si>
    <t xml:space="preserve">Request Recirculator Quote</t>
  </si>
  <si>
    <t xml:space="preserve">Portable Coolant Recirculation System for CobraTIG</t>
  </si>
  <si>
    <t xml:space="preserve">Portable Coolant Recirculation Systems: Compact design maintains thermal control in mobile orbital welding applications. Quick-connect integration simplifies system configuration.</t>
  </si>
  <si>
    <t xml:space="preserve">- Passive radiator cooling system
- Quick-disconnect fittings
- Integrates under CobraTig units
- Compact Portable design</t>
  </si>
  <si>
    <t xml:space="preserve">- temperature regulation capability
- Standalone operation option
- Maintenance-free design
- extended coolant life</t>
  </si>
  <si>
    <t xml:space="preserve">Integrate CobraCooler Recirculation System</t>
  </si>
  <si>
    <t xml:space="preserve">Portable coolant recirculation technology enables orbital welding in remote locations and field operations. The CobraCooler system integrates seamlessly with your existing power supply and weld head equipment. Discuss your mobile welding requirements with our technical team to identify the optimal cooling solution.</t>
  </si>
  <si>
    <t xml:space="preserve">- Q1: How does compact design improve portability?
- Q2: What advantages does passive cooling provide?
- Q3: Why are quick-disconnect fittings important?
- Q4: What production volume suits this recirculator?
- Q5: Can this system operate continuously?</t>
  </si>
  <si>
    <t xml:space="preserve">- A1: Fits under CobraTIG units, enabling true portable orbital welding system configuration.
- A2: No refrigerant required; reduced maintenance; lower operating cost compared to active chillers.
- A3: Enable rapid setup and breakdown, supporting mobile welding operations and multiple work locations.
- A4: Ideal for small-to-medium volume or intermittent welding operations; larger operations need active chillers.
- A5: Yes, but performance is optimal for moderate duty cycles; very high-volume production may require active chilling.</t>
  </si>
  <si>
    <t xml:space="preserve">Compact CobraTig coolant recirculator (model 250-153) designed for water-cooled weld heads, offering passive radiator cooling, integrated assembly, and fast hose connections for easy setup.</t>
  </si>
  <si>
    <t>CT150</t>
  </si>
  <si>
    <t xml:space="preserve">COBRATIG 150 ORBITAL POWER SUPPLY</t>
  </si>
  <si>
    <t>254-153</t>
  </si>
  <si>
    <t xml:space="preserve">Lightweight 150A portable orbital welding power supply with SmartArc digital control, automatic program generation, multi-voltage input, and a built-in thermal printer for weld documentation.</t>
  </si>
  <si>
    <t xml:space="preserve">Portable Power Supply</t>
  </si>
  <si>
    <t xml:space="preserve">Portable 150-amp orbital welding power supply</t>
  </si>
  <si>
    <t>Controller</t>
  </si>
  <si>
    <t xml:space="preserve">Digital SmartArc controller for automatic program generation</t>
  </si>
  <si>
    <t>Weight</t>
  </si>
  <si>
    <t xml:space="preserve">Weighs only 42 pounds for mobile applications</t>
  </si>
  <si>
    <t xml:space="preserve">Multiple input voltage options (100/120/208/240V)</t>
  </si>
  <si>
    <t xml:space="preserve">The CobraTIG 150 portable orbital welding power supply delivers professional-grade welding performance in a lightweight 42-pound (19.1 kg) package, enabling easy transport to remote job sites. Its SmartArc digital controller automatically generates optimized weld procedures from tube diameter and wall thickness, allowing non-specialist operators to achieve consistent results. The unit supports multiple input voltages (100V, 120V, 208V, 240V AC) with single or three-phase operation and includes a built-in thermal printer for weld documentation. MicroTIG technology provides precise current control down to 0.1A, while the duty cycle reaches 100% at 130A and 60% at 150A. Pulse rates range from 0.01 to 2.55 seconds, and the unit measures 19" L x 8.5" W x 14" H.</t>
  </si>
  <si>
    <t xml:space="preserve">Request Power Supply Quote</t>
  </si>
  <si>
    <t xml:space="preserve">CobraTIG 150 Portable Orbital Welding Power Supply</t>
  </si>
  <si>
    <t xml:space="preserve">Portable Orbital Welding Power Supply Advantages: Lightweight design enables location flexibility while maintaining professional-grade welding capability. Automatic programming reduces operator training requirements.</t>
  </si>
  <si>
    <t xml:space="preserve">- 150 amp output power supply
 - SmartArc automatic programming
 - Only 42 pounds weight
 - Multiple voltage input options</t>
  </si>
  <si>
    <t xml:space="preserve">- MicroTIG 0.1A precision
- Non-specialist operator capable
- Quality documentation included
- Remote location deployment ready</t>
  </si>
  <si>
    <t xml:space="preserve">Deploy CobraTIG 150 Orbital Power Supply</t>
  </si>
  <si>
    <t xml:space="preserve">The CobraTIG 150 orbital power supply brings professional-grade welding capability to job sites and fabrication shops worldwide. Portable yet powerful, this system reduces operator training requirements while maintaining consistent weld quality. Discuss your orbital welding requirements with our application team to determine the optimal configuration.</t>
  </si>
  <si>
    <t xml:space="preserve">- Q1: What is the significance of SmartArc automatic programming?
- Q2: How does 42-pound weight enable location flexibility?
- Q3: What voltage options are available?
- Q4: How does built-in thermal printer improve quality assurance?
- Q5: What is MicroTIG technology capability?</t>
  </si>
  <si>
    <t xml:space="preserve">- A1: Eliminates manual procedure development; generates near-ideal weld parameters from tube OD and wall thickness.
- A2: Portable weight allows movement between job sites and remote locations without support equipment.
- A3: 100V, 120V, 208V, and 240V single or three-phase options accommodate various facility configurations.
- A4: Automatically documents every weld, supporting traceability and regulatory compliance.
- A5: Enables precise control down to 0.1 amps for critical micro-diameter applications requiring precision.</t>
  </si>
  <si>
    <t xml:space="preserve">Mobile 150-amp orbital welding power source weighing only 42 lbs, equipped with SmartArc automation, wide input voltage compatibility, and an integrated printer for weld data recording.</t>
  </si>
  <si>
    <t xml:space="preserve">The CobraTIG 150 portable orbital welding power supply delivers professional-grade welding performance at only 42 pounds (19.1 kg), making it ideal for remote locations and job sites. Its SmartArc digital controller automatically generates optimized weld procedures based on tube OD and wall thickness, allowing non-specialist operators to achieve consistent results. The unit accommodates multiple input voltages (100V, 120V, 208V, 240V AC) with single or three-phase operation. A built-in thermal printer documents every weld for quality assurance, while MicroTIG technology provides precise control down to 0.1A. Duty cycle reaches 100% at 130A and 60% at 150A, with pulse rates from 0.01 to 2.55 seconds. Dimensions are 19" L x 8.5" W x 14" H.</t>
  </si>
  <si>
    <t>M5001</t>
  </si>
  <si>
    <t xml:space="preserve">COPPERHEAD I  1/8"-1"OD</t>
  </si>
  <si>
    <t>5001</t>
  </si>
  <si>
    <t xml:space="preserve">Weld Head | Tube Welding</t>
  </si>
  <si>
    <t xml:space="preserve">Compact water-cooled orbital weld head for 1/8"–1" OD tubing, combining ergonomic lightweight design with high-duty-cycle performance and cost-effective sanitary welding capability.</t>
  </si>
  <si>
    <t xml:space="preserve">Compact Weld Head</t>
  </si>
  <si>
    <t xml:space="preserve">Compact orbital weld head for micro to small-diameter applications</t>
  </si>
  <si>
    <t xml:space="preserve">Operates on 1/8" to 1" outer diameter tube range</t>
  </si>
  <si>
    <t xml:space="preserve">Water-cooled design for high-duty-cycle operation</t>
  </si>
  <si>
    <t xml:space="preserve">Lightweight and ergonomic construction</t>
  </si>
  <si>
    <t xml:space="preserve">The COPPERHEAD I water-cooled weld head provides precision autogenous butt welding for small-diameter tubes from 1/8" to 1" (3.2–25.4 mm), ideal for aerospace, medical device, and semiconductor applications. Its narrow profile allows access to congested work areas while maintaining consistent, high-quality welds. The closed orbital head supports TIG/GTAW welding, high-cycle operation, and amperage ranges from 150-300A depending on configuration. Lightweight and compact, it is suitable for portable operations and cleanroom-compatible environments.</t>
  </si>
  <si>
    <t xml:space="preserve">Compact Orbital Weld Head for Precision Micro-Welding Applications</t>
  </si>
  <si>
    <t xml:space="preserve">Precision Micro-Welding Solutions for Small-Diameter Applications: The COPPERHEAD I provides reliable orbital welding for critical applications requiring precision and consistency.</t>
  </si>
  <si>
    <t xml:space="preserve">- 1/8" to 1" outer diameter capacity
 - Water-cooled construction
 - Narrow profile for tight spaces
 - High-duty-cycle capable
 - Lightweight portable design</t>
  </si>
  <si>
    <t xml:space="preserve">- precision micro-welding capability
- Sanitary-rated construction
- Cost-effective small-diameter solution
- reliable autogenous welds
- Field-proven technology</t>
  </si>
  <si>
    <t xml:space="preserve">Order Your COPPERHEAD I 1/8"-1" OD Weld Head Today</t>
  </si>
  <si>
    <t xml:space="preserve">Achieve precision micro-welding with the COPPERHEAD I orbital weld head. Perfect for critical small-diameter applications in aerospace, medical, and semiconductor industries. Contact authorized orbital welding system distributors for specifications, system integration options, and pricing.</t>
  </si>
  <si>
    <t xml:space="preserve">- Q1: What is the minimum tube diameter this weld head can handle?
- Q2: Is this weld head water-cooled?
- Q3: What industries use this weld head?
- Q4: Can this weld head perform autogenous welds?
- Q5: Is this weld head portable?</t>
  </si>
  <si>
    <t xml:space="preserve">- A1: The COPPERHEAD I handles tubes from 1/8" (3.2 mm) outer diameter and up to 1" (25.4 mm).
- A2: Yes, the COPPERHEAD I features water-cooled construction for high-duty-cycle operation.
- A3: Common applications include aerospace, medical devices, semiconductors, and sanitary/high-purity processing industries.
- A4: Yes, the COPPERHEAD I is designed for precision autogenous (fusion) butt welds without filler material.
- A5: Yes, the lightweight construction makes it suitable for field operations and portable welding applications.</t>
  </si>
  <si>
    <t xml:space="preserve">Lightweight and ergonomic orbital weld head covering 1/8"–1" OD tubing, featuring water cooling for continuous operation and an economical solution for sanitary tube welding.</t>
  </si>
  <si>
    <t>M5002</t>
  </si>
  <si>
    <t xml:space="preserve">COPPERHEAD II  1/4"-2"OD</t>
  </si>
  <si>
    <t>5002</t>
  </si>
  <si>
    <t xml:space="preserve">Mid-range water-cooled orbital weld head for 1/4"–2" OD tubing, delivering high production rates with a versatile configuration and professional-grade construction.</t>
  </si>
  <si>
    <t xml:space="preserve">Mid-range Weld Head</t>
  </si>
  <si>
    <t xml:space="preserve">Mid-range orbital weld head for small to medium-diameter tubing</t>
  </si>
  <si>
    <t xml:space="preserve">Operates on 1/4" to 2" outer diameter tube range</t>
  </si>
  <si>
    <t xml:space="preserve">Water-cooled design for high production rates</t>
  </si>
  <si>
    <t xml:space="preserve">Versatile configuration for multiple applications</t>
  </si>
  <si>
    <t xml:space="preserve">The COPPERHEAD II water-cooled weld head handles mid-range tube diameters from 1/4" to 2" (6.35–50.8 mm) with professional-grade consistency. Ideal for sanitary, high-pressure, and high-purity applications, it delivers precision autogenous butt welds in pharmaceutical, food processing, and semiconductor environments. The closed orbital head supports TIG/GTAW welding with high-cycle operation, narrow-profile construction for accessibility, and amperage ranges from 150-300A depending on configuration. Robust and reliable, it meets demanding production and quality requirements.</t>
  </si>
  <si>
    <t xml:space="preserve">Versatile Orbital Weld Head for Mid-Range Diameter Applications</t>
  </si>
  <si>
    <t xml:space="preserve">Professional Orbital Welding for Mid-Range Diameter Tubing: The COPPERHEAD II combines versatility, reliability, and precision for demanding sanitary and high-purity applications.</t>
  </si>
  <si>
    <t xml:space="preserve">- 1/4" to 2" outer diameter capacity
 - Water-cooled construction
 - Narrow profile design
 - High-duty-cycle capable
 - Professional-grade construction</t>
  </si>
  <si>
    <t xml:space="preserve">- Sanitary-rated performance
- High-pressure welding capability
- High-purity application ready
- autogenous butt-weld precision
- production-proven reliability</t>
  </si>
  <si>
    <t xml:space="preserve">Order Your COPPERHEAD II 1/4"-2" OD Weld Head Today</t>
  </si>
  <si>
    <t xml:space="preserve">Enhance your mid-range diameter welding operations with the COPPERHEAD II orbital weld head. Trusted by processors in pharmaceutical, food, semiconductor, and petrochemical industries. Contact authorized orbital welding system distributors for specifications and integration support.</t>
  </si>
  <si>
    <t xml:space="preserve">- Q1: What is the diameter range of the COPPERHEAD II?
- Q2: Is this suitable for sanitary applications?
- Q3: Can it perform high-pressure welds?
- Q4: What cooling system is used?
- Q5: Is this weld head suitable for production welding?</t>
  </si>
  <si>
    <t xml:space="preserve">- A1: The COPPERHEAD II handles outer diameters from 1/4" (6.35 mm) to 2" (50.8 mm).
- A2: Yes, the COPPERHEAD II is specifically rated for sanitary processing and meets industry standards for hygienic applications.
- A3: Yes, this weld head is capable of high-pressure system welding and maintains pressure integrity.
- A4: The COPPERHEAD II features water-cooled construction for extended duty cycles.
- A5: Yes, the high-duty-cycle capability and proven reliability make it ideal for production environments.</t>
  </si>
  <si>
    <t xml:space="preserve">Professional orbital weld head designed for small to medium tubing from 1/4"–2" OD, offering water cooling, application flexibility, and durability for demanding environments.</t>
  </si>
  <si>
    <t>M5006</t>
  </si>
  <si>
    <t xml:space="preserve">DIAMONDBACK ORBITAL WELDHEAD 2"-6"OD</t>
  </si>
  <si>
    <t>5006</t>
  </si>
  <si>
    <t xml:space="preserve">Weld Head | Orbital Welding</t>
  </si>
  <si>
    <t xml:space="preserve">Large in-place orbital weld head for 2"–6" process piping, featuring a narrow water-cooled profile, precision 24VDC motor with tach feedback, and brass-tipped plungers for accurate grounding.</t>
  </si>
  <si>
    <t xml:space="preserve">In-place Orbital Weldhead</t>
  </si>
  <si>
    <t xml:space="preserve">Largest in-place orbital weldhead for process piping applications</t>
  </si>
  <si>
    <t xml:space="preserve">Compatible with 2" to 6" nominal pipe and tube OD</t>
  </si>
  <si>
    <t xml:space="preserve">Water-cooled narrow profile design for aerospace and sanitary applications</t>
  </si>
  <si>
    <t xml:space="preserve">24VDC motor with TACH feedback for precise speed control</t>
  </si>
  <si>
    <t xml:space="preserve">The DiamondBack Orbital Weldhead is engineered for large-diameter pipe welding, handling 2" to 6" (50.8–152.4 mm) OD tubes with precision and consistency for aerospace, pharmaceutical, and sanitary applications. Its narrow-profile design enables access to tight spaces, while the 24VDC motor with TACH feedback ensures precise rotational speed control. Brass-tipped plungers in the collet system provide mechanical centering and reliable electrical grounding. Compatible with collets, mandrels, and special tooling, it weighs approximately 8–12 lbs (3.6–5.4 kg) and supports 25 ft (7.6 m) and 50 ft (15.2 m) extension cables. No internal cooling is required.</t>
  </si>
  <si>
    <t xml:space="preserve">Heavy-Duty Orbital Weldhead for Large Diameter Pipe Welding</t>
  </si>
  <si>
    <t xml:space="preserve">Large-Diameter Process Piping Excellence: The DiamondBack weldhead is specifically engineered for the unique demands of 2" to 6" diameter pipe welding. Its robust construction and advanced motor control deliver the consistency required for critical aerospace, pharmaceutical, and sanitary processing applications.</t>
  </si>
  <si>
    <t xml:space="preserve">- 2" to 6" OD diameter range covers majority of process piping
 - Narrow profile enables access to restricted weld locations
 - TACH feedback motor ensures constant-speed operation
 - Water-cooled design for extended duty cycles
 - Reliable brass-tip grounding system for consistent electrical contact</t>
  </si>
  <si>
    <t xml:space="preserve">- Heavy-duty construction for field and manufacturing use
 - Collet-based tooling system for quick setup changes
 - 24VDC motor provides high torque at consistent speed
 - Compatible with standard 75A power cables and connections
 - Available extension cables for remote welding head positioning</t>
  </si>
  <si>
    <t xml:space="preserve">Acquire Your DiamondBack Orbital Weldhead</t>
  </si>
  <si>
    <t xml:space="preserve">Maximize welding productivity for large-diameter pipe applications with the DiamondBack Orbital Weldhead. Available for purchase or rental through authorized orbital welding equipment suppliers and MK Products distributors. Contact us for technical specifications, extension cables, and application-specific tooling recommendations.</t>
  </si>
  <si>
    <t xml:space="preserve">- Q1: What pipe sizes does the DiamondBack accommodate?
- Q2: Is the DiamondBack suitable for in-place welding?
- Q3: What motor voltage is required for operation?
- Q4: Are extension cables available for remote positioning?
- Q5: What industries typically use the DiamondBack weldhead?</t>
  </si>
  <si>
    <t xml:space="preserve">- A1: The DiamondBack is designed for 2" to 6" nominal pipe OD, with collets and mandrels available for standard sizing.
- A2: Yes, the DiamondBack is specifically designed as an in-place weldhead for field construction and manufacturing applications.
- A3: The DiamondBack uses 24VDC motor control, compatible with standard orbital power supplies and controllers.
- A4: Yes, extension cables of 25 ft (7.6m) and 50 ft (15.2m) lengths are available through authorized distributors.
- A5: The DiamondBack is widely used in aerospace, food &amp; beverage, dairy, pharmaceutical, and high-pressure piping applications.</t>
  </si>
  <si>
    <t xml:space="preserve">Heavy-duty in-place orbital weld head optimized for high-pressure and sanitary piping from 2"–6", combining precise speed control, reliable centering, and a slim water-cooled design.</t>
  </si>
  <si>
    <t>6000CMK</t>
  </si>
  <si>
    <t xml:space="preserve">MK 6000-C ORBITAL WELD HEAD</t>
  </si>
  <si>
    <t xml:space="preserve">Cost-effective closed orbital weld head for 1/4"–1" OD tubing, featuring a narrow water-cooled profile, integrated fingertip controls, and compatibility with CobraTig and Advanced Color Logic power supplies.</t>
  </si>
  <si>
    <t xml:space="preserve">Closed Orbital Weld Head</t>
  </si>
  <si>
    <t xml:space="preserve">Cost-effective closed orbital weld head for mid-range applications</t>
  </si>
  <si>
    <t xml:space="preserve">1/4" - 1" (6.35 mm - 25.4 mm) OD tube capacity</t>
  </si>
  <si>
    <t xml:space="preserve">Water-cooled narrow-profile design for optimal duty cycle</t>
  </si>
  <si>
    <t xml:space="preserve">Fingertip controls integrated into handle for operator convenience</t>
  </si>
  <si>
    <t xml:space="preserve">The MK 6000-C ORBITAL WELD HEAD is an entry-level closed orbital weld head delivering professional-grade performance for 1/4" to 1" (6.35–25.4 mm) tubing. Its narrow-profile water-cooled design allows operation in limited clearance spaces while maintaining high duty-cycle performance. The closed chamber provides complete inert gas coverage for contamination-free welds. Fingertip handle controls offer intuitive operation without separate pendants. A removable collet cartridge system allows rapid tube size changes. The weld head supports 150A pulsed current, up to 10 RPM rotation speed, and 0.040" and 0.062" electrodes. Housing is durable aluminum, with a standard 25 ft (7.6 m) cable and weight of 4–5 lbs (1.8–2.3 kg).</t>
  </si>
  <si>
    <t xml:space="preserve">Get MK 6000-C Pricing &amp; System Info</t>
  </si>
  <si>
    <t xml:space="preserve">Cost-Effective Closed Orbital Weld Head for Production Applications</t>
  </si>
  <si>
    <t xml:space="preserve">Professional Closed Orbital Welding at Entry-Level Pricing: The MK 6000-C delivers high-quality weld performance suitable for sanitary pipe systems, high-pressure applications, and precision tube assemblies.</t>
  </si>
  <si>
    <t xml:space="preserve">- 1/4" - 1" OD range
- Water-cooled design
- Narrow-profile compact form
- Removable collet cartridges
- Fingertip handle controls</t>
  </si>
  <si>
    <t xml:space="preserve">- 150A pulsed current
- 10 RPM rotation speed
- Tachometer feedback
- Aluminum housing
- Universal power supply compatibility</t>
  </si>
  <si>
    <t xml:space="preserve">Upgrade to MK 6000-C Orbital Welding</t>
  </si>
  <si>
    <t xml:space="preserve">The MK 6000-C ORBITAL WELD HEAD is available from MK Products and authorized orbital welding distributors. This cost-effective closed weld head is ideal for manufacturers looking to implement closed orbital welding systems without premium pricing. Contact our sales team for system configurations, training programs, and ongoing technical support to ensure successful deployment and maximum return on investment.</t>
  </si>
  <si>
    <t xml:space="preserve">- Q1: What is the OD range for the MK 6000-C?
- Q2: Is this weld head water-cooled?
- Q3: What is the maximum pulsed current?
- Q4: Can collets be changed quickly?
- Q5: What cooling fluid should be used?</t>
  </si>
  <si>
    <t xml:space="preserve">- A1: This weld head accommodates tubes from 1/4" to 1" OD.
- A2: Yes, the rotor and cables are water-cooled for optimal duty cycle performance.
- A3: The MK 6000-C delivers up to 150A in pulsed mode.
- A4: Yes, removable collet cartridges enable fast changeover between tube sizes.
- A5: MK Cobra Coolant is required for optimal performance and warranty validity.</t>
  </si>
  <si>
    <t>6001MK</t>
  </si>
  <si>
    <t xml:space="preserve">MK 6001 ORBITAL WELD HEAD 1/4"-1"OD</t>
  </si>
  <si>
    <t xml:space="preserve">Versatile mid-range orbital weld head covering 1/4"–1" OD tubes, offering an extended field-replaceable collet range, water-cooled narrow design, and integrated fingertip handle controls.</t>
  </si>
  <si>
    <t xml:space="preserve">Mid-range General Purpose Weld Head</t>
  </si>
  <si>
    <t xml:space="preserve">Mid-range general-purpose orbital weld head for versatile applications</t>
  </si>
  <si>
    <t>Collet</t>
  </si>
  <si>
    <t xml:space="preserve">Extended collet size range with field-replaceable components</t>
  </si>
  <si>
    <t xml:space="preserve">Water-cooled narrow-profile design for space-constrained installations</t>
  </si>
  <si>
    <t xml:space="preserve">The MK 6001 ORBITAL WELD HEAD is a versatile workhorse for 1/4" to 1" (6.35–25.4 mm) tubing, accommodating multiple field-replaceable collets to cover a wide range of tube sizes without replacing the weld head. Its water-cooled narrow-profile design supports space-constrained applications and high duty-cycle operation. Integrated handle controls provide intuitive operation, ensuring consistent weld quality. The weld head supports 150A pulsed current, up to 10 RPM rotation speed, and 0.040" and 0.062" electrodes. Housing is aluminum alloy, with extended and flush collet options, a 25 ft (7.6 m) cable, and weight of 4–5 lbs (1.8–2.3 kg).</t>
  </si>
  <si>
    <t xml:space="preserve">Request Collet Options &amp; Pricing</t>
  </si>
  <si>
    <t xml:space="preserve">Versatile Mid-Range Orbital Weld Head for Production Flexibility</t>
  </si>
  <si>
    <t xml:space="preserve">Versatile Production Solution for Mid-Range Tubing: The MK 6001 delivers flexibility and reliability for manufacturers requiring broad tubing size capability in a single weld head system.</t>
  </si>
  <si>
    <t xml:space="preserve">- 1/4" - 1" OD range
- Multiple collet options
- Water-cooled design
- Narrow profile
- Field-replaceable components</t>
  </si>
  <si>
    <t xml:space="preserve">- 150A pulsed current
- 10 RPM rotation
- Tachometer feedback
- Extended/flush collets
- Aluminum housing</t>
  </si>
  <si>
    <t xml:space="preserve">Select MK 6001 for Production Versatility</t>
  </si>
  <si>
    <t xml:space="preserve">The MK 6001 ORBITAL WELD HEAD 1/4"-1"OD is available from MK Products and authorized distributors. This versatile weld head is the ideal platform for job shops, contract manufacturers, and production facilities requiring broad tubing size capability. Contact our technical team for collet availability, system configuration, and training programs to maximize your investment in orbital welding technology.</t>
  </si>
  <si>
    <t xml:space="preserve">- Q1: What tubing sizes can the MK 6001 accommodate?
- Q2: Are collets easy to change?
- Q3: What is the maximum current?
- Q4: Is this suitable for space-constrained applications?
- Q5: What makes this ideal for job shops?</t>
  </si>
  <si>
    <t xml:space="preserve">- A1: This weld head handles tubes from 1/4" to 1" OD.
- A2: Yes, the design enables quick collet changes with standard field tools.
- A3: The MK 6001 delivers up to 150A in pulsed mode.
- A4: Yes, the narrow-profile water-cooled design enables operation with limited clearance.
- A5: The extended collet range enables handling diverse customer requirements with a single weld head.</t>
  </si>
  <si>
    <t xml:space="preserve">General-purpose mid-range orbital weld head for 1/4"–1" OD applications, designed with interchangeable collets, compact water-cooled construction, and operator-friendly fingertip controls.</t>
  </si>
  <si>
    <t>6003MK</t>
  </si>
  <si>
    <t xml:space="preserve">MK 6003 ORBITAL WELD HEAD 1/2"-3"OD</t>
  </si>
  <si>
    <t>001-1214</t>
  </si>
  <si>
    <t xml:space="preserve">Large-diameter orbital weld head for process piping from 1/2"–3" OD, featuring heavy-duty water cooling, removable collet cartridges, and suitability for sanitary, dairy, and beverage installations.</t>
  </si>
  <si>
    <t xml:space="preserve">Large-diameter Weld Head</t>
  </si>
  <si>
    <t xml:space="preserve">Large-diameter orbital weld head for process piping applications</t>
  </si>
  <si>
    <t xml:space="preserve">1/2" - 3" (12.7 mm - 76.2 mm) OD tube range</t>
  </si>
  <si>
    <t xml:space="preserve">Heavy-duty water-cooled design for continuous operation</t>
  </si>
  <si>
    <t>Collets</t>
  </si>
  <si>
    <t xml:space="preserve">Removable collet cartridges for rapid setup transitions</t>
  </si>
  <si>
    <t xml:space="preserve">The MK 6003 ORBITAL WELD HEAD is the flagship of the CopperHead series, engineered for large-diameter tubing and pipe applications from 1/2" to 3" (12.7–76.2 mm) OD. Ideal for sanitary, dairy, beverage, and industrial process industries, it delivers reliable, high-quality welds in high-duty-cycle production. The heavy-duty water-cooled design supports continuous operation, while the servo-controlled 24V DC motor ensures consistent rotation. Quick-change collet cartridges enable rapid tube size transitions. Supports 200A pulsed current, up to 10 RPM, and 0.040" and 0.062" electrodes. Housing is heavy-duty aluminum alloy, cable length is 25 ft (7.6 m), and weight is approximately 8–9 lbs (3.6–4.1 kg).</t>
  </si>
  <si>
    <t xml:space="preserve">Get MK 6003 System Quote</t>
  </si>
  <si>
    <t xml:space="preserve">Heavy-Duty Orbital Weld Head for Large-Diameter Process Piping</t>
  </si>
  <si>
    <t xml:space="preserve">Industrial-Grade Orbital Welding for Large-Diameter Piping: The MK 6003 delivers the reliability and precision required for high-volume production of sanitary piping and process equipment.</t>
  </si>
  <si>
    <t xml:space="preserve">- 1/2" - 3" OD range
- Heavy-duty construction
- Water-cooled system
- Quick-change cartridges
- Large-diameter capacity</t>
  </si>
  <si>
    <t xml:space="preserve">- 200A pulsed current
- Servo motor control
- Removable collets
- Full water cooling
- Professional precision</t>
  </si>
  <si>
    <t xml:space="preserve">Deploy MK 6003 for Process Piping Production</t>
  </si>
  <si>
    <t xml:space="preserve">The MK 6003 ORBITAL WELD HEAD 1/2"-3"OD is available from MK Products and authorized distributors. This heavy-duty weld head is the premier choice for manufacturers of sanitary piping systems, dairy and beverage processing equipment, and large-diameter process applications. Contact our technical team to discuss system integration, training, and ongoing support for your large-diameter orbital welding needs.</t>
  </si>
  <si>
    <t xml:space="preserve">- Q1: What is the maximum OD for the MK 6003?
- Q2: What is the minimum tube size?
- Q3: Is this suitable for sanitary piping?
- Q4: What is the maximum current rating?
- Q5: Can this operate at high duty cycles?</t>
  </si>
  <si>
    <t xml:space="preserve">- A1: This weld head accommodates tubes up to 3" (76.2 mm) OD.
- A2: The minimum OD is 1/2" (12.7 mm).
- A3: Yes, the MK 6003 is specifically designed for sanitary pipe applications.
- A4: The MK 6003 delivers up to 200A in pulsed mode for thick-wall applications.
- A5: Yes, the heavy-duty water-cooled design enables continuous high-volume operation.</t>
  </si>
  <si>
    <t xml:space="preserve">Heavy-duty orbital weld head for 1/2"–3" OD process piping, combining continuous-duty water cooling with quick-change collet cartridges for sanitary and food-grade applications.</t>
  </si>
  <si>
    <t>GF8</t>
  </si>
  <si>
    <t xml:space="preserve">GF 8 RA8 PIPE CUTTING MACHINE</t>
  </si>
  <si>
    <t xml:space="preserve">790 143 002</t>
  </si>
  <si>
    <t>ORBITALUM</t>
  </si>
  <si>
    <t xml:space="preserve">Pipe Cutting Machine | Orbital Saw</t>
  </si>
  <si>
    <t xml:space="preserve">Orbitalum planetary pipe cutting &amp; beveling machine for tubes 4.488″–9.055″ OD with deformation‑free clamping, burr‑free cuts and integrated bevel prep ideal for orbital welding prep</t>
  </si>
  <si>
    <t xml:space="preserve">Cutting Range</t>
  </si>
  <si>
    <t xml:space="preserve">4.488″ to 9.055″ tube outside diameter </t>
  </si>
  <si>
    <t xml:space="preserve">Cutting Method</t>
  </si>
  <si>
    <t xml:space="preserve">Planetary cutting with rotating tool around stationary pipe for cold, burr‑free cutting </t>
  </si>
  <si>
    <t xml:space="preserve">Multi‑point deformation‑free clamping for consistent hold </t>
  </si>
  <si>
    <t>Beveling</t>
  </si>
  <si>
    <t xml:space="preserve">Capable of cutting with simultaneous or separate beveling for weld prep </t>
  </si>
  <si>
    <t xml:space="preserve">The Orbitalum (GF/RA) RA8 Pipe Cutting &amp; Beveling Machine is a high‑precision orbital pipe cutter that uses “planetary cutting” technology to produce square, burr‑free and deformation‑free cuts on pipes and tubes in minutes. It supports pipe OD ~4.488″–9.055″ (114–230 mm) and wall thickness ~0.079″–0.394″ (2–10 mm) depending on material, and can cut and bevel in a single setup. It is available with either manual (MVM) or automatic (AVM) feed modules with multipoint clamping and regulated speed control for high‑alloy steels and other materials. </t>
  </si>
  <si>
    <t xml:space="preserve">Precision Orbital Pipe Cutting for Medium to Large Tubes</t>
  </si>
  <si>
    <t xml:space="preserve">High‑precision orbital pipe cutting &amp; beveling machine for right‑angled, burr‑free cuts. Designed for high-alloy steels, stainless steel, plastics, and non-ferrous metals. Ideal for shop or field operations requiring consistent cut quality.</t>
  </si>
  <si>
    <t xml:space="preserve">- Planetary cutting method
- Right-angled, burr-free cuts
- Deformation-free clamping system
- Automatic (AVM) or manual (MVM) feed options</t>
  </si>
  <si>
    <t xml:space="preserve">- Tube OD range 114–230 mm (4.49–9.05")
- Wall thickness 2–10 mm (0.079–0.394")
- Cuts high-alloy &amp; non-ferrous metals
- Portable, ergonomic design</t>
  </si>
  <si>
    <t xml:space="preserve">ndustrial Pipe Cutting — GF 8 / RA8 Series</t>
  </si>
  <si>
    <t xml:space="preserve">The GF 8 / RA8 orbital pipe cutting and beveling machine uses planetary cutting technology for fast, burr‑free cutting and beveling of pipe and tubing up to ~8″ OD (114–230 mm). It features a stationary tube and rotating tool design that minimizes heat input and deformation. Its robust clamping system accommodates a wide range of materials such as stainless steel, carbon steel, aluminum, brass, and plastics, making it ideal for preparatory work prior to welding.</t>
  </si>
  <si>
    <t xml:space="preserve">- Q1: What pipe diameters can the GF 8 / RA8 handle?
- Q2: What cutting and beveling technology does it use?
- Q3: What materials can it cut?
- Q4: How does it improve preparation for welding?
- Q5: Are accessories and blades available?</t>
  </si>
  <si>
    <t xml:space="preserve">- A1: It’s designed to cut and bevel pipes roughly 4.5″–8″ OD (114–230 mm). 
- A2: It uses orbital planetary cutting, where the blade orbits around the stationary tube, reducing heat and distortion. 
- A3: It can cut stainless, low‑ and high‑alloy steels, non‑ferrous metals, and plastics. 
- A4: Right‑angled, burr‑free cuts and bevels deliver optimal tube ends for reliable weld quality. 
- A5: Yes — saw blades, bevel cutters, and drive accessories are offered by distributors.</t>
  </si>
  <si>
    <t>GF2</t>
  </si>
  <si>
    <t xml:space="preserve">GF2 TUBE CUTTING SAW</t>
  </si>
  <si>
    <t xml:space="preserve">Orbitalum GF‑series orbital tube cutting saw with right‑angle, burr‑free cold cutting and robust clamping system for precise pipe prep</t>
  </si>
  <si>
    <t xml:space="preserve">Cutting Quality</t>
  </si>
  <si>
    <t xml:space="preserve">Right‑angled, burr‑free cold cutting for pipes and tubes </t>
  </si>
  <si>
    <t xml:space="preserve">Deformation‑free clamping system secures workpiece </t>
  </si>
  <si>
    <t xml:space="preserve">Feed Options</t>
  </si>
  <si>
    <t xml:space="preserve">Selectable manual or automated feed module for optimized cutting </t>
  </si>
  <si>
    <t xml:space="preserve">Sturdy design with ergonomic handle and overload protection </t>
  </si>
  <si>
    <t xml:space="preserve">The Orbitalum (GF Series) tube and pipe saws are precision orbital cutting machines designed to cut and bevel pipe ends with a right‑angled, burr‑free finish ideal for subsequent welding. GF series tools are ergonomic and use an advanced clamping system with variable speed and orbital cutting motion for deformation‑free results. (General GF series info referenced; specific GF2 range is part of this family.) </t>
  </si>
  <si>
    <t xml:space="preserve">Fast &amp; Burr-Free Tube Cutting Saw</t>
  </si>
  <si>
    <t xml:space="preserve">Orbitalum GF2 tube saw ensures deformation-free square cuts with precise laser-guided alignment. Suitable for industrial piping prep and high-purity applications.</t>
  </si>
  <si>
    <t xml:space="preserve">- Orbital cutting process
- Integrated stainless steel contact clamps
- Laser cut-point indicator
- Low cost per cut</t>
  </si>
  <si>
    <t xml:space="preserve">- Precise, burr-free square cuts
- Wide OD coverage
- Deformation-free clamping
- Ergonomic operation</t>
  </si>
  <si>
    <t xml:space="preserve">Precision Tube Cutting — GF2 Tube Saw</t>
  </si>
  <si>
    <t xml:space="preserve">The GF2 tube cutting saw is an orbital tube/cutter tool in the GF series designed for precise, cold, right‑angled cuts on thin‑wall and thicker tube stock. As a member of the Orbitalum GF family, it uses the proven planetary cutting approach and offers deformation‑free clamping and ease of operation for preparatory cutting ahead of welding and fabrication.</t>
  </si>
  <si>
    <t xml:space="preserve">- Q1: What tube sizes does the GF2 support?
- Q2: What cutting technology does it use?
- Q3: What industries benefit from it?
- Q4: Why is deformation‑free clamping important?
- Q5: Are replacement blades available?</t>
  </si>
  <si>
    <t xml:space="preserve">- A1: It supports a range of tube diameters typical of GF saws, delivering precise cuts for welding prep. 
- A2: It uses orbital planetary cutting for cold, perpendicular cutting. 
- A3: It’s used in food, beverage, chemical, and pharmaceutical fabrication. 
- A4: Deformation‑free clamping keeps tube geometry intact for better weld fit‑up. 
- A5: Yes — replacement blades and cutters are available through suppliers.</t>
  </si>
  <si>
    <t>ORBI165CA</t>
  </si>
  <si>
    <t xml:space="preserve">ORBITALUM 165CA PS</t>
  </si>
  <si>
    <t xml:space="preserve">Orbitalum 165CA compact orbital welding power supply with integrated control and water cooling for use with closed &amp; enclosed weld heads</t>
  </si>
  <si>
    <t xml:space="preserve">Orbital welding power source with integrated computer control and water cooling </t>
  </si>
  <si>
    <t xml:space="preserve">Fold‑down color display with easy to program automatic schedules </t>
  </si>
  <si>
    <t xml:space="preserve">Welding Programs</t>
  </si>
  <si>
    <t xml:space="preserve">Stores thousands of programs with weld data logging </t>
  </si>
  <si>
    <t xml:space="preserve">Works with wide range of Orbitalum enclosed weld heads</t>
  </si>
  <si>
    <t xml:space="preserve">The Orbitalum 165 CA (also referred to as Orbimat 165 CA) is a compact orbital welding power source with an integrated controller and water‑cooling system. It is designed for high‑purity welding applications and works directly with Orbitalum enclosed weld heads (including the Orbiweld® series), offering automatic weld programming, easy parameter input, and control of cooling and gas. </t>
  </si>
  <si>
    <t xml:space="preserve">Compact 165A Orbital Welding Power Supply</t>
  </si>
  <si>
    <t xml:space="preserve">ORBITALUM 165CA PS delivers computer-controlled orbital welding with stored programs and connectivity for enclosed weld heads. Water-cooled and field-ready for consistent welding performance.</t>
  </si>
  <si>
    <t xml:space="preserve">- Integrated water cooling system
- Computer control interface
- Stores welding programs
- Compatible with enclosed weld heads</t>
  </si>
  <si>
    <t xml:space="preserve">- 165 A power supply output
- 240 V input typical
- Weight ~26 kg
- Designed for shop or field use</t>
  </si>
  <si>
    <t xml:space="preserve">Advanced Orbital Welding Power — ORBITALUM 165 CA PS</t>
  </si>
  <si>
    <t xml:space="preserve">The Orbitalum 165CA PS is a compact orbital welding power supply with integrated controller and cooling, designed for automated TIG/GTAW welding with Orbitalum weld heads. It delivers programmable welding sequences, data logging, and built‑in water cooling for consistent arc performance. It works directly with enclosed and open weld heads across a range of diameters, making it suitable for field or shop welding of high‑purity and sanitary piping.</t>
  </si>
  <si>
    <t xml:space="preserve">- Q1: What welding processes does the 165CA PS support?
- Q2: How does its integrated cooling help?
- Q3: How are programs managed?
- Q4: What applications is it suited for?
- Q5: Does it pair with multiple weld heads?</t>
  </si>
  <si>
    <t xml:space="preserve">- A1: Primarily orbital TIG (GTAW) welding with automatic program control. 
- A2: Built‑in water cooling improves duty cycle and maintains steady weld temperatures. 
- A3: It has an integrated controller with large display and data logging for repeatable welds. 
- A4: Ideal for sanitary, high‑purity, and industrial piping weld applications. 
- A5: Yes — it connects with a range of Orbitalum weld heads and accessories.</t>
  </si>
  <si>
    <t>SB-ORBI165</t>
  </si>
  <si>
    <t xml:space="preserve">ORBITWIN 165 SWITCHER BOX</t>
  </si>
  <si>
    <t xml:space="preserve">Orbitalum Orbitwin SW switching unit for powering &amp; alternating control of two orbital welding heads from a single power supply</t>
  </si>
  <si>
    <t xml:space="preserve">Dual Head Control</t>
  </si>
  <si>
    <t xml:space="preserve">Alternately operates two orbital weld heads from one power supply </t>
  </si>
  <si>
    <t xml:space="preserve">Program Recall</t>
  </si>
  <si>
    <t xml:space="preserve">Automatically recalls previously assigned weld programs on head change </t>
  </si>
  <si>
    <t xml:space="preserve">Lock‑Out Safety</t>
  </si>
  <si>
    <t xml:space="preserve">Locks inactive head during operation to prevent inadvertent firing </t>
  </si>
  <si>
    <t xml:space="preserve">Includes connecting cables and hoses for setup </t>
  </si>
  <si>
    <t xml:space="preserve">The Orbitwin SW Switching Device is a welding head switching unit used with Orbitalum orbital welding power supplies (like the ORBIMAT series). It allows alternately operating two weld heads on the same power supply—recalling the previously used program automatically when a weld head’s start key is pressed and locking the inactive head for prep work. It includes all required cables and hoses. </t>
  </si>
  <si>
    <t xml:space="preserve">Dual Weld Head Switching Unit for Increased Throughput</t>
  </si>
  <si>
    <t xml:space="preserve">ORBITWIN 165 Switcher Box allows two weld heads to operate alternately on a single ORBIMAT power supply, enabling setup of a second head while the first welds.</t>
  </si>
  <si>
    <t xml:space="preserve">- Alternating dual-head operation
- Automatic recall of programmed settings
- Locks inactive head during operation</t>
  </si>
  <si>
    <t xml:space="preserve">- Includes cables &amp; hoses
- Weight ~8.8 kg (19.4 lb)
- 1-year limited warranty
- Increases weld throughput</t>
  </si>
  <si>
    <t xml:space="preserve">Dual Head Switching — ORBITWIN 165 Switcher Box</t>
  </si>
  <si>
    <t xml:space="preserve">The ORBITWIN 165 switching unit allows two orbital weld heads to be connected and used alternately with a single power supply. When a weld head is activated, the previously assigned program, purge gas, and coolant flow automatically switch to the active head. The inactive head is locked out and can be prepared for the next operation, improving overall welding productivity.</t>
  </si>
  <si>
    <t xml:space="preserve">- Q1: What does the ORBITWIN 165 enable?
- Q2: How does switching between heads work?
- Q3: What’s included with the unit?
- Q4: Which power supplies is it compatible with?
- Q5: What productivity benefit does it offer?</t>
  </si>
  <si>
    <t xml:space="preserve">- A1: It enables alternate operation of two orbital weld heads from one power source. 
- A2: Switching is automatic when the active weld head start trigger is pressed. 
- A3: It includes cables and connections for both heads. 
- A4: It’s compatible with Orbitalum 165CA and similar series power supplies. 
- A5: It reduces idle time by letting operators prep one head while the other welds.</t>
  </si>
  <si>
    <t>OW76S</t>
  </si>
  <si>
    <t xml:space="preserve">ORBIWELD 76S WELD HEAD (0.236"-3.031")</t>
  </si>
  <si>
    <t>OT827.000.001</t>
  </si>
  <si>
    <t xml:space="preserve">Weld Head Assembly | Orbital Welding</t>
  </si>
  <si>
    <t xml:space="preserve">Orbitalum enclosed orbital fusion weld head with tool‑free quick‑change clamping shells, integrated water cooling and compact design for tight‑access jobs</t>
  </si>
  <si>
    <t xml:space="preserve">Welding Range</t>
  </si>
  <si>
    <t xml:space="preserve">0.236″ to 3.031″ tube OD </t>
  </si>
  <si>
    <t xml:space="preserve">Tool‑free quick change clamping shells for secure alignment </t>
  </si>
  <si>
    <t xml:space="preserve">Integrated water cooling for continuous duty </t>
  </si>
  <si>
    <t xml:space="preserve">Compact Design</t>
  </si>
  <si>
    <t xml:space="preserve">Extremely narrow head design for confined space use </t>
  </si>
  <si>
    <t xml:space="preserve">The Orbiweld 76S is an enclosed orbital welding head from Orbitalum designed for fusion welding of tubes from ~0.236″ to 3.031″ (6–77 mm) OD. It features a narrow profile and integrated liquid cooling, making it suitable for high‑purity, tight‑space applications such as pharmaceutical, food‑processing, semiconductor, and chemical plant piping. </t>
  </si>
  <si>
    <t xml:space="preserve">Heavy-Duty Orbital Weld Head for Small to Medium Tubes</t>
  </si>
  <si>
    <t xml:space="preserve">ORBIWELD 76S enclosed weld head designed for narrow spaces and high-purity applications. Water-cooled with quick-change clamping shells for consistent fusion welds.</t>
  </si>
  <si>
    <t xml:space="preserve">- Extremely narrow design
- Integrated water cooling
- Clamping shells for multiple diameters</t>
  </si>
  <si>
    <t xml:space="preserve">77 mm)
- Wall thickness 0.020–0.118" (0.5–3 mm)
- Ideal for pharma, food, semiconductor
- 1-year warranty typical</t>
  </si>
  <si>
    <t xml:space="preserve">Orbital Fusion Weld Head — ORBIWELD 76S</t>
  </si>
  <si>
    <t xml:space="preserve">The ORBIWELD 76S is an enclosed orbital fusion weld head designed for tube OD range 0.236″–3.031″ (6 mm–77 mm). Its narrow design and integrated water cooling make it ideal for welds in tight spaces and high‑purity piping applications like pharmaceutical, food processing, and semiconductor industries. Quick‑change clamping shells and durable construction ensure repeatable, quality welds.</t>
  </si>
  <si>
    <t xml:space="preserve">- Q1: What is the ORBIWELD 76S used for?
- Q2: What size range does it support?
- Q3: What industries use it?
- Q4: How does its cooling system help?
- Q5: Are clamping shells adjustable?</t>
  </si>
  <si>
    <t xml:space="preserve">- A1: It’s used for orbital TIG/GTAW fusion welding in tight or high‑purity environments. 
- A2: It supports tube OD 0.236″–3.031″. 
- A3: Industries include pharmaceutical, food &amp; beverage, and semiconductor fabrication. 
- A4: Integrated water cooling maintains weld head temperature during extended welds. 
- A5: Yes — tool‑free quick‑change clamping shells are available for different sizes.</t>
  </si>
  <si>
    <t>RPG15</t>
  </si>
  <si>
    <t xml:space="preserve">RPG 1.5 TUBE SQUARING TOOL</t>
  </si>
  <si>
    <t>790.037.002</t>
  </si>
  <si>
    <t xml:space="preserve">Tube Squaring Tool | Pipe Preparation Equipment</t>
  </si>
  <si>
    <t xml:space="preserve">Orbitalum RPG 1.5 tube squaring machine for burr‑free, right‑angle tube end prep with quick clamping system and micrometer feed control</t>
  </si>
  <si>
    <t xml:space="preserve">Operating Range</t>
  </si>
  <si>
    <t xml:space="preserve">0.236″–1.50″ OD per standard tool holder </t>
  </si>
  <si>
    <t xml:space="preserve">Prep Quality</t>
  </si>
  <si>
    <t xml:space="preserve">Produces burr‑free, square tube ends for weld prep </t>
  </si>
  <si>
    <t xml:space="preserve">Quick clamping shells and tool change system </t>
  </si>
  <si>
    <t xml:space="preserve">Built‑in electronic speed regulation for quality finishing </t>
  </si>
  <si>
    <t xml:space="preserve">The Orbitalum RPG 1.5 Tube Squaring Machine is a tube end preparation tool that produces burr‑free, square tube ends for optimal orbital welding results. It has a quick clamping system, micrometer feed for precise results, and speed regulation, and handles thin‑walled stainless steel tubes typically from ~0.118″ up to ~1.5″ (with optional tool holders). </t>
  </si>
  <si>
    <t xml:space="preserve">Compact Tube Squaring Tool for Precise Weld Prep</t>
  </si>
  <si>
    <t xml:space="preserve">RPG 1.5 Tube Squaring Tool delivers burr-free, square tube ends quickly, ensuring high-quality orbital weld prep for small and medium tubes.</t>
  </si>
  <si>
    <t xml:space="preserve">- Burr-free squaring
- Quick clamping shells
- Micrometer feed for precision</t>
  </si>
  <si>
    <t xml:space="preserve">- OD range 6 mm–1.5" (38.1 mm)
- Electric corded operation
- High-performance coated tool bit
- 1-year limited warranty</t>
  </si>
  <si>
    <t xml:space="preserve">Tube End Preparation — RPG 1.5 Tube Squaring Tool</t>
  </si>
  <si>
    <t xml:space="preserve">The RPG 1.5 tube squaring machine provides burr‑free, square tube end preparation ahead of orbital welding. It features a quick clamping and tool change system, micrometer feed for precise results, and is compatible with tubes made of stainless steel, unalloyed and low‑alloy steels, aluminum, and titanium. Suitable for clean, high‑quality weld prep in industrial and high‑purity installations.</t>
  </si>
  <si>
    <t xml:space="preserve">- Q1: What is the RPG 1.5 used for?
- Q2: What materials can it process?
- Q3: How does the tool change system help?
- Q4: What size range does it cover?
- Q5: Is it portable?</t>
  </si>
  <si>
    <t xml:space="preserve">- A1: It squares and faces tube ends for orbital welding prep. 
- A2: It processes stainless, unalloyed/low‑alloy steels, aluminum, and similar materials. 
- A3: Quick clamping allows fast adjustments and tool swaps. 
- A4: It covers tubes up to ~1.5″ OD with standard tooling. 
- A5: Yes — its lightweight, portable design makes field use easy.</t>
  </si>
  <si>
    <t>RPG30</t>
  </si>
  <si>
    <t xml:space="preserve">RPG 3.0 TUBE SQUARING TOOL</t>
  </si>
  <si>
    <t>RPG3.0</t>
  </si>
  <si>
    <t xml:space="preserve">Orbitalum RPG 3.0 tube squaring machine with quick clamping, micrometer feed and speed‑stabilized operation for burr‑free tube end prep</t>
  </si>
  <si>
    <t xml:space="preserve">0.25″–3.0″ OD </t>
  </si>
  <si>
    <t xml:space="preserve">Burr‑free and square finish for orbital welding prep </t>
  </si>
  <si>
    <t xml:space="preserve">Clamping &amp; Feed</t>
  </si>
  <si>
    <t xml:space="preserve">Quick clamping and micrometer feed for precision </t>
  </si>
  <si>
    <t xml:space="preserve">Light &amp; Portable</t>
  </si>
  <si>
    <t xml:space="preserve">Lightweight and portable design for mobile use </t>
  </si>
  <si>
    <t xml:space="preserve">The Orbitalum RPG 3.0 Tube Squaring Machine is a burr‑free tube facing tool designed to prepare tube ends precisely for orbital welding. It has a quick clamping system and powerful drive, and is capable of squaring tube ends in the ~0.25″–3.0″ (6–77 mm) range with removable/rotatable drive and optional beveling tooling. </t>
  </si>
  <si>
    <t xml:space="preserve">High-Capacity Tube Squaring &amp; Beveling Machine</t>
  </si>
  <si>
    <t xml:space="preserve">RPG 3.0 Tube Squaring Tool provides burr-free square ends and optional beveling for mid to large OD tubes. Available in corded and cordless models.</t>
  </si>
  <si>
    <t xml:space="preserve">- Burr-free &amp; square finishing
- Optional beveling tool holder
- Quick clamp system</t>
  </si>
  <si>
    <t xml:space="preserve">- OD range 0.25–3.0" (6–77 mm)
- Weight ~7.1 kg (cordless)
- Micrometer feed control
- 1-year limited warranty</t>
  </si>
  <si>
    <t xml:space="preserve">Tube End Facing — RPG 3.0 Tube Squaring Tool</t>
  </si>
  <si>
    <t xml:space="preserve">The RPG 3.0 is a handheld tube squaring machine that delivers precise, burr‑free tube end preparation for orbital welding. With micrometer feed and quick clamping, it’s widely used for stainless and similar thin‑walled tubes, and matches the operating range of many common weld heads and saws.</t>
  </si>
  <si>
    <t xml:space="preserve">- Q1: What does RPG 3.0 do?
- Q2: What range does it work in?
- Q3: Why is tube squaring important?
- Q4: What materials does it handle?
- Q5: Is it portable?</t>
  </si>
  <si>
    <t xml:space="preserve">- A1: It provides square, burr‑free tube ends for welding prep. 
- A2: It operates roughly 0.25″–3.0″ OD. 
- A3: Squared ends ensure proper weld fit‑up and quality. 
- A4: It handles stainless tubes and similar alloys. 
- A5: Yes — compact and lightweight for mobile use.</t>
  </si>
  <si>
    <t>RPGONE</t>
  </si>
  <si>
    <t xml:space="preserve">RPG ONE TUBE SQUARING MACHINE</t>
  </si>
  <si>
    <t xml:space="preserve">Tube Squaring Machine | Pipe Preparation Equipment</t>
  </si>
  <si>
    <t xml:space="preserve">Orbitalum RPG ONE cordless tube squaring machine with burr‑free square end prep and modular clamping for high‑quality tube finishing</t>
  </si>
  <si>
    <t xml:space="preserve">Handles typical small diameter tubes (e.g., 0.118″–1.50″) with appropriate clamping shells </t>
  </si>
  <si>
    <t xml:space="preserve">Burr‑Free Prep</t>
  </si>
  <si>
    <t xml:space="preserve">Produces clean squaring and optional beveling </t>
  </si>
  <si>
    <t xml:space="preserve">Quick change clamp shells for easy setup </t>
  </si>
  <si>
    <t xml:space="preserve">Portable Power</t>
  </si>
  <si>
    <t xml:space="preserve">Cordless design for use where power access is limited </t>
  </si>
  <si>
    <t xml:space="preserve">The Orbitalum RPG ONE Tube Squaring Machine is a compact and portable tube end preparation tool that produces burr‑free, square tube ends for orbital welding. It supports smaller tubes (starting ~0.118″ / 3 mm OD) with specialized clamping shells and is available in both corded and cordless versions, ideal for high‑purity or field use. </t>
  </si>
  <si>
    <t xml:space="preserve">Ergonomic Micro-Tube Squaring Machine</t>
  </si>
  <si>
    <t xml:space="preserve">PG ONE Tube Squaring Machine provides burr-free finishing and optional beveling for very small OD tubes. Lightweight, portable, and ideal for high-purity systems.</t>
  </si>
  <si>
    <t xml:space="preserve">- Burr-free facing &amp; squaring
- Quick change clamping shells
- Suitable for micro fittings</t>
  </si>
  <si>
    <t xml:space="preserve">- Small OD range from ~3 mm
- Light, portable design
- Ideal for high-purity systems
- Electric or cordless options</t>
  </si>
  <si>
    <t xml:space="preserve">Portable Tube Facing — RPG ONE Tube Squaring Machine</t>
  </si>
  <si>
    <t xml:space="preserve">The RPG ONE machine provides handheld, burr‑free tube end preparation with quick clamping and optional cordless power. It supports a broad range of tube diameters via interchangeable clamping shells and delivers precision prep for orbital welding fit‑up in high‑purity and industrial environments.</t>
  </si>
  <si>
    <t xml:space="preserve">- Q1: What is the RPG ONE used for?
- Q2: How is it powered?
- Q3: What range does it cover?
- Q4: What materials can it process?
- Q5: Does it include quick clamping?</t>
  </si>
  <si>
    <t xml:space="preserve">- A1: It squares/faces tubes for weld prep. 
- A2: Available in corded or cordless versions. 
- A3: It covers tubes from micro sizes up to ~1.0–1.5″ OD with appropriate tooling. 
- A4: It handles stainless, low/alloy steels, and aluminum. 
- A5: Yes — quick tool and clamping change systems improve workflow.</t>
  </si>
  <si>
    <t>COOL50115V</t>
  </si>
  <si>
    <t xml:space="preserve">COOL 50 WATER COOLING UNIT</t>
  </si>
  <si>
    <t>1.1.0118</t>
  </si>
  <si>
    <t>ORBITEC</t>
  </si>
  <si>
    <t xml:space="preserve">Cooling System | Water Cooling Unit</t>
  </si>
  <si>
    <t xml:space="preserve">Compact 1000W water cooling unit with a 4-liter tank, frost protection to −10 °C, and compatibility with TETRIX 200 inverters and EVO controllers for extended operation.</t>
  </si>
  <si>
    <t xml:space="preserve">1000W cooling capacity water cooling unit</t>
  </si>
  <si>
    <t xml:space="preserve">Compatible with TETRIX 200 inverter and EVO controllers</t>
  </si>
  <si>
    <t xml:space="preserve">Frost Protection</t>
  </si>
  <si>
    <t xml:space="preserve">Frost protection down to -10°C</t>
  </si>
  <si>
    <t>Dimensions</t>
  </si>
  <si>
    <t xml:space="preserve">Compact dimensions: 610 x 298 x 330 mm</t>
  </si>
  <si>
    <t xml:space="preserve">The COOL 50 WATER COOLING UNIT provides reliable thermal management for water-cooled orbital welding torches and weld heads. With 1000W cooling capacity and a 4-liter tank, it maintains optimal operating temperatures during extended welding sessions. Compact and portable, it can be positioned flexibly in workshops or field environments. Frost protection down to -10°C allows use in diverse climates. Compatible with water-cooled welding tools and TETRIX 200/EVO systems. Features include IP23-rated cooling system, water pressure up to 35 meters, 230VAC/115V input, dimensions 610 x 298 x 330 mm (24 x 11.8 x 13 in), and weight of 19 kg (42 lbs).</t>
  </si>
  <si>
    <t xml:space="preserve">Advanced Water Cooling System for Orbital Welding Equipment</t>
  </si>
  <si>
    <t xml:space="preserve">Reliable Thermal Management for Water-Cooled Orbital Welding: Maintain consistent torch performance and weld quality with our professional-grade cooling units.</t>
  </si>
  <si>
    <t xml:space="preserve">- 1000W cooling capacity for reliable operation
 - 4-liter tank for extended runtime
 - Compact, portable design
 - Frost protection to -10Â°C
 - IP 23 rated for industrial environments</t>
  </si>
  <si>
    <t xml:space="preserve">- Compatible with TETRIX 200 and EVO systems
 - 230VAC or 115V operation
 - 35-meter water pressure capability
 - Professional-grade construction
 - 2-year warranty included</t>
  </si>
  <si>
    <t xml:space="preserve">Order Your COOL 50 WATER COOLING UNIT Today</t>
  </si>
  <si>
    <t xml:space="preserve">Ensure reliable thermal management for your water-cooled orbital welding system. Available from authorized orbital welding equipment distributors. Contact us for technical specifications, installation guidance, and volume pricing for your cooling requirements.</t>
  </si>
  <si>
    <t xml:space="preserve">- Q1: What is the cooling capacity of this unit?
- Q2: What is the tank capacity?
- Q3: Is this unit portable?
- Q4: Can this unit operate in cold environments?
- Q5: What is the warranty coverage?</t>
  </si>
  <si>
    <t xml:space="preserve">- A1: The COOL 50 provides 1000W of cooling capacity at 1 liter/minute flow rate.
- A2: The unit has a 4-liter tank capacity, providing extended operation time between refilling.
- A3: Yes, the compact dimensions (610 x 298 x 330 mm) and 19 kg weight make it portable for workshop and field use.
- A4: Yes, frost protection down to -10°C allows reliable operation in cold climates.
- A5: The COOL 50 comes with a 2-year manufacturer warranty covering defects and performance issues.</t>
  </si>
  <si>
    <t>COOL50230V</t>
  </si>
  <si>
    <t>1.2.0118</t>
  </si>
  <si>
    <t xml:space="preserve">High-efficiency 1000W cooling unit designed for TETRIX 200 and EVO systems, featuring compact dimensions, low-temperature frost protection, and long-duty water capacity.</t>
  </si>
  <si>
    <t>EVOCOOL</t>
  </si>
  <si>
    <t xml:space="preserve">EVO COOL WATER COOLING UNIT</t>
  </si>
  <si>
    <t>1.3.8000</t>
  </si>
  <si>
    <t xml:space="preserve">Compact lightweight cooling unit for EVO 200 WP/LITE controllers, offering autorange voltage, 1000W cooling capacity, regulated fan control, flow monitoring, and frost-protected operation.</t>
  </si>
  <si>
    <t xml:space="preserve">Compact and lightweight design for EVO 200 WP/LITE controllers</t>
  </si>
  <si>
    <t>Voltage</t>
  </si>
  <si>
    <t xml:space="preserve">Autorange voltage (110-240V) for global compatibility</t>
  </si>
  <si>
    <t xml:space="preserve">1000W cooling capacity (1 l/min flow rate)</t>
  </si>
  <si>
    <t xml:space="preserve">Fan Control</t>
  </si>
  <si>
    <t xml:space="preserve">Temperature-regulated fan control for energy efficiency</t>
  </si>
  <si>
    <t xml:space="preserve">The EVO Cool Water Cooling Unit provides essential thermal management for continuous, high-duty-cycle orbital welding with EVO 200 WP and LITE controllers. Autorange voltage capability (110–240V AC) ensures global compatibility. Temperature-regulated fan control optimizes cooling efficiency, while the integrated flowmeter monitors fluid flow in real time. Cooling capacity is 1000W at 1 l/min, with maximum tank capacity of 4 liters, flow rate of 4 l/min, and maximum outlet pressure of 3.5 bar. Weight is 10.5 kg (without coolant), dimensions 500 x 340 x 190 mm. Package includes 4-liter blueCool 10i-5 coolant, connection cables, and fasteners.</t>
  </si>
  <si>
    <t xml:space="preserve">Efficient Water Cooling System for EVO Orbital Welding Controllers</t>
  </si>
  <si>
    <t xml:space="preserve">Reliable Thermal Management for Extended Duty Cycles: EVO Cool delivers essential cooling capacity to support continuous and high-duty-cycle orbital welding operations, extending tool life and maintaining consistent weld quality.</t>
  </si>
  <si>
    <t xml:space="preserve">- Autorange 110-240V for global compatibility
 - Compact design mounts directly on EVO 200 series
 - 1000W cooling capacity maintains optimal tool temperature
 - Temperature-regulated fan for energy efficiency
 - Built-in flowmeter ensures proper coolant circulation</t>
  </si>
  <si>
    <t xml:space="preserve">- Standalone or continuous operation modes
 - 4 liter blueCool 10i-5 coolant included (frost protected to -10Â°C)
 - Maximum pressure 3.5 bar protects welding tool components
 - Rapid connection design minimizes setup time
 - Thermal and low-flow protection prevents system damage</t>
  </si>
  <si>
    <t xml:space="preserve">Order Your EVO Cool Water Cooling Unit</t>
  </si>
  <si>
    <t xml:space="preserve">Enhance your EVO 200 orbital welding system's reliability and performance with the EVO Cool Water Cooling Unit. Available through authorized Orbitec dealers and orbital welding equipment suppliers. Contact us for technical specifications and integration support.</t>
  </si>
  <si>
    <t xml:space="preserve">- Q1: What voltage does the EVO Cool support?
- Q2: What cooling capacity is provided?
- Q3: What coolant is supplied with the unit?
- Q4: How is the unit mounted?
- Q5: What monitoring features are included?</t>
  </si>
  <si>
    <t xml:space="preserve">- A1: The EVO Cool features autorange voltage from 110-240V AC, compatible with global electrical standards.
- A2: The unit delivers 1000W cooling capacity at 1 liter per minute flow rate.
- A3: blueCool 10i-5 coolant is included, providing frost protection down to -10°C.
- A4: The EVO Cool mounts directly on EVO 200 WP or LITE controllers with included fasteners.
- A5: A built-in flowmeter provides real-time water flow feedback and alerts for low-flow conditions.</t>
  </si>
  <si>
    <t xml:space="preserve">Portable EVO cooling unit with 1000W capacity, global autorange input, intelligent fan regulation, integrated flowmeter feedback, and standalone or continuous operating modes.</t>
  </si>
  <si>
    <t xml:space="preserve">The EVO Cool Water Cooling Unit provides essential thermal management for continuous, high-duty-cycle orbital welding with EVO 200 WP and LITE controllers. Autorange voltage capability (110–240V AC) ensures universal compatibility. Temperature-regulated fan control optimizes cooling efficiency, while the integrated flowmeter monitors fluid flow in real time. Cooling capacity is 1000W at 1 l/min, with maximum tank capacity of 4 liters, flow rate of 4 l/min, and maximum outlet pressure of 3.5 bar. Weight is 10.5 kg (without coolant), dimensions 500 x 340 x 190 mm. Package includes 4-liter blueCool 10i-5 coolant, connection cables, and fasteners.</t>
  </si>
  <si>
    <t>EVOMODULARLITE</t>
  </si>
  <si>
    <t xml:space="preserve">EVO MODULAR LITE CONTROLLER</t>
  </si>
  <si>
    <t>1.3.7100</t>
  </si>
  <si>
    <t xml:space="preserve">Welding Power Supply | Controller</t>
  </si>
  <si>
    <t xml:space="preserve">Modular orbital welding control unit with a 10.1" touchscreen, multilingual auto-programming, full welding parameter access, and integrated gas and cooling monitoring for TETRIX inverters.</t>
  </si>
  <si>
    <t xml:space="preserve">Compact modular design connects to TETRIX 200 or TETRIX 351 inverters</t>
  </si>
  <si>
    <t xml:space="preserve">10.1-inch high-resolution color touchscreen display</t>
  </si>
  <si>
    <t xml:space="preserve">Lightweight and portable (9.7 kg) for site flexibility</t>
  </si>
  <si>
    <t xml:space="preserve">User Guidance</t>
  </si>
  <si>
    <t xml:space="preserve">Multilingual intuitive user guidance with auto-programming</t>
  </si>
  <si>
    <t xml:space="preserve">The EVO Modular LITE Controller is a compact, portable orbital welding controller compatible with TETRIX 200 or TETRIX 351 inverters. The 10.1-inch color touchscreen provides intuitive multilingual operation, while the modular design minimizes footprint without sacrificing functionality. Auto-programming reduces setup time for new weld procedures. Features include sector programming up to 6 sectors (continuous or step travel), integrated gas and water flow monitoring, membrane keyboard alternative, robust transport protection, and stable OS with data retention during power outages. Dimensions: 405 x 325 x 170 mm, weight: 9.7 kg. Current range: 5–200A (TETRIX 200) or 5–350A (TETRIX 351).</t>
  </si>
  <si>
    <t xml:space="preserve">Modular Orbital Welding Controller with Touchscreen Control</t>
  </si>
  <si>
    <t xml:space="preserve">Flexible Modular Orbital Welding Control: The EVO Modular LITE Controller combines compact portability with comprehensive orbital welding functionality, delivering professional-grade control for diverse manufacturing and field applications.</t>
  </si>
  <si>
    <t xml:space="preserve">- Modular design connects to TETRIX 200 or TETRIX 351
 - 10.1-inch color touchscreen for intuitive operation
 - Extremely lightweight at only 9.7 kg
 - Up to 6-sector programming with continuous/step modes
 - Full gas and water cooling monitoring and control</t>
  </si>
  <si>
    <t xml:space="preserve">- Multilingual interface (6+ languages) for global operations
 - Auto-programming reduces setup time for new procedures
 - Alternative membrane keyboard operation available
 - Stable operating system with data retention
 - Robust transport protection included</t>
  </si>
  <si>
    <t xml:space="preserve">Acquire Your EVO Modular LITE Controller</t>
  </si>
  <si>
    <t xml:space="preserve">Upgrade your orbital welding system with the EVO Modular LITE Controller. Available through authorized Orbitec dealers and orbital welding equipment suppliers. Contact us for technical specifications, integration support, and training materials.</t>
  </si>
  <si>
    <t xml:space="preserve">- Q1: Which inverters are compatible with the EVO Modular LITE?
- Q2: How many welding programs can be stored?
- Q3: What is the advantage of the modular design?
- Q4: Does the controller support remote operation?
- Q5: What sector programming capability is provided?</t>
  </si>
  <si>
    <t xml:space="preserve">- A1: The controller connects to either TETRIX 200 (5-200A) or TETRIX 351 (5-350A) inverters.
- A2: Memory capacity supports storage of numerous welding procedures with multi-parameter flexibility.
- A3: The modular design allows flexible system configuration, ease of transport, and scalability for future upgrades.
- A4: Optional tablet remote control with QR code scanner is available for wireless operation.
- A5: Up to 6 sectors can be programmed for continuous or step travel mode welding operations.</t>
  </si>
  <si>
    <t>EVOMODULARWP</t>
  </si>
  <si>
    <t xml:space="preserve">EVO MODULAR WP CONTROLLER</t>
  </si>
  <si>
    <t>1.3.7101</t>
  </si>
  <si>
    <t xml:space="preserve">Full-featured modular orbital welding controller with water purge, autorange voltage, 10.1" touchscreen, Turbo Purge gas optimization, 6-sector programming, and complete gas and water monitoring for TETRIX power sources.</t>
  </si>
  <si>
    <t xml:space="preserve">Full-featured modular design with water purge functionality</t>
  </si>
  <si>
    <t xml:space="preserve">Standard analog Turbo Purge function for gas flow optimization</t>
  </si>
  <si>
    <t xml:space="preserve">The EVO Modular WP Controller delivers advanced orbital welding control with integrated gas purge and water cooling management. Compatible with TETRIX 200 (5–200A) and TETRIX 351 (5–350A) inverters, it features a 10.1-inch high-resolution touchscreen interface, up to 6 programming sectors (continuous or step travel), Turbo Purge analog control with digital display, and monitoring for gas flow, water flow, and temperature. Compatible with COOL 50 or EVO COOL water cooling units. Data storage capacity: 600+ weld procedures. Dimensions: 405 x 325 x 170 mm, weight: 9.7 kg, input voltage 110–240V AC, 50/60 Hz.</t>
  </si>
  <si>
    <t xml:space="preserve">Advanced Modular Controller with Integrated Water Purge Control</t>
  </si>
  <si>
    <t xml:space="preserve">Complete Orbital Welding Control with Integrated Gas Management: The EVO Modular WP Controller combines advanced gas purge functionality with comprehensive orbital welding control, enabling superior weld quality and process repeatability.</t>
  </si>
  <si>
    <t xml:space="preserve">- Modular design compatible with TETRIX 200 or TETRIX 351
 - 10.1-inch high-resolution color touchscreen interface
 - Standard analog Turbo Purge function included
 - Full gas and water cooling monitoring capability
 - Autorange 110-240V input for global compatibility</t>
  </si>
  <si>
    <t xml:space="preserve">- Up to 6-sector programming with continuous/step modes
 - 600+ weld procedure storage capacity
 - Optional digital Turbo Purge for precise gas control
 - Gas Controller Box compatible for multi-gas welding
 - Compact 9.7 kg design for site portability</t>
  </si>
  <si>
    <t xml:space="preserve">Invest in EVO Modular WP Controller</t>
  </si>
  <si>
    <t xml:space="preserve">Achieve superior orbital welding quality with advanced gas purge control using the EVO Modular WP Controller. Available through authorized Orbitec dealers and orbital welding system suppliers. Contact us for technical specifications, system integration support, and operator training.</t>
  </si>
  <si>
    <t xml:space="preserve">- Q1: What does the WP designation mean?
- Q2: What is Turbo Purge functionality?
- Q3: Can this controller be upgraded to digital Turbo Purge?
- Q4: What power sources are compatible?
- Q5: How many welding programs can be stored?</t>
  </si>
  <si>
    <t xml:space="preserve">- A1: WP stands for Water Purge, indicating the controller includes integrated water and gas cooling control capabilities.
- A2: Turbo Purge is an automatic gas purging system that increases gas flow before and after welding, then reduces to operational levels - improving root quality.
- A3: Yes, the optional digital Turbo Purge function provides continuous gas flow measurement and regulation for enhanced precision.
- A4: The EVO Modular WP works with TETRIX 200 (5-200A) or TETRIX 351 (5-350A) inverters.
- A5: The controller supports storage of 600+ distinct welding procedures with full parameter flexibility.</t>
  </si>
  <si>
    <t xml:space="preserve">Modular orbital welding control unit offering global autorange input, high-resolution touchscreen operation, Turbo Purge gas control, full orbital programming, and integrated water and gas monitoring for TETRIX 200/351 systems.</t>
  </si>
  <si>
    <t>SB-EVO</t>
  </si>
  <si>
    <t xml:space="preserve">EVO SWITCH BOX</t>
  </si>
  <si>
    <t>1.3.9000</t>
  </si>
  <si>
    <t xml:space="preserve">Switchbox accessory for EVO orbital welding systems that alternates control of two weld heads from one controller, automatically loads the correct weld program and locks the inactive head</t>
  </si>
  <si>
    <t xml:space="preserve">Dual Weld Head Control</t>
  </si>
  <si>
    <t xml:space="preserve">Allows alternating welding with two connected weld heads using a single EVO controller for increased productivity </t>
  </si>
  <si>
    <t xml:space="preserve">Automatic Program Recall</t>
  </si>
  <si>
    <t xml:space="preserve">Automatically loads the appropriate welding program for the active head when welding starts</t>
  </si>
  <si>
    <t xml:space="preserve">Works with enclosed heads, open frames, tube‑to‑tube sheet heads, turn tables, gas‑ or water‑cooled heads, with or without wire feed/AVC </t>
  </si>
  <si>
    <t xml:space="preserve">Power &amp; Protection</t>
  </si>
  <si>
    <t xml:space="preserve">Operates on 100‑240 V mains, switching capacity 24 V 200 A (100 % ED), protection class IP 23 </t>
  </si>
  <si>
    <t xml:space="preserve">The EVO Switchbox is a robust switching control unit designed for industrial orbital welding applications. It enables alternating operation between two welding heads when used with an EVO series controller, improving productivity in multi-head welding tasks. The box supports all types of welding tools, including enclosed and open-frame heads, turntables, and tube-to-tube sheet weld heads, whether gas or water cooled and with or without wire feed or AVC functionality. By pressing the start button on a welding head, the switchbox automatically loads the appropriate welding program and locks the inactive head to prepare it for the next cycle, helping streamline and coordinate complex welding operations.</t>
  </si>
  <si>
    <t xml:space="preserve">Productivity‑Boosting Dual Weld Head Switch Box</t>
  </si>
  <si>
    <t xml:space="preserve">EVO Switch Box enables alternating operation of two orbital welding heads with a single EVO controller, increasing throughput and reducing setup time. Compatible with closed and open weld heads, rotary fixtures, and various cooling and feed configurations.</t>
  </si>
  <si>
    <t xml:space="preserve">- Alternates welding between two heads
- Loads appropriate weld program when start button pressed
- Locks inactive weld head for setup
- Works with water‑cooled or gas‑cooled heads</t>
  </si>
  <si>
    <t xml:space="preserve">- Mains voltage 100–240 V, 50/60 Hz
- Switching capacity 24 V, 200 A (100% ED)
- Protection class IP23
- Weight ~7.8 kg; includes control cables, gas hose and welding leads</t>
  </si>
  <si>
    <t xml:space="preserve">Dual Head Productivity with EVO Switch Box</t>
  </si>
  <si>
    <t xml:space="preserve">The EVO Switch Box is an orbital welding accessory designed to increase productivity by allowing two weld heads to be connected to and used alternately with a single EVO series orbital welding controller. When paired with an EVO controller and two weld heads, pressing the start button on a head automatically loads the matching welding program and locks out the inactive head, letting operators prepare the next workpiece while the other is welding. Compatible with enclosed and open weld heads, tube‑to‑tube sheet heads, water‑ or gas‑cooled tools, and those with or without wire feed/AVC.</t>
  </si>
  <si>
    <t xml:space="preserve">- Q1: What is the EVO Switch Box used for?
- Q2: Which welding controllers does it work with?
- Q3: How does it improve workflow?
- Q4: What types of weld heads are supported?
- Q5: What is included with the unit?</t>
  </si>
  <si>
    <t xml:space="preserve">- A1: It lets you alternate two weld heads from one EVO series controller to boost productivity in orbital welding operations. 
- A2: It is designed to be used with EVO series orbital welding controllers such as EVO 200 WP or EVO Modular. 
- A3: Switching between heads automatically loads the appropriate program and locks the unused head, letting operators prep one setup while the other welds. 
- A4: It supports various weld heads, including enclosed and open‑frame heads, tube‑to‑tube sheet heads, and water‑ or gas‑cooled tools with/without wire feed or AVC. 
- A5: The package typically includes the switch box itself, control cables, gas hose, and welding cables needed to connect to the EVO controller.</t>
  </si>
  <si>
    <t>EVO2WP</t>
  </si>
  <si>
    <t xml:space="preserve">EVO200WP ORBITAL POWER SUPPLY</t>
  </si>
  <si>
    <t>1.3.7000</t>
  </si>
  <si>
    <t xml:space="preserve">Full-featured 200A DC orbital welding power supply with water purge control, autorange voltage, advanced pulse technology, Turbo Purge gas optimization, and a 10.1" color touchscreen interface.</t>
  </si>
  <si>
    <t xml:space="preserve">Max Output</t>
  </si>
  <si>
    <t xml:space="preserve">200 amp maximum DC output for diverse tube and pipe applications</t>
  </si>
  <si>
    <t xml:space="preserve">Autorange voltage (110-240V) for global site compatibility</t>
  </si>
  <si>
    <t xml:space="preserve">Pulse Tech</t>
  </si>
  <si>
    <t xml:space="preserve">Advanced pulse technology with injection pulse start</t>
  </si>
  <si>
    <t xml:space="preserve">The EVO200WP Orbital Power Supply provides integrated Turbo Purge functionality combined with advanced orbital welding control, delivering precision and consistency for critical applications. The analog Turbo Purge automatically manages gas flow before and after welding, improving root quality and reducing defects. With 200A output, advanced pulse technology, and autorange voltage capability, it is suitable for global manufacturing environments. Output: DC GTAW/TIG, 5–200A; duty cycles: 25% at 200A, 60% at 150A, 100% at 120A. Input voltage: 115V or 230V AC (±15%, autorange), 50/60 Hz. Power rating: 6 kVA; recommended generator: 9 kVA. Features 10.1-inch high-resolution touchscreen, pulse rate 0.05–50 pps, memory for 100+ welding schedules. Dimensions: 500 x 340 x 360 mm, weight: 16.8 kg. Compatible with COOL 50 or EVO COOL water cooling units.</t>
  </si>
  <si>
    <t xml:space="preserve">Full-Featured Orbital Power Supply with Integrated Gas Purge</t>
  </si>
  <si>
    <t xml:space="preserve">Superior Gas Management and Orbital Welding Control: The EVO200WP combines integrated Turbo Purge functionality with advanced orbital welding capabilities, delivering the precision and consistency required for critical applications.</t>
  </si>
  <si>
    <t xml:space="preserve">- 5-200 amp DC output for diverse applications
 - Standard analog Turbo Purge with digital control
 - Autorange 110-240V for any global facility
 - Advanced pulse 0.05-50 pps capability
 - 100+ welding schedule memory capacity</t>
  </si>
  <si>
    <t xml:space="preserve">- High-resolution 10.1-inch color touchscreen
 - Multiple duty cycle support (25%, 60%, 100%)
 - Optional digital Turbo Purge upgrade available
 - Compatible COOL 50 or EVO COOL cooling units
 - Portable 16.8 kg design</t>
  </si>
  <si>
    <t xml:space="preserve">Order Your EVO200WP Orbital Power Supply</t>
  </si>
  <si>
    <t xml:space="preserve">Achieve superior orbital welding quality with integrated gas management using the EVO200WP Power Supply. Available through authorized Orbitec dealers and orbital welding equipment suppliers. Contact us for technical specifications, upgrade options, and system integration support.</t>
  </si>
  <si>
    <t xml:space="preserve">- Q1: What is the maximum output current?
- Q2: What is Turbo Purge functionality?
- Q3: Can the Turbo Purge function be upgraded?
- Q4: Does it support water cooling?
- Q5: What duty cycles are available?</t>
  </si>
  <si>
    <t xml:space="preserve">- A1: The EVO200WP delivers 5-200 amps DC output, suitable for small to large diameter tubing and pipe.
- A2: Turbo Purge automatically increases gas flow before and after welding, then reduces to operational levels, improving weld root quality.
- A3: Yes, optional digital Turbo Purge is available for continuous gas flow measurement and precise digital control.
- A4: Yes, COOL 50 or EVO COOL water cooling units can be mounted directly on the power supply.
- A5: The supply supports 25% ED at 200A, 60% ED at 150A, and 100% ED at 120A ratings.</t>
  </si>
  <si>
    <t xml:space="preserve">High-performance 200A orbital welding power source delivering precise pulse control, global voltage compatibility, analog or optional digital Turbo Purge, and an intuitive high-resolution touchscreen.</t>
  </si>
  <si>
    <t>OSK115S</t>
  </si>
  <si>
    <t xml:space="preserve">OSK 115 S ENCLOSED WH 0.368 - 4.500</t>
  </si>
  <si>
    <t>1.1.2720</t>
  </si>
  <si>
    <t xml:space="preserve">Weld Head Assembly | Enclosed Welding</t>
  </si>
  <si>
    <t xml:space="preserve">Compact gas-cooled enclosed orbital weld head with a narrow profile for 9.35–114.3 mm OD tubing, featuring tool-free quick-latch collets and high-duty-cycle operation without water cooling.</t>
  </si>
  <si>
    <t xml:space="preserve">Compact gas-cooled enclosed weld head engineered for narrow design with OD range 9.35mm - 114.3mm</t>
  </si>
  <si>
    <t xml:space="preserve">Collet System</t>
  </si>
  <si>
    <t xml:space="preserve">Quick-latch collet retention system enables tool-free collet changes</t>
  </si>
  <si>
    <t xml:space="preserve">High duty cycle capability without water cooling through advanced material selection</t>
  </si>
  <si>
    <t xml:space="preserve">The OSK 115 S ENCLOSED WELD HEAD is designed for orbital welding across tubing diameters from 0.368" to 4.500" (9.35mm - 114.3mm), providing wide coverage in tight-access applications typical of pharmaceutical, semiconductor, and aerospace facilities. Its exceptionally narrow aluminum and stainless steel design, combined with gas cooling, allows high duty cycle performance. The weld head weighs 3.4 kg and requires one collet set per tube diameter, featuring a spring-loaded quick-latch system for easy collet retention. It is compatible with standard Orbitec motor/encoder units and comes with an 8m handle and cable assembly, making it suitable for confined spaces while maintaining reliable operation.</t>
  </si>
  <si>
    <t xml:space="preserve">Compact Enclosed Weld Head for Wide Diameter Range Orbital Welding</t>
  </si>
  <si>
    <t xml:space="preserve">Wide range capability with narrow design: The OSK 115 S enables orbital welding across the complete 0.368" - 4.500" OD range in tight-access applications.</t>
  </si>
  <si>
    <t xml:space="preserve">- 0.368" - 4.500" OD tubing range
- Gas-cooled design
- 3.4 kg weight
- Quick-latch collet system
- Narrow compact design</t>
  </si>
  <si>
    <t xml:space="preserve">- High duty cycle capability
- Aluminum/stainless construction
- Spring-loaded collet retention
- Compatible with standard motors
- 8m handle/cable assembly</t>
  </si>
  <si>
    <t xml:space="preserve">Configure Your OSK 115 S ENCLOSED WELD HEAD</t>
  </si>
  <si>
    <t xml:space="preserve">Achieve wide-range orbital welding capability in confined spaces with the OSK 115 S ENCLOSED WELD HEAD. Ideal for pharmaceutical, semiconductor, and aerospace applications. Available from authorized Orbitec distributors.</t>
  </si>
  <si>
    <t xml:space="preserve">- Q1: OD range?
- Q2: Cooling type?
- Q3: Weight?
- Q4: Collet system?
- Q5: Design advantage?</t>
  </si>
  <si>
    <t xml:space="preserve">- A1: 9.35mm - 114.3mm (0.368" - 4.500").
- A2: Gas-cooled design.
- A3: 3.4 kg.
- A4: Quick-latch spring-loaded retention.
- A5: Narrow profile for tight-access applications.</t>
  </si>
  <si>
    <t xml:space="preserve">Narrow-design gas-cooled orbital weld head covering 9.35–114.3 mm OD, engineered with rapid collet exchange and advanced materials for continuous-duty performance.</t>
  </si>
  <si>
    <t>OSK115SW</t>
  </si>
  <si>
    <t xml:space="preserve">OSK 115 SW ENCLOSED WH 0.368 - 4.500</t>
  </si>
  <si>
    <t>1.1.2720W</t>
  </si>
  <si>
    <t xml:space="preserve">Water-cooled OSK 115 orbital weld head optimized for high-duty-cycle production, featuring full lower-clamp cooling and the same compact narrow profile as the gas-cooled S series.</t>
  </si>
  <si>
    <t xml:space="preserve">Water-cooled version of OSK 115 weld head for high duty cycle production applications</t>
  </si>
  <si>
    <t xml:space="preserve">Full water cooling of lower clamp housing provides enhanced thermal management</t>
  </si>
  <si>
    <t xml:space="preserve">Same narrow design as gas-cooled S series with water-cooling upgrade capability</t>
  </si>
  <si>
    <t xml:space="preserve">The OSK 115 SW ENCLOSED WELD HEAD is a water-cooled variant designed for high-speed orbital welding in demanding production environments such as aerospace and pharmaceutical facilities. It supports tubing diameters from 0.368" to 4.500" (9.35mm - 114.3mm) and provides superior thermal management through full water cooling of the lower clamp housing. The aluminum and stainless steel weld head weighs 3.4 kg and requires one collet set per tube diameter. It features a spring-loaded quick-latch system, is compatible with standard Orbitec motor/encoder units, and includes an 8m handle and cable assembly. Water flow must be 5 liters per minute at a 35m water column to maintain optimal cooling.</t>
  </si>
  <si>
    <t xml:space="preserve">Water-Cooled Enclosed Weld Head for High-Duty Production Welding</t>
  </si>
  <si>
    <t xml:space="preserve">Production-grade cooling for extended operations: The OSK 115 SW provides water-cooled thermal management for high-speed orbital welding in demanding manufacturing environments.</t>
  </si>
  <si>
    <t xml:space="preserve">- 0.368" - 4.500" OD tubing range
- Full water-cooled lower housing
- 3.4 kg weight
- Quick-latch collet system
- Narrow compact design</t>
  </si>
  <si>
    <t xml:space="preserve">- Extended duty cycles
- Water flow: 5 L/min at 35m column
- Aluminum/stainless construction
- Spring-loaded collet retention
- 8m handle/cable assembly</t>
  </si>
  <si>
    <t xml:space="preserve">Order Your OSK 115 SW ENCLOSED WELD HEAD</t>
  </si>
  <si>
    <t xml:space="preserve">Enhance your production welding capability with the OSK 115 SW ENCLOSED WELD HEAD. Water-cooled design ideal for high-speed aerospace and pharmaceutical applications. Available from authorized Orbitec equipment suppliers.</t>
  </si>
  <si>
    <t xml:space="preserve">- Q1: OD range?
- Q2: Cooling type?
- Q3: Water requirements?
- Q4: Weight?
- Q5: Duty cycle?</t>
  </si>
  <si>
    <t xml:space="preserve">- A1: 9.35mm - 114.3mm (0.368" - 4.500").
- A2: Full water-cooled lower clamp housing.
- A3: 5 liters/minute at 35m water column.
- A4: 3.4 kg.
- A5: Extended cycles due to water-cooling capability.</t>
  </si>
  <si>
    <t xml:space="preserve">High-production water-cooled orbital weld head based on the OSK 115 platform, delivering enhanced thermal management while maintaining a slim enclosed design.</t>
  </si>
  <si>
    <t>OSK013S</t>
  </si>
  <si>
    <t xml:space="preserve">OSK 13 S MICROFIT WH 0.125 - 0.500</t>
  </si>
  <si>
    <t>1.3.4000</t>
  </si>
  <si>
    <t xml:space="preserve">Weld Head Assembly | Microfit Welding</t>
  </si>
  <si>
    <t xml:space="preserve">Ultra-compact gas-cooled orbital weld head for semiconductor and pharmaceutical microfittings, featuring an extremely narrow design and advanced gas routing for superior micro-component coverage.</t>
  </si>
  <si>
    <t xml:space="preserve">Ultra-compact gas-cooled weld head specifically engineered for semiconductor and pharmaceutical microfitting applications</t>
  </si>
  <si>
    <t>Size</t>
  </si>
  <si>
    <t xml:space="preserve">Extreme narrow design enables welding in spaces where standard weld heads cannot fit</t>
  </si>
  <si>
    <t xml:space="preserve">Gas Routing</t>
  </si>
  <si>
    <t xml:space="preserve">Advanced gas routing provides superior coverage for micro-components</t>
  </si>
  <si>
    <t xml:space="preserve">The OSK 13 S MICROFIT WELD HEAD is engineered for precise orbital welding of micro-components and micro-fittings in semiconductor and pharmaceutical applications. It accommodates tubing diameters from 0.125" to 0.500" (3.17mm - 12.7mm) and features an ultra-compact aluminum and stainless steel design for access in extremely tight spaces. The gas-cooled head weighs 2.4 kg and requires micro-sized collets for each tube diameter. Specially directed gas routing ensures optimal weld coverage. The weld head features the narrowest design in the Orbitec line, is compatible with Orbitec micro motor units, and includes an 8m handle and cable assembly.</t>
  </si>
  <si>
    <t xml:space="preserve">Ultra-Compact Microfit Weld Head for Semiconductor and Pharmaceutical Applications</t>
  </si>
  <si>
    <t xml:space="preserve">Micro-component welding demands ultra-compact equipment: The OSK 13 S MICROFIT WELD HEAD enables precise orbital welding in semiconductor and pharmaceutical micro-fittings.</t>
  </si>
  <si>
    <t xml:space="preserve">- 0.125" - 0.500" OD microfitting range
- Ultra-narrow design
- Gas-cooled operation
- 2.4 kg weight
- Advanced gas routing</t>
  </si>
  <si>
    <t xml:space="preserve">- Semiconductor compatible
- Pharmaceutical-grade design
- Aluminum/stainless construction
- Micro-collet system
- 8m handle/cable assembly</t>
  </si>
  <si>
    <t xml:space="preserve">Configure Your OSK 13 S MICROFIT WELD HEAD</t>
  </si>
  <si>
    <t xml:space="preserve">Achieve precision micro-component welding with the OSK 13 S MICROFIT WELD HEAD. Ideal for semiconductor and pharmaceutical applications. Available from authorized Orbitec distributors.</t>
  </si>
  <si>
    <t xml:space="preserve">- Q1: OD range?
- Q2: Design advantage?
- Q3: Cooling?
- Q4: Weight?
- Q5: Applications?</t>
  </si>
  <si>
    <t xml:space="preserve">- A1: 3.17mm - 12.7mm (0.125" - 0.500").
- A2: Ultra-narrow enabling access to confined spaces.
- A3: Gas-cooled design.
- A4: 2.4 kg.
- A5: Semiconductor and pharmaceutical micro-fittings.</t>
  </si>
  <si>
    <t xml:space="preserve">Ultra-compact gas-cooled orbital weld head designed for semiconductor and pharmaceutical microfittings, featuring an extremely narrow profile and advanced gas routing for precise micro-component coverage.</t>
  </si>
  <si>
    <t xml:space="preserve">The OSK 13 S MICROFIT WELD HEAD is engineered for precise orbital welding of micro-components and micro-fittings in semiconductor and pharmaceutical applications. It accommodates tubing diameters from 0.125" to 0.500" (3.17mm - 12.7mm) and features an ultra-compact aluminum and stainless steel design for access in extremely tight spaces. Gas cooling provides reliable operation, and micro-sized collets are required for each tube diameter. Specially directed gas routing ensures optimal weld coverage. The weld head has the narrowest design in the Orbitec line, is compatible with Orbitec micro motor units, and includes an 8m handle and cable assembly.</t>
  </si>
  <si>
    <t>OSK170GW</t>
  </si>
  <si>
    <t xml:space="preserve">OSK 170 GW ENCLOSED WH 1.575 - 6.626</t>
  </si>
  <si>
    <t>1.3.2899</t>
  </si>
  <si>
    <t xml:space="preserve">Large-diameter water-cooled orbital weld head for heavy-wall pipe and tubing, offering an extended 50–168.3 mm OD range and enhanced thermal management for production environments.</t>
  </si>
  <si>
    <t xml:space="preserve">Large-diameter water-cooled weld head engineered for heavy-wall pipe and tubing</t>
  </si>
  <si>
    <t>Range</t>
  </si>
  <si>
    <t xml:space="preserve">Extended OD range 50mm - 168.3mm enables single machine for diverse applications</t>
  </si>
  <si>
    <t xml:space="preserve">Water-cooled design provides enhanced thermal management for production environments</t>
  </si>
  <si>
    <t xml:space="preserve">The OSK 170 GW ENCLOSED WELD HEAD is designed for large-diameter pipe and tubing orbital welding, covering diameters from 1.969" to 6.626" (50mm - 168.3mm) with a single weld head. Its water-cooled aluminum alloy and stainless steel construction provides superior thermal management for extended production runs. The weld head weighs 7.5 kg, requires one collet set per tube diameter, features a spring-loaded quick-latch system, and is compatible with Orbitec standard motor/encoder units. An 8m handle and cable assembly are included, and water flow must be 5 liters per minute at a 35m water column to maintain optimal cooling.</t>
  </si>
  <si>
    <t xml:space="preserve">Heavy-Duty Water-Cooled Weld Head for Large-Diameter Orbital Welding</t>
  </si>
  <si>
    <t xml:space="preserve">Large-diameter welding requires robust thermal management: The OSK 170 GW provides water-cooled performance for extended production orbital welding.</t>
  </si>
  <si>
    <t xml:space="preserve">- 1.575" - 6.626" OD range
- Water-cooled design
- 7.5 kg weight
- Quick-latch collet system
- Heavy-duty construction</t>
  </si>
  <si>
    <t xml:space="preserve">- Water flow: 5 L/min at 35m column
- Aluminum/stainless materials
- Spring-loaded retention
- Wide diameter coverage
- 8m handle/cable assembly</t>
  </si>
  <si>
    <t xml:space="preserve">Order Your OSK 170 GW ENCLOSED WELD HEAD</t>
  </si>
  <si>
    <t xml:space="preserve">Achieve large-diameter orbital welding with the OSK 170 GW ENCLOSED WELD HEAD. Water-cooled design ideal for production environments. Available from authorized Orbitec equipment suppliers.</t>
  </si>
  <si>
    <t xml:space="preserve">- Q1: OD range?
- Q2: Cooling type?
- Q3: Water requirements?
- Q4: Weight?
- Q5: Suitable for production?</t>
  </si>
  <si>
    <t xml:space="preserve">- A1: 50mm - 168.3mm (1.575" - 6.626").
- A2: Water-cooled design.
- A3: 5 liters/minute at 35m water column.
- A4: 7.5 kg.
- A5: Yes, water-cooling enables continuous operations.</t>
  </si>
  <si>
    <t xml:space="preserve">Heavy-duty water-cooled orbital weld head covering 50–168.3 mm OD, enabling versatile large-pipe applications with reliable cooling for continuous operation.</t>
  </si>
  <si>
    <t>OSK021CB</t>
  </si>
  <si>
    <t xml:space="preserve">OSK 21 CB ENCLOSED WH 0.125 - 0.839</t>
  </si>
  <si>
    <t>1.0.28202</t>
  </si>
  <si>
    <t xml:space="preserve">Compact gas-cooled weld head with a dedicated clamping block for tube-to-tube connections, allowing welding without centering holes and ensuring precise alignment with an included setting gauge.</t>
  </si>
  <si>
    <t xml:space="preserve">Compact gas-cooled weld head with clamping block specifically designed for tube-to-tube connections</t>
  </si>
  <si>
    <t xml:space="preserve">Clamping block design enables welding without centering through-holes</t>
  </si>
  <si>
    <t>Gauge</t>
  </si>
  <si>
    <t xml:space="preserve">Includes precision setting gauge for accurate pipe alignment</t>
  </si>
  <si>
    <t xml:space="preserve">The OSK 21 CB ENCLOSED WELD HEAD is engineered for precise tube-to-tube orbital welding of small-diameter tubing, accommodating diameters from 0.125" to 0.839" (3.17mm - 21.3mm). Its gas-cooled aluminum and stainless steel design is lightweight at 1.0 kg and features a clamping block that enables side-by-side tube connections without through-hole mounting. A precision setting gauge ensures accurate alignment, and the compact profile allows operation in tight spaces. An 8m handle and cable assembly is included for convenience.</t>
  </si>
  <si>
    <t xml:space="preserve">Tube-to-Tube Connection Weld Head for Small-Diameter Applications</t>
  </si>
  <si>
    <t xml:space="preserve">Tube-to-tube connections require specialized clamping: The OSK 21 CB provides precise alignment and clamping for small-diameter tube-to-tube orbital welds.</t>
  </si>
  <si>
    <t xml:space="preserve">- 0.125" - 0.839" OD range
- Clamping block design
- Gas-cooled operation
- 1.0 kg weight
- Includes setting gauge</t>
  </si>
  <si>
    <t xml:space="preserve">- Tube-to-tube connections
- No through-hole required
- Aluminum/stainless construction
- Compact narrow profile
- 8m handle/cable assembly</t>
  </si>
  <si>
    <t xml:space="preserve">Order Your OSK 21 CB ENCLOSED WELD HEAD</t>
  </si>
  <si>
    <t xml:space="preserve">Perform reliable tube-to-tube connections with the OSK 21 CB ENCLOSED WELD HEAD. Ideal for pharmaceutical and specialty applications. Available from authorized Orbitec suppliers.</t>
  </si>
  <si>
    <t xml:space="preserve">- Q1: OD range?
- Q2: Connection type?
- Q3: Clamp design?
- Q4: Weight?
- Q5: Included?</t>
  </si>
  <si>
    <t xml:space="preserve">- A1: 3.17mm - 21.3mm (0.125" - 0.839").
- A2: Tube-to-tube side-by-side connections.
- A3: Clamping block eliminates through-hole requirement.
- A4: 1.0 kg.
- A5: Comes with precision setting gauge.</t>
  </si>
  <si>
    <t>OSK021CSCB</t>
  </si>
  <si>
    <t xml:space="preserve">OSK 21 CS CLAMPING BLOCK TUBE-TUBE</t>
  </si>
  <si>
    <t>220101000</t>
  </si>
  <si>
    <t xml:space="preserve">Weld Head Accessory | Tube-to-Tube Clamping</t>
  </si>
  <si>
    <t xml:space="preserve">Specialized clamping block accessory for tube-to-tube orbital welding, compatible with OSK 21 CS weld heads and enabling side-by-side tube welding without through-hole requirements.</t>
  </si>
  <si>
    <t xml:space="preserve">Accessory Type</t>
  </si>
  <si>
    <t xml:space="preserve">Specialized clamping block accessory engineered for tube-to-tube orbital welding connections</t>
  </si>
  <si>
    <t xml:space="preserve">Compatible with OSK 21 CS compact weld heads</t>
  </si>
  <si>
    <t>Function</t>
  </si>
  <si>
    <t xml:space="preserve">Enables welding of two tubes positioned side-by-side without through-hole requirements</t>
  </si>
  <si>
    <t xml:space="preserve">The OSK 21 CS CLAMPING BLOCK is designed for specialized tube-to-tube orbital welding where standard collet systems cannot be used. Compatible with OSK 21 CS weld heads, it accommodates tubing diameters from 0.125" to 0.839" (3.17mm - 21.3mm). Constructed from stainless steel and weighing approximately 0.4 kg, the block provides multi-point pressure for balanced clamping and eliminates the need for through-hole workpiece preparation. Its compact profile mounts on the standard OSK 21 interface for tight-space applications.</t>
  </si>
  <si>
    <t xml:space="preserve">Specialized Clamping Block for Tube-to-Tube Orbital Welding</t>
  </si>
  <si>
    <t xml:space="preserve">Specialized connection requirements need specialized equipment: The OSK 21 CS CLAMPING BLOCK enables reliable tube-to-tube orbital welding in tight configurations.</t>
  </si>
  <si>
    <t xml:space="preserve">- Tube-to-tube connections
- 0.125" - 0.839" OD range
- Stainless steel construction
- 0.4 kg weight
- Multi-point clamping</t>
  </si>
  <si>
    <t xml:space="preserve">- No through-hole required
- Standard OSK 21 compatible
- Side-by-side positioning
- Compact design
- Balanced pressure distribution</t>
  </si>
  <si>
    <t xml:space="preserve">Acquire Your OSK 21 CS CLAMPING BLOCK</t>
  </si>
  <si>
    <t xml:space="preserve">Expand your orbital welding capability to tube-to-tube connections with the OSK 21 CS CLAMPING BLOCK. Available as a drop-in accessory for OSK 21 CS weld heads.</t>
  </si>
  <si>
    <t xml:space="preserve">- Q1: Compatibility?
- Q2: Tube sizes?
- Q3: Connection type?
- Q4: Material?
- Q5: Weight?</t>
  </si>
  <si>
    <t xml:space="preserve">- A1: OSK 21 CS weld heads only.
- A2: 3.17mm - 21.3mm OD (0.125" - 0.839").
- A3: Tube-to-tube side-by-side positioning.
- A4: Stainless steel construction.
- A5: Approximately 0.4 kg.</t>
  </si>
  <si>
    <t>OSK021CW</t>
  </si>
  <si>
    <t xml:space="preserve">OSK 21 CW ENCLOSED WH 0.125 - 0.839</t>
  </si>
  <si>
    <t>1.0.2820W</t>
  </si>
  <si>
    <t xml:space="preserve">Water-cooled OSK 21 orbital weld head for high-duty-cycle production, featuring a compact cooled clamp housing and a shared handle and cable system to reduce equipment costs.</t>
  </si>
  <si>
    <t xml:space="preserve">Water-cooled version of OSK 21 weld head for high duty cycle production</t>
  </si>
  <si>
    <t xml:space="preserve">Compact water-cooled clamp housing provides enhanced thermal management</t>
  </si>
  <si>
    <t>Handle</t>
  </si>
  <si>
    <t xml:space="preserve">Sharable handle and cable assembly reduces equipment investment for multiple heads</t>
  </si>
  <si>
    <t xml:space="preserve">The OSK 21 CW ENCLOSED WELD HEAD is designed for compact, high-production orbital welding in pharmaceutical and food manufacturing. It accommodates tubing diameters from 0.125" to 0.839" (3.17mm - 21.3mm) and features a water-cooled clamp housing for extended duty cycles. The 1.0 kg aluminum and stainless steel weld head uses a spring-loaded quick-latch collet system, requires one collet set per tube diameter, and comes with an 8m sharable handle and cable assembly to reduce equipment investment when multiple weld heads are used.</t>
  </si>
  <si>
    <t xml:space="preserve">Water-Cooled Compact Weld Head for High-Duty Production</t>
  </si>
  <si>
    <t xml:space="preserve">Production-grade thermal management for compact weld heads: The OSK 21 CW enables extended duty cycles for high-volume pharmaceutical manufacturing.</t>
  </si>
  <si>
    <t xml:space="preserve">- 0.125" - 0.839" OD range
- Water-cooled clamp housing
- 1.0 kg weight
- Quick-latch collet system
- High duty cycle capability</t>
  </si>
  <si>
    <t xml:space="preserve">- Water flow: 5 L/min at 35m column
- Sharable handle assembly
- Aluminum/stainless construction
- Spring-loaded retention
- 8m handle/cable assembly</t>
  </si>
  <si>
    <t xml:space="preserve">Order Your OSK 21 CW ENCLOSED WELD HEAD</t>
  </si>
  <si>
    <t xml:space="preserve">Enhance production capacity with the OSK 21 CW ENCLOSED WELD HEAD. Water-cooled design ideal for pharmaceutical and food manufacturing. Available from authorized Orbitec suppliers.</t>
  </si>
  <si>
    <t xml:space="preserve">- Q1: OD range?
- Q2: Water requirements?
- Q3: Weight?
- Q4: Duty cycle?
- Q5: Handle sharing?</t>
  </si>
  <si>
    <t xml:space="preserve">- A1: 3.17mm - 21.3mm (0.125" - 0.839").
- A2: 5 liters/minute at 35m water column.
- A3: 1.0 kg.
- A4: Extended cycles due to water cooling.
- A5: Yes, sharable with other CW heads.</t>
  </si>
  <si>
    <t xml:space="preserve">High-production water-cooled OSK 21 weld head with enhanced thermal management and interchangeable handle and cable assemblies for multi-head operational efficiency.</t>
  </si>
  <si>
    <t>OSK038CW</t>
  </si>
  <si>
    <t xml:space="preserve">OSK 38 CW ENCLOSED WH 0.125 - 1.500</t>
  </si>
  <si>
    <t>1.0.2920W</t>
  </si>
  <si>
    <t xml:space="preserve">Water-cooled OSK 38 orbital weld head designed for extended-range, high-duty applications, maintaining 0.125"–1.500" OD capacity with shared handle compatibility.</t>
  </si>
  <si>
    <t xml:space="preserve">Water-cooled version of OSK 38 weld head for extended-range, high-duty production</t>
  </si>
  <si>
    <t xml:space="preserve">Maintains 0.125″ - 1.500″ OD capacity with water-cooled thermal management</t>
  </si>
  <si>
    <t xml:space="preserve">Sharable handle assembly with other CW weld heads reduces equipment investment</t>
  </si>
  <si>
    <t xml:space="preserve">The OSK 38 CW ENCLOSED WELD HEAD provides water-cooled thermal management for high-production orbital welding across tubing diameters from 0.125" to 1.500" (3.17mm - 38.1mm). Its aluminum and stainless steel construction weighs 1.4 kg and features a spring-loaded quick-latch collet system, requiring one collet set per tube diameter. The water-cooled clamp housing enables extended duty cycles, and the 8m sharable handle allows flexible use with other CW series weld heads, reducing equipment investment.</t>
  </si>
  <si>
    <t xml:space="preserve">Water-Cooled Extended-Range Weld Head for High-Duty Production</t>
  </si>
  <si>
    <t xml:space="preserve">Extended-range water-cooled performance: The OSK 38 CW enables continuous high-production orbital welding across diverse pipe sizes.</t>
  </si>
  <si>
    <t xml:space="preserve">- 0.125" - 1.500" OD range
- Water-cooled clamp housing
- 1.4 kg weight
- Quick-latch collet system
- High duty cycle</t>
  </si>
  <si>
    <t xml:space="preserve">- Water flow: 5 L/min at 35m column
- Sharable handle assembly
- Aluminum/stainless construction
- Extended production capability
- 8m handle/cable assembly</t>
  </si>
  <si>
    <t xml:space="preserve">Order Your OSK 38 CW ENCLOSED WELD HEAD</t>
  </si>
  <si>
    <t xml:space="preserve">Maximize production output with the OSK 38 CW ENCLOSED WELD HEAD. Water-cooled design ideal for high-volume pharmaceutical manufacturing. Available from authorized Orbitec suppliers.</t>
  </si>
  <si>
    <t xml:space="preserve">- A1: 3.17mm - 38.1mm (0.125" - 1.500").
- A2: 5 liters/minute at 35m water column.
- A3: 1.4 kg.
- A4: Extended cycles with water cooling.
- A5: Yes, sharable with other CW heads.</t>
  </si>
  <si>
    <t xml:space="preserve">Extended-range OSK 38 water-cooled weld head delivering reliable thermal control for high-production welding while reducing investment through shared handle assemblies.</t>
  </si>
  <si>
    <t>OSK053SW</t>
  </si>
  <si>
    <t xml:space="preserve">OSK 53 SW ENCLOSED WH 0.250 - 2.000</t>
  </si>
  <si>
    <t>1.0.2520W</t>
  </si>
  <si>
    <t xml:space="preserve">Ultra-narrow water-cooled orbital weld head with full lower-clamp cooling, quick-latch collets, and compatibility with OSK GW and SW handles, optimized for high-duty stainless and carbon steel welding in pharmaceutical and semiconductor applications.</t>
  </si>
  <si>
    <t xml:space="preserve">Water-cooled weld head with full closed water cooling system for lower clamp housing</t>
  </si>
  <si>
    <t xml:space="preserve">Narrower design compared to gas-cooled versions with quick latch collet retention system</t>
  </si>
  <si>
    <t xml:space="preserve">Compatible with OSK GW and SW handle cable assemblies for multi-head operational flexibility</t>
  </si>
  <si>
    <t>Profile</t>
  </si>
  <si>
    <t xml:space="preserve">Extremely narrow profile optimal for high duty cycle orbital welding applications</t>
  </si>
  <si>
    <t xml:space="preserve">The OSK 53 SW ENCLOSED WELD HEAD is a water-cooled, high-performance orbital welding solution designed for applications requiring continuous 100% duty cycle operation. It supports tubing diameters from 0.250" to 2.087" (6mm - 53mm) and weighs 2.1 kg. The aluminum and stainless steel weld head features a narrow 130mm width for access in tight spaces and integrates full water-cooling in the lower clamp housing with up to 1000W heat dissipation. A quick-latch collet system allows rapid setup and changeover, compatible with all modern Orbitec controllers including TIGTRONIC 5.2–5.4 and EVO series. Standard tungsten electrodes (1.0–3.2mm) are used, and the weld head dimensions are 130mm W × 70mm H × 205mm D. This design ensures exceptional thermal management, optimal weld quality, and minimal downtime in high-volume production environments.</t>
  </si>
  <si>
    <t xml:space="preserve">Request OSK 53 SW Quote</t>
  </si>
  <si>
    <t xml:space="preserve">Precision Water-Cooled Weld Head for High Duty Cycle Orbital Welding</t>
  </si>
  <si>
    <t xml:space="preserve">Optimizing High-Duty-Cycle Production Welding: The water-cooled enclosed weld head represents a significant technological advancement enabling factories to maintain continuous 100% duty cycle operation through integrated thermal management, eliminating downtime associated with electrode overheating and providing exceptional value in high-volume production environments where equipment efficiency directly impacts bottom-line profitability.</t>
  </si>
  <si>
    <t xml:space="preserve">- Water-cooled system maintains optimal temperatures during continuous operation
- Quick-latch collet system enables rapid tube size changeover
- Extremely narrow design (130mm width) for confined space accessibility
- Full water cooling on lower clamp housing (1000W capacity)
- Compatible with EVO and TIGTRONIC controllers</t>
  </si>
  <si>
    <t xml:space="preserve">- Supports 100% continuous duty cycle operations
- Collets available for complete 6-53mm diameter range
- Dimension A: 130mm | B: 70mm | C: 205mm
- Item number: 1.0.2520W for tracking and ordering
- Designed for semiconductor and pharmaceutical environments</t>
  </si>
  <si>
    <t xml:space="preserve">Request Your OSK 53 SW Quote Today</t>
  </si>
  <si>
    <t xml:space="preserve">Maximize your orbital welding productivity with the advanced OSK 53 SW water-cooled weld head, engineered to deliver 100% continuous duty cycle performance in the most demanding high-volume production environments. Our technical team is available to discuss your specific application requirements, provide detailed technical specifications, and assist with equipment selection and integration. Contact us today to learn how the OSK 53 SW can optimize your welding operations and improve your bottom-line profitability.</t>
  </si>
  <si>
    <t xml:space="preserve">- Q1: What is the maximum continuous duty cycle for the OSK 53 SW weld head?
- Q2: How quickly can operators change tube diameters with the quick-latch collet system?
- Q3: What is the water pressure operating range for the OSK 53 SW?
- Q4: Is the OSK 53 SW compatible with existing Orbitec controllers?
- Q5: What is the overall width dimension of the OSK 53 SW for space planning?</t>
  </si>
  <si>
    <t xml:space="preserve">- A1: The OSK 53 SW water-cooled weld head supports 100% continuous duty cycle operation due to its integrated water cooling system that dissipates up to 1000W of heat, enabling sustained high-current welding without electrode degradation.
- A2: The quick-latch collet retention system enables tool-free tube size changes in approximately 60 seconds or less, eliminating setup downtime associated with traditional screw-based clamping systems.
- A3: The water cooling system operates at 2-5 bar pressure, with automatic pressure relief valve protection preventing system damage from excessive pressure spikes.
- A4: Yes, the OSK 53 SW integrates seamlessly with all modern Orbitec controllers including the EVO series and TIGTRONIC controllers, providing advanced process monitoring and documentation capabilities.
- A5: The OSK 53 SW measures 130mm in overall width, making it one of the narrowest water-cooled weld heads on the market, enabling positioning in confined spaces typical of modular manufacturing.</t>
  </si>
  <si>
    <t xml:space="preserve">Ultra-narrow water-cooled orbital weld head with fully enclosed lower clamp cooling, quick-latch collet retention, and OSK GW/SW handle compatibility, optimized for high-duty stainless and carbon steel pipe welding in pharmaceutical and semiconductor applications.</t>
  </si>
  <si>
    <t xml:space="preserve">The OSK 53 SW ENCLOSED WELD HEAD is a water-cooled, high-performance orbital welding solution designed for continuous 100% duty cycle operation in high-temperature environments. It supports tubing diameters from 0.250" to 2.087" (6mm - 53mm) and weighs 2.1 kg. Its narrow 130mm width allows access in confined spaces, such as pharmaceutical and semiconductor facilities. The lower clamp housing is fully water-cooled, providing up to 1000W heat dissipation, preventing electrode overheating. The quick-latch collet retention system ensures fast setup and changeover between tube sizes. Compatible with modern Orbitec controllers including TIGTRONIC 5.2–5.4 and EVO series, it uses standard tungsten electrodes (1.0–3.2mm), with dimensions of 130mm W × 70mm H × 205mm D, offering superior weld quality and reliability for high-volume production.</t>
  </si>
  <si>
    <t>OSK076SW</t>
  </si>
  <si>
    <t xml:space="preserve">OSK 76 SW ENCLOSED WH 0.250 - 3.000</t>
  </si>
  <si>
    <t>1.0.2620W</t>
  </si>
  <si>
    <t xml:space="preserve">Water-cooled OSK 76 S orbital weld head featuring full lower clamp water circulation, quick-change narrow collet system, and high thermal capacity for continuous high-duty welding, compatible with interchangeable OSK SW and GW handle assemblies.</t>
  </si>
  <si>
    <t xml:space="preserve">Water-cooled version of OSK 76 S with identical overall structural width</t>
  </si>
  <si>
    <t xml:space="preserve">Full water cooling circulation system on lower clamp housing for enhanced duty cycle performance</t>
  </si>
  <si>
    <t xml:space="preserve">Quick-change collet system with narrow profile for easy access in confined spaces</t>
  </si>
  <si>
    <t>Capacity</t>
  </si>
  <si>
    <t xml:space="preserve">High thermal capacity for continuous high-duty-cycle welding operations</t>
  </si>
  <si>
    <t xml:space="preserve">The OSK 76 SW water-cooled ENCLOSED WELD HEAD is engineered for sustained high-temperature orbital welding in thick-wall pipe and pressure vessel applications. Supporting tubing diameters from 0.250" to 3.000" (6mm - 76.2mm) and weighing 2.6 kg, it maintains consistent weld pool temperatures through a closed-loop internal water jacket in the lower clamp housing. Operating at 2–5 bar water pressure, it delivers 1000W cooling capacity with a spring-loaded quick-latch collet system identical to the S series. External dimensions match the OSK 76 S, allowing seamless retrofit, and it is compatible with OSK SW handle and cable assemblies for flexible multi-purpose production. Continuous 100% duty cycle operation ensures maximum throughput with minimal tungsten wear.</t>
  </si>
  <si>
    <t xml:space="preserve">Request OSK 76 SW Quote</t>
  </si>
  <si>
    <t xml:space="preserve">Advanced Water-Cooled Weld Head for Continuous High-Temperature Operation</t>
  </si>
  <si>
    <t xml:space="preserve">Enabling Continuous Production Operations with Advanced Thermal Management: The water-cooled weld head integration provides sophisticated heat dissipation enabling sustained high-current operations typical of thick-wall pipe and pressure vessel welding, allowing factories to maximize equipment utilization and throughput while maintaining consistent weld quality throughout extended production shifts.</t>
  </si>
  <si>
    <t xml:space="preserve">- Integrated closed-loop water cooling system (2-5 bar pressure)
- Seamless retrofit capability into existing fixtures (identical to OSK 76 S)
- Dual quick-disconnect water couplings for rapid changeover
- 100% continuous duty cycle capability
- Real-time coolant temperature and pressure monitoring</t>
  </si>
  <si>
    <t xml:space="preserve">- Maintains 100% duty cycle with integrated cooling
- Collets range from 6-76.2mm outer diameter capability
- Cooled lower clamp housing design maintains performance
- Operating pressure range: 2-5 bar water system
- Seamless integration with modern control systems</t>
  </si>
  <si>
    <t xml:space="preserve">Get Your OSK 76 SW Quotation</t>
  </si>
  <si>
    <t xml:space="preserve">Experience the advanced thermal management capabilities of the OSK 76 SW water-cooled weld head, enabling unprecedented continuous operation in high-stress welding applications. Our experienced team can assist with technical specifications, application planning, and equipment integration support. Reach out today to learn how the OSK 76 SW can enhance your production capabilities.</t>
  </si>
  <si>
    <t xml:space="preserve">- Q1: How does the water cooling system in the OSK 76 SW differ from standard industrial cooling?
- Q2: Can an existing OSK 76 S gas-cooled head be retrofitted with water cooling capability?
- Q3: What is the maximum water pressure the OSK 76 SW system can safely handle?
- Q4: How does the water cooling enable higher welding currents than gas-cooled alternatives?
- Q5: Is the OSK 76 SW compatible with both OSK GW and SW handle assemblies?</t>
  </si>
  <si>
    <t xml:space="preserve">- A1: The OSK 76 SW integrates a closed-loop water cooling circuit with internal water jacket through the lower clamp housing, providing compact heat dissipation without requiring external cooling infrastructure.
- A2: While the OSK 76 S can sometimes be upgraded to SW version, factory upgrade kits or replacement of the weld head itself is typically required – direct retrofit capability is limited.
- A3: The system safely operates up to 5 bar maximum pressure, with automatic relief valve protection at this threshold preventing hose and internal passage damage.
- A4: Water cooling dissipates heat at 1000W capacity, enabling 100% continuous duty cycle at higher current levels, whereas gas-cooled heads typically limit to 60-80% duty cycle.
- A5: Yes, the OSK 76 SW is fully interchangeable with OSK GW handle and cable assemblies, providing maximum operational flexibility in multi-head systems.</t>
  </si>
  <si>
    <t>OSW115</t>
  </si>
  <si>
    <t xml:space="preserve">OSW 115 OPEN-FRAME WELD HEAD</t>
  </si>
  <si>
    <t>1.3.1201</t>
  </si>
  <si>
    <t xml:space="preserve">Weld Head Assembly | Open-Frame Welding</t>
  </si>
  <si>
    <t xml:space="preserve">Open-frame orbital weld head for OD 20–114.3 mm tubes with rotating torch assembly, 90° tilting torch bracket, stepless diameter adjustment, and optional wire feed for thick-wall pipe welding.</t>
  </si>
  <si>
    <t xml:space="preserve">Open-frame orbital weld head covering tube size range OD 20-114.3mm (0.787-4.500 inches)</t>
  </si>
  <si>
    <t xml:space="preserve">Robust design with rotating torch and hose package around tube joint</t>
  </si>
  <si>
    <t xml:space="preserve">Torch Angle</t>
  </si>
  <si>
    <t xml:space="preserve">90-degree tilting torch bracket function for angled welding applications</t>
  </si>
  <si>
    <t xml:space="preserve">Stepless tube size range with no tool changeover required</t>
  </si>
  <si>
    <t xml:space="preserve">The OSW 115 open-frame orbital weld head is designed for high-productivity welding of medium to large diameter pipes in thick-wall applications. It accommodates tubing diameters from 0.787" to 4.500" (20mm - 114.3mm) and weighs 4.5 kg. The completely open design eliminates space constraints while providing precise electrode positioning via an arc gap adjustment screw. Features include a 90-degree tilting torch bracket, one-sided clamping, continuous orbital torch rotation, optional cold wire feed, and compatibility with gas or water-cooled TIG torches. The stepless collet system allows welding across the full tube range without tool changeover, offering robust industrial construction and superior accessibility for inspection and rework.</t>
  </si>
  <si>
    <t xml:space="preserve">Contact About OSW 115</t>
  </si>
  <si>
    <t xml:space="preserve">Robust Open-Frame Weld Head for Large Diameter Pipe Welding</t>
  </si>
  <si>
    <t xml:space="preserve">Supporting Large-Scale Pipe Welding Through Robust Open-Frame Design: The open-frame weld head eliminates space constraints of enclosed systems while maintaining precise electrode positioning through mechanical controls, providing exceptional value for pipeline construction and pressure vessel fabrication.</t>
  </si>
  <si>
    <t xml:space="preserve">- Robust open-frame design for high-productivity welding
- 90-degree torch bracket tilting function for angled approaches
- Stepless tube size range 20-114.3mm (single weld head)
- One-sided clamping for excellent accessibility
- Optional wire feed capability for multi-pass applications</t>
  </si>
  <si>
    <t xml:space="preserve">- Covers tube size range: OD 20-114.3mm (0.787-4.500")
- Weight: 4.5kg for moderate manual positioning
- Mechanical arc gap control via adjustment screw
- Optional wire feed attachment compatibility
- Item number: 1.3.1201 for procurement reference</t>
  </si>
  <si>
    <t xml:space="preserve">Contact Us About OSW 115 Weld Head</t>
  </si>
  <si>
    <t xml:space="preserve">Discover the robust capabilities of the OSW 115 open-frame weld head, delivering exceptional value for large-diameter pipe welding in demanding industrial applications. Our technical team can discuss your specific welding requirements and provide detailed specifications. Contact us today.</t>
  </si>
  <si>
    <t xml:space="preserve">- Q1: What is the tube size range capability of the OSW 115?
- Q2: What is the weight of the OSW 115 weld head?
- Q3: Does the OSW 115 require pre-machined tube end preparation?
- Q4: Can the OSW 115 accommodate optional wire feed attachment?
- Q5: What mechanical controls enable arc gap adjustment?</t>
  </si>
  <si>
    <t xml:space="preserve">- A1: The OSW 115 accommodates outer diameter tubes from 20-114.3mm (0.787-4.500 inches), covering large diameter pipe applications.
- A2: The robust OSW 115 weighs 4.5kg, providing substantial construction for heavy-duty pipeline and pressure vessel applications.
- A3: The open-frame design accepts various tube end preparations; 90-degree saw cuts are typical, but other approaches are accommodated by the flexible mechanical control.
- A4: Yes, the OSW 115 supports optional cold wire feed attachment for thick-wall applications requiring multiple weld passes.
- A5: The mechanical arc gap adjustment screw provides precise control of electrode-to-joint distance, maintaining consistent weld pool geometry.</t>
  </si>
  <si>
    <t>OSW170</t>
  </si>
  <si>
    <t xml:space="preserve">OSW 170 OPEN-FRAME WELD HEAD</t>
  </si>
  <si>
    <t>1.3.1301</t>
  </si>
  <si>
    <t xml:space="preserve">Heavy-duty open-frame orbital weld head for OD 40–168.3 mm pipes featuring one-sided clamping, stepless diameter coverage, 90° tilting torch bracket, and support for gas- or water-cooled torch configurations.</t>
  </si>
  <si>
    <t xml:space="preserve">Robust open-frame construction for large diameter pipe welding OD 40-168.3mm</t>
  </si>
  <si>
    <t xml:space="preserve">One-sided clamping system for excellent accessibility and joint inspection</t>
  </si>
  <si>
    <t xml:space="preserve">Stepless tube size range without tool changeover requirements</t>
  </si>
  <si>
    <t xml:space="preserve">Torch bracket with 90-degree tilting function for angled welding approaches</t>
  </si>
  <si>
    <t xml:space="preserve">The OSW 170 open-frame weld head provides large-diameter orbital welding capabilities for industrial applications. Supporting tubing diameters from 1.575" to 6.626" (40mm - 168.3mm) and weighing 6.5 kg, it features a one-sided mechanical clamp, full orbital torch rotation, and a 90-degree tilting torch bracket. Mechanical arc gap adjustment ensures consistent weld quality, while optional cold wire feed allows controlled filler addition. Compatible with gas or water-cooled torches and suitable for stainless steel, carbon steel, and alloy materials, its robust open-frame construction provides reliability and accessibility across thick-wall pipe, pressure vessel, and heavy equipment applications.</t>
  </si>
  <si>
    <t xml:space="preserve">Request OSW 170 Quote</t>
  </si>
  <si>
    <t xml:space="preserve">Robust Large-Diameter Open-Frame Weld Head for Industrial Pipe Welding</t>
  </si>
  <si>
    <t xml:space="preserve">Expanding Large-Diameter Pipe Welding Capabilities</t>
  </si>
  <si>
    <t xml:space="preserve">- Robust open-frame construction for harsh field environments
- One-sided clamping eliminates expensive dual-collet systems
- Stepless tube size range OD 40-168.3mm without tool changeover
- 90-degree torch bracket tilting for angled welding approaches
- 6.5kg weight provides portable field deployment capability</t>
  </si>
  <si>
    <t xml:space="preserve">- Item number 1.3.1301 for procurement tracking
- Gas or water-cooled torch compatibility
- Optional cold wire feed attachment support
- Mechanical arc gap control for precise operation
- Item weight 6.5kg enables portable field deployment</t>
  </si>
  <si>
    <t xml:space="preserve">Request Your OSW 170 Weld Head Quote</t>
  </si>
  <si>
    <t xml:space="preserve">Expand your large-diameter pipe welding capabilities with the robust OSW 170 open-frame weld head. Our specialized team can discuss your large-diameter welding requirements. Contact us today for detailed specifications and volume pricing.</t>
  </si>
  <si>
    <t xml:space="preserve">- Q1: What is the maximum tube diameter the OSW 170 can accommodate?
- Q2: What are the advantages of one-sided clamping compared to dual-sided systems?
- Q3: Can the OSW 170 be used with both gas-cooled and water-cooled torch systems?
- Q4: What is the weight of the OSW 170, and is it portable for field deployment?
- Q5: Does the OSW 170 support optional cold wire feed for multi-pass applications?</t>
  </si>
  <si>
    <t xml:space="preserve">- A1: The OSW 170 accommodates outer diameters from 40mm to 168.3mm (1.575 to 6.626 inches), making it suitable for large-diameter pipeline and pressure vessel applications.
- A2: One-sided clamping eliminates the need for expensive dual-collet sets, simplifies fixture design, and provides unrestricted access to the weld joint for inspection and monitoring.
- A3: Yes, the OSW 170 is compatible with both gas and water-cooled torch systems, enabling integration with existing facility infrastructure.
- A4: The OSW 170 weighs 6.5kg, making it suitable for portable field deployment to remote fabrication locations.
- A5: Yes, the OSW 170 supports optional cold wire feed attachment, enabling single-pass or multi-pass welding capability depending on application requirements.</t>
  </si>
  <si>
    <t>OSW275</t>
  </si>
  <si>
    <t xml:space="preserve">OSW 275 OPEN-FRAME WELD HEAD</t>
  </si>
  <si>
    <t>1.3.1401</t>
  </si>
  <si>
    <t xml:space="preserve">Ultra-large diameter orbital weld head for OD 88.9–273 mm pipes with decouplable rotor, one-sided clamping, mechanical arc gap adjustment, and rugged construction for harsh industrial environments.</t>
  </si>
  <si>
    <t xml:space="preserve">Ultra-large diameter capability OD 88.9-273mm for heavy-wall pipe welding</t>
  </si>
  <si>
    <t>Maintenance</t>
  </si>
  <si>
    <t xml:space="preserve">Rotor can be decoupled for simplified maintenance and component access</t>
  </si>
  <si>
    <t xml:space="preserve">Robust mechanical construction suitable for harsh industrial environments</t>
  </si>
  <si>
    <t xml:space="preserve">One-sided clamping for exceptional accessibility and monitoring</t>
  </si>
  <si>
    <t xml:space="preserve">The OSW 275 open-frame weld head is designed for ultra-large diameter orbital welding, accommodating pipes from 3.500" to 10.748" (88.9mm - 273mm) and weighing 16 kg. The one-sided mechanical clamp provides unrestricted access to weld joints, while the decoupled rotor simplifies maintenance without full disassembly. The 90-degree torch bracket and mechanical arc gap adjustment allow precise welding control. Optional cold wire feed enables controlled filler addition, and the unit is compatible with gas or water-cooled torches. Built for large-diameter pipeline, power generation, and heavy industrial applications, its robust industrial construction ensures reliability in demanding production environments.</t>
  </si>
  <si>
    <t xml:space="preserve">Contact About OSW 275</t>
  </si>
  <si>
    <t xml:space="preserve">Ultra-Large Capacity Open-Frame Weld Head for Heavy-Wall Pipeline</t>
  </si>
  <si>
    <t xml:space="preserve">Unlocking Ultra-Large Diameter Pipeline Capability</t>
  </si>
  <si>
    <t xml:space="preserve">- Ultra-large diameter capability OD 88.9-273mm for pipeline
- Decoupled rotor for simplified maintenance and access
- One-sided mechanical clamping for exceptional accessibility
- 16kg robust industrial construction for harsh conditions
- Mechanical arc gap adjustment for consistent weld control</t>
  </si>
  <si>
    <t xml:space="preserve">- Item number 1.3.1401 for procurement reference
- Rotor decoupling enables simplified maintenance
- Optional cold wire feed attachment compatible
- Maximum wall thickness varies by material
- Gas or water-cooled torch system compatible</t>
  </si>
  <si>
    <t xml:space="preserve">Contact Us for OSW 275 Information</t>
  </si>
  <si>
    <t xml:space="preserve">Discover the OSW 275 weld head for ultra-large diameter applications. Our experienced team specializes in demanding requirements. Contact us for comprehensive technical information.</t>
  </si>
  <si>
    <t xml:space="preserve">- Q1: What is the maximum tube diameter the OSW 275 can accommodate?
- Q2: What is the significance of the decoupled rotor design?
- Q3: How does the 16kg weight compare to smaller OSW models?
- Q4: Can the OSW 275 support cold wire feed for multi-pass welding?
- Q5: What industries typically utilize the OSW 275 ultra-large capacity?</t>
  </si>
  <si>
    <t xml:space="preserve">- A1: The OSW 275 accommodates the largest diameter range in the OSW series, from OD 88.9mm to 273mm (3.500 to 10.748 inches), ideal for ultra-large pipeline applications.
- A2: The decoupled rotor enables simplified maintenance and component access without requiring complete weld head disassembly, reducing downtime.
- A3: At 16kg, the OSW 275 is significantly heavier than smaller models, reflecting its robust industrial construction designed for demanding heavy-duty applications.
- A4: Yes, optional cold wire feed attachment is compatible, enabling controlled filler material addition for complex welding profiles.
- A5: Power generation, petrochemical processing, major pipeline construction, and heavy industrial fabrication represent primary application areas.</t>
  </si>
  <si>
    <t xml:space="preserve">The OSW 275 open-frame weld head is designed for ultra-large diameter orbital welding, accommodating pipes from 3.500" to 10.748" (88.9mm - 273mm) and weighing 16 kg. Its one-sided mechanical clamp and decoupled rotor allow simplified maintenance and full accessibility to weld joints. The 90-degree tilting torch bracket and mechanical arc gap adjustment provide precise control over large-scale welding operations. Optional cold wire feed enables controlled filler addition, and compatibility with gas or water-cooled torches ensures integration into diverse facilities. Built for large-diameter pipeline, power generation, and heavy industrial applications, its robust industrial construction ensures reliability in demanding production environments.</t>
  </si>
  <si>
    <t>OSW040</t>
  </si>
  <si>
    <t xml:space="preserve">OSW 40 OPEN-FRAME WELD HEAD</t>
  </si>
  <si>
    <t>1.3.1001</t>
  </si>
  <si>
    <t xml:space="preserve">Compact open-frame orbital weld head for OD 8–40 mm pipes with lightweight 2 kg design, tool-free diameter changeover, one-sided clamping, and simple mechanical control ideal for portable field welding.</t>
  </si>
  <si>
    <t xml:space="preserve">Compact open-frame design for small to medium diameter pipe welding OD 8-40mm</t>
  </si>
  <si>
    <t>Changeover</t>
  </si>
  <si>
    <t xml:space="preserve">Tool-free quick-change system for rapid diameter changeover</t>
  </si>
  <si>
    <t xml:space="preserve">Lightweight 2kg construction for portable field applications</t>
  </si>
  <si>
    <t>Control</t>
  </si>
  <si>
    <t xml:space="preserve">Robust mechanical control requiring minimal operator training</t>
  </si>
  <si>
    <t xml:space="preserve">Order OSW 40 Head</t>
  </si>
  <si>
    <t xml:space="preserve">Compact Open-Frame Weld Head for Small Diameter Instrumentation Welding</t>
  </si>
  <si>
    <t xml:space="preserve">Achieving Precision in Small-Diameter Instrumentation Welding</t>
  </si>
  <si>
    <t xml:space="preserve">- Compact lightweight 2kg design for portable field applications
- One-sided clamping eliminates expensive specialized collets
- Tool-free quick-change enables rapid diameter changeover
- 90-degree torch bracket tilting for angled approaches
- OD 8-40mm range covers instrumentation tubing applications</t>
  </si>
  <si>
    <t xml:space="preserve">- Item number 1.3.1001 for procurement tracking
- Optional cold wire feed compatible
- Gas or water-cooled torch support
- Lightweight 2kg for portable field use
- Suitable for instrumentation tubing applications</t>
  </si>
  <si>
    <t xml:space="preserve">Order Your OSW 40 Weld Head</t>
  </si>
  <si>
    <t xml:space="preserve">Optimize your instrumentation welding with the compact OSW 40. Our specialists can discuss your precision welding needs. Reach out for technical guidance and pricing.</t>
  </si>
  <si>
    <t xml:space="preserve">- Q1: What is the typical tube size range for the OSW 40 weld head?
- Q2: How quickly can operators change tube diameters with the tool-free system?
- Q3: What is the weight advantage of the OSW 40 for portable applications?
- Q4: Can the OSW 40 handle complex angled welding approaches?
- Q5: Is cold wire feed capability available for the OSW 40?</t>
  </si>
  <si>
    <t xml:space="preserve">- A1: The OSW 40 accommodates outer diameters from 8mm to 40mm (0.394 to 1.575 inches), making it ideal for instrumentation tubing and small-diameter applications.
- A2: The tool-free quick-change system enables diameter changeover in approximately 60 seconds or less without requiring specialized tools or knowledge.
- A3: At 2kg, the OSW 40 is lightweight enough for single-operator portability, enabling field deployment to remote fabrication locations.
- A4: Yes, the 90-degree torch bracket tilting function accommodates diverse welding angles required for complex component geometries.
- A5: Yes, optional cold wire feed attachment is supported, enabling controlled filler material addition for applications requiring specific weld metallurgy.</t>
  </si>
  <si>
    <t xml:space="preserve">Compact open-frame orbital weld head for OD 8–40 mm pipes with lightweight 2 kg construction, tool-free diameter changeover, one-sided clamping, and simple mechanical control ideal for portable field welding.</t>
  </si>
  <si>
    <t xml:space="preserve">The OSW 40 compact open-frame weld head provides precision orbital welding for small-diameter instrumentation tubing. Supporting diameters from 0.394" to 1.575" (8mm - 40mm) and weighing 2 kg, it features a one-sided mechanical clamp, 90-degree tilting torch bracket, and full orbital torch rotation. Tool-free quick-change allows rapid diameter adjustments, while optional cold wire feed provides controlled filler addition. Compatible with gas and water-cooled torches, its lightweight, robust mechanical construction ensures field portability and minimal operator training requirements. Proven reliability across thousands of installations establishes it as an industry standard for small-diameter instrumentation welding.</t>
  </si>
  <si>
    <t>OSW080</t>
  </si>
  <si>
    <t xml:space="preserve">OSW 80 OPEN-FRAME WELD HEAD</t>
  </si>
  <si>
    <t>1.3.1101</t>
  </si>
  <si>
    <t xml:space="preserve">Open-frame orbital weld head for OD 10–76.2 mm production welding, featuring robust construction, tool-free quick-change setup, one-sided clamping, and mechanical arc gap adjustment for consistent weld quality.</t>
  </si>
  <si>
    <t xml:space="preserve">Medium diameter capability OD 10-76.2mm for standard production applications</t>
  </si>
  <si>
    <t xml:space="preserve">Robust open-frame construction with excellent accessibility</t>
  </si>
  <si>
    <t xml:space="preserve">Tool-free quick-change system for rapid setup changeover</t>
  </si>
  <si>
    <t xml:space="preserve">One-sided clamping simplifies fixture design and tooling requirements</t>
  </si>
  <si>
    <t xml:space="preserve">Get OSW 80 Quote</t>
  </si>
  <si>
    <t xml:space="preserve">Medium-Capacity Open-Frame Weld Head for Standard Production</t>
  </si>
  <si>
    <t xml:space="preserve">Supporting Diverse Production Requirements Through Medium-Diameter Flexibility</t>
  </si>
  <si>
    <t xml:space="preserve">- Medium-diameter OD 10-76.2mm for standard industrial applications
- Robust 3kg construction provides excellent field reliability
- One-sided clamping reduces tooling complexity and costs
- Tool-free quick-change for rapid setup between orders
- 90-degree torch bracket tilting for complex geometries</t>
  </si>
  <si>
    <t xml:space="preserve">- Item number 1.3.1101 for procurement reference
- Optional cold wire feed compatible
- Gas or water-cooled torch support
- Weight 3kg for portable operation
- Suitable for HVAC system welding</t>
  </si>
  <si>
    <t xml:space="preserve">Get Your OSW 80 Quote</t>
  </si>
  <si>
    <t xml:space="preserve">Support diverse production with the proven OSW 80. Our technical team assists with equipment selection. Contact us for specifications and custom configurations.</t>
  </si>
  <si>
    <t xml:space="preserve">- Q1: What is the standard tube size range for the OSW 80 weld head?
- Q2: How does the OSW 80 compare to OSW 40 and OSW 170 in application scope?
- Q3: Can the OSW 80 be used for HVAC system welding?
- Q4: What is the weight of the OSW 80 for field portability?
- Q5: Does the OSW 80 support optional wire feed capability?</t>
  </si>
  <si>
    <t xml:space="preserve">- A1: The OSW 80 accommodates outer diameters from 10mm to 76.2mm (0.394 to 3.000 inches), covering standard industrial applications.
- A2: The OSW 80 represents the balanced middle option, serving standard production applications bridging the small-diameter and large-diameter capabilities.
- A3: Yes, the OSW 80 is well-suited for HVAC system assembly and similar applications requiring medium-diameter precision.
- A4: At 3kg, the OSW 80 maintains excellent portability while providing robust construction for production environments.
- A5: Yes, cold wire feed attachment is optional, enabling controlled filler material addition for diverse application requirements.</t>
  </si>
  <si>
    <t xml:space="preserve">The OSW 80 open-frame weld head is optimized for medium-diameter production applications, supporting tubing from 0.394" to 3.000" (10mm - 76.2mm) and weighing 3 kg. Its one-sided mechanical clamp, 90-degree tilting torch bracket, and full orbital rotation ensure accessibility and precision. Tool-free quick-change allows rapid diameter adjustments, while optional cold wire feed enables controlled filler addition. Compatible with gas or water-cooled torches, its robust construction ensures reliability across HVAC, automotive, and general industrial applications. Lightweight design allows field portability and minimal operator training.</t>
  </si>
  <si>
    <t>OXYE</t>
  </si>
  <si>
    <t xml:space="preserve">OXY EVO OXYGEN ANALYSER (AUTORANGE)</t>
  </si>
  <si>
    <t>1.2.5000</t>
  </si>
  <si>
    <t xml:space="preserve">Welding|Process Instrumentation | Oxygen Analyzer</t>
  </si>
  <si>
    <t xml:space="preserve">High-accuracy oxygen analyzer with autoranging 100–240 V power supply, maintenance-free zirconium oxide sensor, 3.5-inch color touch display, 5 ppm–21% measurement range, and USB/Bluetooth connectivity.</t>
  </si>
  <si>
    <t>Power</t>
  </si>
  <si>
    <t xml:space="preserve">Autoranging mains power (100-240V AC, 50/60Hz) for worldwide compatibility</t>
  </si>
  <si>
    <t>Sensor</t>
  </si>
  <si>
    <t xml:space="preserve">Zirconium oxide measuring cell (maintenance-free) with exceptional accuracy</t>
  </si>
  <si>
    <t xml:space="preserve">3.5-inch color touch display with intuitive menu navigation</t>
  </si>
  <si>
    <t xml:space="preserve">Measuring range 5ppm-21 percent oxygen with +/- 0.3mV accuracy</t>
  </si>
  <si>
    <t xml:space="preserve">Request OXY EVO Quote</t>
  </si>
  <si>
    <t xml:space="preserve">Precision Oxygen Analyser for High-Quality Weld Purge Control</t>
  </si>
  <si>
    <t xml:space="preserve">Ensuring High-Purity Weld Quality Through Precise Oxygen Measurement</t>
  </si>
  <si>
    <t xml:space="preserve">- Autoranging 100-240V AC enables worldwide deployment
- Maintenance-free zirconium oxide measuring cell provides longevity
- 3.5-inch color touch display for intuitive operation
- Measuring range 5ppm-21 percent O2 with ±0.3mV accuracy
- USB interface enables compliance documentation export</t>
  </si>
  <si>
    <t xml:space="preserve">- Item number 1.2.5001 for procurement
- Heat-up time: 3-5 minutes startup
- Response time: ~2 seconds for measurement changes
- Color background changes outside setpoint
- Dimensions 180mm x 210mm x 85mm without handle</t>
  </si>
  <si>
    <t xml:space="preserve">Request OXY EVO Oxygen Analyser</t>
  </si>
  <si>
    <t xml:space="preserve">Ensure high-purity weld quality with OXY EVO analyser. Our technical team specializes in purging optimization. Contact us for application guidance.</t>
  </si>
  <si>
    <t xml:space="preserve">- Q1: What is the measuring accuracy of the OXY EVO oxygen analyser?
- Q2: How long does the OXY EVO take to heat up and achieve operational status?
- Q3: What gases can the OXY EVO measure oxygen content in?
- Q4: How does the USB interface facilitate compliance documentation?
- Q5: Can the OXY EVO integrate with TIGTRONIC orbital welding controllers?</t>
  </si>
  <si>
    <t xml:space="preserve">- A1: The OXY EVO provides ±0.3mV EMK sensor accuracy, capable of measuring oxygen content in the critical less than 30ppm range with exceptional precision.
- A2: Heat-up time is approximately 3-5 minutes from power-on to full operational capability.
- A3: The analyser measures oxygen in inert gases (argon, helium, nitrogen) and mixed gases containing hydrogen up to 10 percent H2.
- A4: The USB port enables export of measurement data for comprehensive compliance documentation and regulatory audit support.
- A5: Yes, the Bluetooth interface enables seamless communication with TIGTRONIC controllers for automatic parameter recording.</t>
  </si>
  <si>
    <t xml:space="preserve">The OXY EVO benchtop oxygen analyser provides high-precision measurement essential for high-purity weld control. Measuring 5ppm to 21% O₂ with ±0.3mV accuracy, it uses a maintenance-free zirconium oxide cell and features a 3.5-inch color touch display with visual, acoustic, and user-definable alarms. Autoranging 100-240V AC input allows worldwide deployment. USB and Bluetooth interfaces enable data logging and controller integration. Lightweight 2 kg construction with dimensions 180 × 210 × 85mm allows bench-top placement. Ideal for mission-critical applications where precise inert gas measurement ensures weld quality.</t>
  </si>
  <si>
    <t>OXYEP</t>
  </si>
  <si>
    <t xml:space="preserve">OXY EVO PPA OXYGEN ANALYSER (AUTORANGE)</t>
  </si>
  <si>
    <t>1.2.5003</t>
  </si>
  <si>
    <t xml:space="preserve">Integrated oxygen and purge pressure monitoring device with autoranging 90–260 V power supply, high-resolution touch display, sub-30 ppm oxygen measurement, and seamless TIGTRONIC controller integration for documentation.</t>
  </si>
  <si>
    <t>Integration</t>
  </si>
  <si>
    <t xml:space="preserve">Integrated oxygen and purge pressure measurement in single device</t>
  </si>
  <si>
    <t xml:space="preserve">Autoranging 90-260V mains power supply for global deployment</t>
  </si>
  <si>
    <t xml:space="preserve">Large high-resolution touch screen with graphic display capability</t>
  </si>
  <si>
    <t>Measurement</t>
  </si>
  <si>
    <t xml:space="preserve">Measures both oxygen content (less than 30ppm range) and ID purge pressure</t>
  </si>
  <si>
    <t xml:space="preserve">The OXY EVO PPA integrated analyser measures both oxygen (5ppm–21%) and ID purge pressure (0–2500 Pa) for complete purging control in orbital welding. Featuring a zirconium oxide maintenance-free sensor and ±0.3mV (O₂) and ±2% (pressure) accuracy, it provides simultaneous dual-parameter monitoring on a high-resolution touch screen. Multirange 90–260V AC input supports worldwide use, and USB/Bluetooth interfaces enable data export and automated controller logging. The device includes user-definable alarms, real-time graphic display, and optional software updates. Supplied with analyser, power cable, 3m hose set, T-fitting, and calibration certificate, it weighs ~2.5 kg and supports advanced weld purging optimization.</t>
  </si>
  <si>
    <t xml:space="preserve">Order OXY EVO PPA</t>
  </si>
  <si>
    <t xml:space="preserve">Integrated Oxygen and Purge Pressure Analyser System</t>
  </si>
  <si>
    <t xml:space="preserve">Achieving Complete Purging Control Through Dual-Parameter Measurement</t>
  </si>
  <si>
    <t xml:space="preserve">- Integrated oxygen and pressure measurement in single device
- Autoranging 90-260V AC mains power for worldwide use
- Large high-resolution touch screen with graphic capability
- Dual measurement capability for comprehensive monitoring
- Seamless TIGTRONIC controller integration for documentation</t>
  </si>
  <si>
    <t xml:space="preserve">- Item number 1.2.5003 combined system
- Integrated ID purge pressure module
- Heat-up time: 3-5 minutes to operation
- Graphic display of measured values
- Dimensions 180mm x 210mm x 95mm</t>
  </si>
  <si>
    <t xml:space="preserve">Order OXY EVO PPA Integrated System</t>
  </si>
  <si>
    <t xml:space="preserve">Achieve complete purging control with integrated OXY EVO PPA system. Our specialists discuss measurement requirements. Reach out for technical information and pricing.</t>
  </si>
  <si>
    <t xml:space="preserve">- Q1: What is unique about the OXY EVO PPA combination system?
- Q2: How does simultaneous dual measurement improve weld quality?
- Q3: What is the input voltage requirement for the OXY EVO PPA?
- Q4: How does automatic documentation with TIGTRONIC controllers assist compliance?
- Q5: What is the typical response time for measurement changes?</t>
  </si>
  <si>
    <t xml:space="preserve">- A1: This integrated system combines both oxygen measurement (less than 30ppm range) and ID purge pressure measurement (0-2500 Pa) in a single device.
- A2: Combined measurement enables optimization of both oxygen content and pressure balance parameters simultaneously, improving controlled profile weld quality.
- A3: Multirange 90-260V AC input enables worldwide compatibility without facility modifications.
- A4: Seamless controller integration provides permanent pressure and oxygen records supporting comprehensive compliance documentation.
- A5: Response time is approximately 2 seconds for detecting oxygen content variations, enabling rapid identification of purging anomalies.</t>
  </si>
  <si>
    <t xml:space="preserve">The OXY EVO PPA integrated analyser combines oxygen and ID purge pressure measurement for advanced weld purging control. It measures 5ppm–21% O₂ and 0–2500 Pa with ±0.3mV (O₂) and ±2% (pressure) accuracy using a maintenance-free zirconium oxide sensor. Its large high-resolution touchscreen provides real-time visualization, while USB and Bluetooth interfaces enable data export and automatic controller integration. Multirange 90–260V AC input supports worldwide use. User-definable alarms, multilanguage interface, and software update capability provide flexible operation. Supplied with analyser, power cable, 3m hose set, T-fitting, and calibration certificate, it weighs ~2.5 kg. Ideal for multi-parameter weld quality optimization in industrial environments.</t>
  </si>
  <si>
    <t>OXYS</t>
  </si>
  <si>
    <t xml:space="preserve">OXYGEN ANALYSER OXY SMART</t>
  </si>
  <si>
    <t>1.2.5004</t>
  </si>
  <si>
    <t xml:space="preserve">Battery-powered portable oxygen analyzer with 9-hour lithium-ion operation, rugged rubber-protected housing, maintenance-free zirconium oxide sensor, 5–999 ppm measurement range, and dust- and moisture-resistant design.</t>
  </si>
  <si>
    <t xml:space="preserve">Battery-powered portable device (lithium ion, 9-hour operation)</t>
  </si>
  <si>
    <t xml:space="preserve">Compact robust design with protective rubber frame for job site durability</t>
  </si>
  <si>
    <t xml:space="preserve">Zirconium oxide measuring cell providing maintenance-free operation</t>
  </si>
  <si>
    <t xml:space="preserve">Measuring range 5-999ppm with colored display indicators</t>
  </si>
  <si>
    <t xml:space="preserve">The OXY SMART portable battery-powered oxygen analyser provides field measurement of 5–999ppm O₂ with a maintenance-free zirconium oxide sensor. Its 9-hour lithium-ion battery and robust, rubber-protected IP65 design ensure reliable on-site operation. Compact 160 × 80 × 35mm size and 0.35 kg weight make it highly portable. The intuitive symbol-based colored display provides immediate feedback, and error indication features help prevent misuse. Compatible with inert gases and H₂-containing gases (up to 10%), it includes a charging cable, 1m hose set, probe, calibration certificate, and protective case. Ideal for field verification of weld purge gas without laboratory dependence.</t>
  </si>
  <si>
    <t xml:space="preserve">Purchase OXY SMART</t>
  </si>
  <si>
    <t xml:space="preserve">Portable Battery-Powered Oxygen Analyser for Field Operations</t>
  </si>
  <si>
    <t xml:space="preserve">Enabling Field Operations Through Portable Oxygen Measurement</t>
  </si>
  <si>
    <t xml:space="preserve">- Battery-powered portable operation (9-hour lithium ion)
- Maintenance-free zirconium oxide measuring cell
- Compact 160mm x 80mm format for field portability
- Colored display with intuitive symbol-based interface
- IP65 dust and moisture-proof for harsh environments</t>
  </si>
  <si>
    <t xml:space="preserve">- Item number 1.2.5004 for procurement
- Battery life: 9 hours continuous operation
- Charging time: Full charge in 1-2 hours
- Dimensions 160mm x 80mm x 35mm ultra-compact
- Weight 0.35kg for portable field use</t>
  </si>
  <si>
    <t xml:space="preserve">Purchase OXY SMART Portable Analyser</t>
  </si>
  <si>
    <t xml:space="preserve">Deploy portable oxygen measurement with OXY SMART. Our team discusses field measurement requirements. Contact us for technical specifications and ordering.</t>
  </si>
  <si>
    <t xml:space="preserve">- Q1: How long does the OXY SMART battery operate on a single charge?
- Q2: Is the OXY SMART battery user-replaceable in the field?
- Q3: What measuring range does the OXY SMART provide?
- Q4: How does the protective rubber frame benefit job-site durability?
- Q5: Can the OXY SMART connect to orbital welding controllers for documentation?</t>
  </si>
  <si>
    <t xml:space="preserve">- A1: The lithium ion battery provides approximately 9 hours of continuous operation, accommodating full production shifts.
- A2: Battery replacement is typically performed through authorized service centers rather than field user replacement.
- A3: The measuring range is 5-999ppm O2, suitable for diverse purging and gas mixture applications.
- A4: The rubber frame protects against impact damage common in field environments, extending equipment service life.
- A5: Unlike mains-powered models, the OXY SMART operates independently without controller integration, functioning as a standalone measurement device.</t>
  </si>
  <si>
    <t>TETRIX200AR</t>
  </si>
  <si>
    <t xml:space="preserve">TETRIX 200 INVERTER</t>
  </si>
  <si>
    <t>1.2.0120</t>
  </si>
  <si>
    <t xml:space="preserve">Welding Power Supply | Inverter</t>
  </si>
  <si>
    <t xml:space="preserve">Portable inverter TIG welding power source delivering 5–200 A output with integrated cooling and gas monitoring, 25% duty cycle at 200 A, and full compatibility with Orbitec orbital controllers and weld heads.</t>
  </si>
  <si>
    <t xml:space="preserve">Portable inverter power source for manual and orbital TIG welding applications</t>
  </si>
  <si>
    <t>Current</t>
  </si>
  <si>
    <t xml:space="preserve">Current range 5A-200A with 25% duty cycle at 200A/40°C ambient temperature</t>
  </si>
  <si>
    <t xml:space="preserve">Integrated cooling system and gas sensor for optimized welding parameters</t>
  </si>
  <si>
    <t xml:space="preserve">Compatible with all Orbitec controllers and orbital welding heads</t>
  </si>
  <si>
    <t xml:space="preserve">The TETRIX 200 portable inverter power source delivers 5–200A DC output for orbital TIG welding across diverse tube diameters and wall thicknesses. Weighing 10 kg, it features integrated cooling for thermal stability, 115/230V auto-select for global portability, and advanced pulse technology for high-quality welds in titanium and exotic stainless steels. Built-in gas sensing prevents defects from inadequate shielding. Dimensions: 428 × 181 × 294 mm. Its compact, multiprocess design makes it ideal for field operations and contract shops requiring portable, versatile welding power.</t>
  </si>
  <si>
    <t xml:space="preserve">Request Custom Quote</t>
  </si>
  <si>
    <t xml:space="preserve">TETRIX 200 Portable Inverter Power Supply</t>
  </si>
  <si>
    <t xml:space="preserve">Versatile Portable Welding Power: The TETRIX 200 combines portability with powerful multiprocess capability, adapting to contract shops, field operations, and diverse tube diameter requirements on a single, lightweight equipment platform.</t>
  </si>
  <si>
    <t xml:space="preserve">- Current range 5A to 200A for diverse applications
- Integrated cooling system prevents overheating
- Multivolt (115V/230V) auto-sensing capability
- Portable 10kg design for field operations
- Compatible with all Orbitec controllers</t>
  </si>
  <si>
    <t xml:space="preserve">- 63V open circuit voltage for arc safety
- 4.4kVA power rating input
- DC output continuous current type
- 428 x 181 x 294mm compact size
- Automatic 50/60Hz frequency selection</t>
  </si>
  <si>
    <t xml:space="preserve">Request Your Orbital Welding Products Today</t>
  </si>
  <si>
    <t xml:space="preserve">Enhance inspection and alignment processes with the TELESCOPE MIRROR SET (Ø 24 mm, 30 mm, 40 mm), ideal for verifying weld head fit-up and internal tube alignment before welding. Contact us for mirror specifications, ordering options, and compatibility guidance.</t>
  </si>
  <si>
    <t xml:space="preserve">- Q1: What is the maximum cooling efficiency of the TETRIX 200 integrated cooler?
- Q2: Can I use the TETRIX 200 with water-cooled torches?
- Q3: Is the TETRIX 200 suitable for both TIG and MMA welding?
- Q4: What is the expected service life of the TETRIX 200?
- Q5: Can I operate TETRIX 200 at altitudes above 2000 meters?</t>
  </si>
  <si>
    <t xml:space="preserve">- A1: Integrated cooler provides approximately 600W cooling power, adequate for 60% duty cycle continuous operation.
- A2: Yes, when equipped with optional cooling system connector, enabling water-cooled torch operations.
- A3: Yes, the unit supports both TIG and MMA (stick) welding processes with appropriate torch/electrode holders.
- A4: Typical service life is 8-10 years with normal maintenance and occasional capacitor replacement.
- A5: Operation above 3000m altitude requires derating of current output by approximately 10% per 1000m elevation increase.</t>
  </si>
  <si>
    <t>TETRIX200</t>
  </si>
  <si>
    <t>1.2.0119</t>
  </si>
  <si>
    <t xml:space="preserve">Portable inverter TIG power source for manual and orbital welding with 5–200 A output, 25% duty cycle at 200 A, integrated cooling and gas sensing, and full compatibility with Orbitec controllers and orbital weld heads.</t>
  </si>
  <si>
    <t>TETRIX351</t>
  </si>
  <si>
    <t xml:space="preserve">TETRIX 351 INVERTER</t>
  </si>
  <si>
    <t>1.2.0117</t>
  </si>
  <si>
    <t xml:space="preserve">Mobile inverter orbital TIG power source delivering 5–350 A output with 60% duty cycle, integrated 1500 W cooling system, built-in 12 L water tank, gas level monitoring, and advanced controls for manual and orbital welding.</t>
  </si>
  <si>
    <t xml:space="preserve">Mobile inverter power source for orbital TIG welding with integrated 1500W cooling system</t>
  </si>
  <si>
    <t xml:space="preserve">High current capacity of 5A-350A with 60% duty cycle at 350A at 40°C ambient</t>
  </si>
  <si>
    <t xml:space="preserve">Built-in 12-liter water tank and gas level monitor for uninterrupted operations</t>
  </si>
  <si>
    <t xml:space="preserve">Supports both manual and orbital welding with advanced control functions</t>
  </si>
  <si>
    <t xml:space="preserve">The TETRIX 351 stationary power source provides industrial-grade orbital welding capability for thick-wall and multipipe applications. Delivering 5–350A DC with autorange, it supports 350A @ 60% duty cycle and 300A @ 100% at 40°C ambient. The 1500W integrated water-cooling system, 12L coolant reservoir, and 5L/min flow maintain stable thermal performance. Three-phase 400V input ensures facility compatibility. Advanced gas monitoring provides real-time shielding verification. Dimensions: 1100 × 455 × 1000 mm; weight: 131 kg. Ideal for high-current, continuous industrial production.</t>
  </si>
  <si>
    <t xml:space="preserve">TETRIX 351 Heavy-Duty Inverter Power Supply</t>
  </si>
  <si>
    <t xml:space="preserve">Industrial-Grade Power Delivery: The TETRIX 351 establishes the reliability and power standard for demanding thick-wall and multipipe welding applications requiring sustained high-current performance.</t>
  </si>
  <si>
    <t xml:space="preserve">- High current capacity 5A to 350A
- 1500W integrated water cooling system
- 12-liter coolant reservoir reduces maintenance
- Three-phase 400V industrial standard input
- Advanced gas monitoring system included</t>
  </si>
  <si>
    <t xml:space="preserve">- 20.3kVA generator output capability
- 35m water column height capability
- 1100 x 455 x 1000mm dimensions
- Three-phase power input compatibility
- 131kg for stationary production use</t>
  </si>
  <si>
    <t xml:space="preserve">Stabilize tube positioning during orbital welding with the TENSION ARM (1.90–2.50), engineered to maintain consistent tension and alignment in your setup. Contact us for load limits, mounting options, and bulk order information.</t>
  </si>
  <si>
    <t xml:space="preserve">- Q1: What is the cooling efficiency of the TETRIX 351 integrated cooler?
- Q2: Is the TETRIX 351 suitable for portable field operations?
- Q3: What water flow rate does the TETRIX 351 require?
- Q4: Can I use industrial city water for cooling?
- Q5: What is the warranty coverage for the cooling system specifically?</t>
  </si>
  <si>
    <t xml:space="preserve">- A1: 1500W cooling power enables sustained 100% duty cycle operation at 300A, exceptional for stationary production environments.
- A2: While technically portable (with motor assist), the 131kg weight makes it better suited for stationary shop installations.
- A3: Water supply should provide minimum 5 liters/minute at 35m column height pressure for optimal cooling performance.
- A4: Yes, but municipal water is recommended with strainer pre-filter to prevent mineral scale buildup in cooling passages.
- A5: Water cooling system covered under 12-month warranty for mechanical components, 12-month for electrical pump motor.</t>
  </si>
  <si>
    <t>M100</t>
  </si>
  <si>
    <t xml:space="preserve">M100 POWER SUPPLY, 115 V</t>
  </si>
  <si>
    <t>SWS-M100</t>
  </si>
  <si>
    <t>SWAGELOK</t>
  </si>
  <si>
    <t xml:space="preserve">Compact orbital welding power supply operating on 115 V input, designed for light-to-medium duty applications with stable arc control and simplified weld programming.</t>
  </si>
  <si>
    <t xml:space="preserve">Microprocessor‑controlled power supply with high‑res LCD and auto/manual procedure adjustment</t>
  </si>
  <si>
    <t xml:space="preserve">Weld Data</t>
  </si>
  <si>
    <t xml:space="preserve">Real‑time monitoring and storage for QA/QC</t>
  </si>
  <si>
    <t xml:space="preserve">Works with Swagelok orbital weld heads</t>
  </si>
  <si>
    <t xml:space="preserve">Duty &amp; Output</t>
  </si>
  <si>
    <t xml:space="preserve">2–100 A DC output; uses 115 VAC input </t>
  </si>
  <si>
    <t xml:space="preserve">The M100 Power Supply is a compact orbital welding unit designed for precise gas tungsten arc welding of small to medium-diameter tubes. It operates on 115 V AC input and delivers up to 100 A DC output with stable duty cycles. The microprocessor-controlled system supports automatic or manual weld programming, real-time monitoring, and data logging for quality assurance. Its lightweight and portable design makes it ideal for pharmaceutical, semiconductor, and laboratory welding applications.</t>
  </si>
  <si>
    <t xml:space="preserve">Next-Generation Fixed Configuration Power Supply with Precision DC Control for Orbital Welding</t>
  </si>
  <si>
    <t xml:space="preserve">Industrial-Grade Power Delivery: The M100 delivers precise DC output for orbital welding, combining compact design with reliable performance for small- to medium-diameter tube applications.</t>
  </si>
  <si>
    <t xml:space="preserve">- 115 V AC input
- DC output 2–100 A
- Microprocessor control
- Step and pulse welding modes
- Data recording capability</t>
  </si>
  <si>
    <t xml:space="preserve">- ~19 kg weight
- 229 × 394 × 493 mm
- Aluminum housing
- CE/UL certified
- Compatible with Series 4/8 weld heads</t>
  </si>
  <si>
    <t xml:space="preserve">Reliable Orbital Welding Power Supply with Precision Control</t>
  </si>
  <si>
    <t xml:space="preserve">The Swagelok M100 Power Supply is a microprocessor‑controlled orbital welding power source with high‑resolution display, step‑by‑step programming, real‑time weld monitoring, and comprehensive data storage for QA/QC; designed for consistent, high‑quality GTAW orbital welding with remote control capability. </t>
  </si>
  <si>
    <t xml:space="preserve">- Q1: What input voltage and current does the M100 power supply require?
- Q2: What welding output range does the M100 support?
- Q3: Does the M100 offer data recording capabilities?
- Q4: Can the M100 be used with remote controls?
- Q5: What safety or installation guidelines should be followed?</t>
  </si>
  <si>
    <t xml:space="preserve">- A1: The M100 Power Supply operates on 115 V (ac), 20 A input for proper welding output.
- A2: The output current ranges from approximately 2 A to 100 A (dc) for welding operations.
- A3: Yes — it includes a data recording printer and supports PC card storage to save and transfer weld data for QA/QC record‑keeping.
- A4: Yes — it supports control via its operator keypad and remote keypad interfaces.
- A5: The power supply must be properly grounded, wired per local electrical codes, and may require a dedicated circuit for safe operation.</t>
  </si>
  <si>
    <t>M200</t>
  </si>
  <si>
    <t xml:space="preserve">M200 POWER SUPPLY, 115 V</t>
  </si>
  <si>
    <t>SWS-M200-11-E</t>
  </si>
  <si>
    <t xml:space="preserve">Advanced orbital welding power supply with 115 V input, higher output capacity than M100, enhanced weld schedule control, and support for precision tube welding.</t>
  </si>
  <si>
    <t xml:space="preserve">Touch Screen</t>
  </si>
  <si>
    <t xml:space="preserve">High‑resolution industrial color touch screen for intuitive operation</t>
  </si>
  <si>
    <t xml:space="preserve">Gas Control</t>
  </si>
  <si>
    <t xml:space="preserve">Integrated mass flow controller for OD shield gas</t>
  </si>
  <si>
    <t xml:space="preserve">Output Range</t>
  </si>
  <si>
    <t xml:space="preserve">2–200 A DC with multiple duty cycles</t>
  </si>
  <si>
    <t xml:space="preserve">Procedure Options</t>
  </si>
  <si>
    <t xml:space="preserve">Auto and manual weld procedure entry modes </t>
  </si>
  <si>
    <t xml:space="preserve">The M200 Power Supply is a high-performance orbital welding unit capable of supporting larger-diameter tube welding. Operating on 115 V AC input, it provides up to 200 A DC output with consistent duty cycle performance. Features include automated weld procedure control, integrated shield gas management, and onboard data recording for traceability. Designed for production environments, it is compatible with standard orbital weld heads and suitable for aerospace, pharmaceutical, and semiconductor applications.</t>
  </si>
  <si>
    <t xml:space="preserve">Next-Generation Switching Configuration Power Supply with Touchscreen Control for Multi-Procedure Orbital Welding</t>
  </si>
  <si>
    <t xml:space="preserve">Versatile Power Control: The M200 offers broad DC output, touchscreen interface, and multi-procedure support for advanced orbital welding in both shop and field environments.</t>
  </si>
  <si>
    <t xml:space="preserve">- 115 V AC input
- DC output 2–200 A
- Touch screen interface
- Low-EMI arc start
- Weld data storage</t>
  </si>
  <si>
    <t xml:space="preserve">- ~22.5 kg weight
- 12.1″ industrial touch screen
- Aluminum/SS housing
- CE/RoHS certified
- Multiple language interface</t>
  </si>
  <si>
    <t xml:space="preserve">Advanced Orbital Welding Power Supply with Touchscreen Control</t>
  </si>
  <si>
    <t xml:space="preserve">The Swagelok M200 Power Supply delivers reliable, consistent orbital gas tungsten arc welding performance with an easy‑to‑use color touchscreen, multi‑language support, real‑time performance recording, and integrated gas flow control, ideal for precision welding applications requiring documented weld quality. </t>
  </si>
  <si>
    <t xml:space="preserve">- Q1: What input voltages does the M200 Power Supply accept?
- Q2: What is the maximum output capability of the M200?
- Q3: Does the M200 include advanced user interfaces?
- Q4: Can the M200 control shielding gas flow?
- Q5: What duty cycles are typical for the M200 at 115 V?</t>
  </si>
  <si>
    <t xml:space="preserve">- A1: The M200 Power Supply accepts a universal input range from about 100 V to 230 V (ac), including 115 V operation.
- A2: It supports output current from approximately 2 A up to around 200 A (dc), with peak capabilities up to about 200 A.
- A3: Yes — it features a high‑resolution color touch screen for easy operation and weld program control.
- A4: An integrated mass flow controller automatically manages shielding gas flow during welding cycles.
- A5: At 115 V input, typical duty cycle output ranges around 90 A at 100 % duty, with specifics varying by exact input circuit/receptacle capability.</t>
  </si>
  <si>
    <t>4H/8HMOTMOD</t>
  </si>
  <si>
    <t xml:space="preserve">MOTOR MODULE FOR SERIES 4 &amp; 8 WELD HEADS</t>
  </si>
  <si>
    <t>SWS-M-MTR-B</t>
  </si>
  <si>
    <t xml:space="preserve">Weld Head Accessory | Motor Module</t>
  </si>
  <si>
    <t xml:space="preserve">Drive motor module engineered for Series 4 and Series 8 orbital weld heads, providing consistent rotation speed, reliable torque output, and quick head integration.</t>
  </si>
  <si>
    <t xml:space="preserve">Provides drive power for Series 4 &amp; Series 8 micro weld heads</t>
  </si>
  <si>
    <t xml:space="preserve">Polarized connectors ensure proper weld head/power supply connection</t>
  </si>
  <si>
    <t xml:space="preserve">Works with Swagelok Series 4 &amp; 8 heads</t>
  </si>
  <si>
    <t xml:space="preserve">Compact module requires only one unit for either series </t>
  </si>
  <si>
    <t xml:space="preserve">The Motor Module for Series 4 &amp; 8 Weld Heads provides precise, electronically-controlled rotation for orbital welding heads. It is compatible with standard Series 4 and Series 8 weld heads, ensuring smooth tube rotation and accurate weld positioning. Lightweight and durable, the module supports high-speed welding and integrates with standard Orbitec or similar power supply systems. The module typically includes a mounting interface, encoder feedback for weld monitoring, and compatibility with standard handle and cable assemblies.</t>
  </si>
  <si>
    <t xml:space="preserve">Advanced Motor Module with Integrated Speed and Torque Control for Series 4 &amp; 8 Orbital Weld Heads</t>
  </si>
  <si>
    <t xml:space="preserve">Precision Tube Rotation: This motor module provides smooth speed and torque control, enabling accurate weld head positioning for consistent, high-quality orbital welds.</t>
  </si>
  <si>
    <t xml:space="preserve">- Brushless DC motor
- Series 4 &amp; 8 compatibility
- Integrated speed control
- Safety overload protection
- Compact module design</t>
  </si>
  <si>
    <t xml:space="preserve">- ~5 kg weight
- Aluminum housing
- Standard electrical connectors
- Easy retrofit with existing heads
- Field-serviceable components</t>
  </si>
  <si>
    <t xml:space="preserve">Modular Drive Solution for Series 4 &amp; 8 Weld Heads</t>
  </si>
  <si>
    <t xml:space="preserve">The motor module for Series 4 &amp; 8 weld heads provides the drive power and motion control necessary to operate Series 4 and 8 orbital weld heads efficiently, supporting consistent rotation and weld head positioning for thin‑wall tube and pipe welding operations; complements existing weld head systems in production environments.</t>
  </si>
  <si>
    <t xml:space="preserve">- Q1: What is the purpose of the motor module?
- Q2: Which weld head series is it compatible with?
- Q3: What kind of power does the motor module use?
- Q4: How does the motor module benefit welding operations?
- Q5: Are spare parts or maintenance kits available?</t>
  </si>
  <si>
    <t xml:space="preserve">- A1: The motor module provides mechanical rotation power to orbital and stationary weld heads for consistent weld travel.
- A2: It is compatible with Series 4 and Series 8 weld heads used in orbital welding setups.
- A3: It typically runs from standard industrial power sources compatible with the respective weld head and controller.
- A4: The motor module improves weld consistency, reduces operator fatigue, and integrates with automated weld sequences.
- A5: Yes — manufacturer‑specified spare parts and maintenance kits are commonly available to support longevity.</t>
  </si>
  <si>
    <t>204B-AIR</t>
  </si>
  <si>
    <t xml:space="preserve">204B PNEUMATIC BEVELLER (.610" - 4.500")</t>
  </si>
  <si>
    <t>01-2660</t>
  </si>
  <si>
    <t>TRI-TOOL</t>
  </si>
  <si>
    <t xml:space="preserve">Tube Beveling | Pipe Preparation Tool</t>
  </si>
  <si>
    <t xml:space="preserve">Pneumatic ID-mount tube beveling machine for 0.610"–4.500" OD tubes, capable of facing, beveling, and counterboring with high rigidity and repeatable accuracy.</t>
  </si>
  <si>
    <t xml:space="preserve">Portable pipe beveling, facing, and counterboring tool</t>
  </si>
  <si>
    <t xml:space="preserve">Machines pipe OD .610″ – 4.500″ (15.5–114.3 mm)</t>
  </si>
  <si>
    <t xml:space="preserve">Solid milled body with heavy‑duty gear set and tapered roller bearings</t>
  </si>
  <si>
    <t xml:space="preserve">Tool Slots</t>
  </si>
  <si>
    <t xml:space="preserve">Three tool bit slots for facing, counterboring, beveling </t>
  </si>
  <si>
    <t xml:space="preserve">The 204B Pneumatic Beveller is engineered for precise edge preparation of tubes and pipes ranging from 0.610" to 4.500" OD. It features air-powered operation for consistent beveling speed and accuracy, adjustable cutting heads for variable bevel angles, and a lightweight, compact design suitable for confined workspaces. Constructed with aluminum and hardened steel components, it ensures durability and smooth operation in industrial, pharmaceutical, and semiconductor environments.</t>
  </si>
  <si>
    <t xml:space="preserve">Premium Portable Pneumatic Bevelling System for Pipe Prep (.610"–4.500")</t>
  </si>
  <si>
    <t xml:space="preserve">Portable Pipe Prep: The 204B Pneumatic Beveller offers fast beveling, facing, and counterboring for small to mid-size pipes, combining durability with field-ready portability.</t>
  </si>
  <si>
    <t xml:space="preserve">- Bevelling, facing, counterboring
- Pipe range .610–4.500" (15.5–114.3 mm)
- Pneumatic motor (~55 cfm @ 90 psi)
- Inline feed- Robust gears</t>
  </si>
  <si>
    <t xml:space="preserve">- ~8.2 kg weight
- Compact inline design
- Mandrel and jaw blocks included
- Case for transport
- Field-serviceable</t>
  </si>
  <si>
    <t xml:space="preserve">Portable Pneumatic Pipe Bevelling &amp; Facing System</t>
  </si>
  <si>
    <t xml:space="preserve">The 204B BEVELMASTER pneumatic beveler from Tri Tool is a portable ID‑mount machining tool for pipe and tube end preparation, offering inline feed for beveling, facing, and counterboring operations on sizes from .610" to 4.500" with robust construction and reliable performance. </t>
  </si>
  <si>
    <t xml:space="preserve">- Q1: What pipe size range can the 204B Pneumatic Beveller handle?
- Q2: What types of machining can the 204B perform?
- Q3: What power source does the 204B Pneumatic Beveller use?
- Q4: What optional accessories are available?
- Q5: What are some safety or operating considerations?</t>
  </si>
  <si>
    <t xml:space="preserve">- A1: The 204B Pneumatic Beveller covers internal diameters from approximately .610″ up to 4.500″, depending on mandrel and cutter setup.
- A2: It can face, bevel, and counterbore pipe ends with simultaneous tool bits for efficient preparation.
- A3: This model uses a pneumatic (air) motor requiring about 55 cfm at ~90‑psi pressure for optimal cutting performance.
- A4: Optional mandrels, jaw blocks for thin‑wall pipe, and elbow adapters may be purchased separately for extended range and applications.
- A5: Always use proper air supply filtration, secure mounting in the pipe ID, and ensure operator protection against chips and rotating parts.</t>
  </si>
  <si>
    <t>204B-DC11</t>
  </si>
  <si>
    <t xml:space="preserve">204B-DC CORDLESS 18VDC (.610" - 4.500")</t>
  </si>
  <si>
    <t xml:space="preserve">Cordless 18 VDC ID-mount tube beveler for 0.610"–4.500" OD tubes, offering portable facing, beveling, and counterboring for field and shop use.</t>
  </si>
  <si>
    <t xml:space="preserve">Battery‑powered cordless beveler with electric motor assembly</t>
  </si>
  <si>
    <t xml:space="preserve">.610″ – 4.500″ (15.5–114.3 mm) range</t>
  </si>
  <si>
    <t xml:space="preserve">Three tool bit slots for facing, counterboring, beveling</t>
  </si>
  <si>
    <t xml:space="preserve">Lightweight, rugged design suitable for field work </t>
  </si>
  <si>
    <t xml:space="preserve">The 204B-DC Cordless Beveller offers the same tube beveling capability as the pneumatic model, covering 0.610" to 4.500" OD, but operates on an 18 V DC rechargeable battery for portable, cord-free use. It features adjustable cutting heads for various bevel angles, a compact design for tight spaces, and durable aluminum and steel construction. Ideal for fieldwork or production lines without compressed air availability, it ensures consistent, high-quality edge preparation.</t>
  </si>
  <si>
    <t xml:space="preserve">Advanced Cordless Bevelling System with 18VDC Power for Portable Pipe Prep</t>
  </si>
  <si>
    <t xml:space="preserve">Cordless Pipe Prep: The 204B-DC delivers all the functionality of the pneumatic model with 18V battery power, enabling truly portable beveling, facing, and counterboring operations.</t>
  </si>
  <si>
    <t xml:space="preserve">- Battery powered 18 VDC
- Bevelling, facing, counterboring
- Pipe range .610–4.500"
- Same tooling as pneumatic 204B
- Lightweight design</t>
  </si>
  <si>
    <t xml:space="preserve">- ~8.2 kg weight
- Includes battery and charger
- Portable carry case
- Easy on-site use
- Minimal setup required</t>
  </si>
  <si>
    <t xml:space="preserve">Cordless Bevelling &amp; End Prep Tool for Portable Operations</t>
  </si>
  <si>
    <t xml:space="preserve">The 204B‑DC Cordless Beveller adapts the proven 204B beveling design to an 18 V DC cordless platform, enabling portable bevel, face, and counterbore prep on pipe and tubing from .610" to 4.500" without pneumatic or corded power, ideal for field use and remote sites.</t>
  </si>
  <si>
    <t xml:space="preserve">- Q1: What’s the main difference between the 204B‑DC and the pneumatic 204B Beveller?
- Q2: What power source does the 204B‑DC use?
- Q3: What pipe range does the 204B‑DC support?
- Q4: What machining tasks can the 204B‑DC perform?
- Q5: What are typical battery run‑times or considerations?</t>
  </si>
  <si>
    <t xml:space="preserve">- A1: The 204B‑DC is a cordless, battery‑powered variant of the 204B Beveller, offering field mobility without compressed air.
- A2: It runs on an 18 V DC rechargeable battery pack designed for industrial use.
- A3: Like the pneumatic version, it supports pipe IDs from roughly .610″ to 4.500″, using appropriate mandrels/cutters.
- A4: It performs beveling, facing, and counterboring for weld preparation similar to the air‑powered model.
- A5: Battery life depends on load and cutter engagement; spare batteries are recommended for extended jobs.</t>
  </si>
  <si>
    <t xml:space="preserve">Rugged portable pipe beveler for facing/counterboring/beveling</t>
  </si>
  <si>
    <t xml:space="preserve">1.503″ – 8.625″ (38.1–219 mm) OD</t>
  </si>
  <si>
    <t>Adjustable</t>
  </si>
  <si>
    <t xml:space="preserve">Adjustable torque keys to reduce cutting vibration</t>
  </si>
  <si>
    <t>Accessories</t>
  </si>
  <si>
    <t xml:space="preserve">Optional accessories available for increased functionality </t>
  </si>
  <si>
    <t xml:space="preserve">The Tri Tool Model 204B‑DC is a rugged, lightweight cordless pipe beveling machine designed for facing, counterboring, and beveling pipe and tube ends ranging from .610″ to 4.500″ (15.5 mm to 114.3 mm). It features three tool bit slots, tapered roller bearings for smooth operation, and a tool steel mandrel with hardened steel mounting blocks for positive grip. Powered by an 18 V cordless drive with battery charger options, it supports up to .531″ (13.5 mm) wall thickness capacity. The package includes mandrel assembly, jaw blocks, head kit, cordless motor assembly, wrench kit, case, and operator manual.</t>
  </si>
  <si>
    <t xml:space="preserve">Heavy-Duty Pipe Bevelling System with Multi-Drive Options for Large Diameter Pipes</t>
  </si>
  <si>
    <t xml:space="preserve">Industrial-Grade Pipe Prep: The 208B BevelMASTER handles large diameter pipes with precision, offering air, electric, or hydraulic drive options for versatile field and shop applications.</t>
  </si>
  <si>
    <t xml:space="preserve">- Bevelling, facing, counterboring
- Pipe range 2.000–8.625" (50.8–219 mm)
- Air/electric/hydraulic drive options
- Adjustable torque
- Heavy-duty construction</t>
  </si>
  <si>
    <t xml:space="preserve">- ~25–34 kg weight depending on drive
- Multiple accessory support
- Transport case optional
- Durable alloy construction
- Field serviceable</t>
  </si>
  <si>
    <t xml:space="preserve">- Q1: What pipe/ tube sizes does the 204B‑DC support?
- Q2: What machining operations can the 204B‑DC perform?
- Q3: What power source does it use?
- Q4: What accessories or optional components are available?
- Q5: What are key design or durability features?</t>
  </si>
  <si>
    <t xml:space="preserve">- A1: The 204B‑DC handles pipe/ tube sizes from .610″ to 4.500″ (15.5 mm to 114.3 mm) ID range.
- A2: It performs facing, beveling, and counterboring operations for weld end preparation.
- A3: It uses an 18 V DC cordless battery system with available 110 V and 220 V chargers.
- A4: Optional accessories include reduced diameter mandrels and kits such as elbow mandrel and flange facer.
- A5: The machine has a rigid lightweight body, tapered roller bearings, and hardened steel jaws for positive grip and smooth cuts.</t>
  </si>
  <si>
    <t>M208BAIR</t>
  </si>
  <si>
    <t xml:space="preserve">208B BEVELMASTER AM (2.000" - 8.625")</t>
  </si>
  <si>
    <t>01-1133</t>
  </si>
  <si>
    <t xml:space="preserve">Heavy-duty ID-mount beveling machine for 2.000"–8.625" OD pipe, designed for precision facing, beveling, and weld prep in demanding industrial environments.</t>
  </si>
  <si>
    <t>Purpose</t>
  </si>
  <si>
    <t xml:space="preserve">Lightweight portable tube facing and squaring machine</t>
  </si>
  <si>
    <t xml:space="preserve">.188″ – 2.500″ (4.8 – 63.5 mm)</t>
  </si>
  <si>
    <t xml:space="preserve">OD saddle clamping system for holding material</t>
  </si>
  <si>
    <t xml:space="preserve">Feed &amp; Drive</t>
  </si>
  <si>
    <t xml:space="preserve">Variable speed motor with inline feed collar </t>
  </si>
  <si>
    <t xml:space="preserve">The Tri Tool 208B Bevelmaster is a rugged, portable pipe beveler engineered for weld end preparation—including facing, beveling, and counterboring—in one setup. It machines pipe and tubing from approximately 2.000″ to 8.625″ OD (38.1 mm to 219.2 mm) and accommodates up to .875″ (22.2 mm) wall thickness. The machine offers adjustable torque keys to minimize vibration, ensuring smooth cuts. It can be driven by pneumatic, electric, or hydraulic motors and includes the base sub‑assembly, tool holder, mandrel and jaw blocks, motor assembly, wrench kit, carrying case, and operator’s manual.</t>
  </si>
  <si>
    <t xml:space="preserve">- Bevelling, facing, counterboring
- Pipe range 2.000–8.625" (50.8–219 mm)
- Air, electric, or hydraulic drive
- Adjustable torque control
- Heavy-duty construction</t>
  </si>
  <si>
    <t xml:space="preserve">Rugged Portable Beveling &amp; Machining System for Larger Pipe</t>
  </si>
  <si>
    <r>
      <t xml:space="preserve">The 208B BEVELMASTER portable beveling system from Tri Tool delivers powerful, rugged performance for beveling, facing, and counterboring pipe from 2.000" to 8.625" in diameter, featuring adjustable torque keys and modular accessories to enhance weld preparation across a range of applications. (</t>
    </r>
    <r>
      <rPr>
        <u val="single"/>
        <color rgb="FF1155CC"/>
      </rPr>
      <t xml:space="preserve">Tri Tool Technologies</t>
    </r>
    <r>
      <rPr/>
      <t>)</t>
    </r>
  </si>
  <si>
    <t xml:space="preserve">- Q1: What pipe size range can the 208B Bevelmaster handle?
- Q2: What operations does the 208B support?
- Q3: What drive or motor options are available?
- Q4: What accessories enhance the 208B’s capabilities?
- Q5: What are the typical weight and construction features?</t>
  </si>
  <si>
    <t xml:space="preserve">- A1: The 208B Bevelmaster works with pipe IDs from about 1.503″ up to 8.625″ (38.1 mm ‑ 219.0 mm).
- A2: It can face, bevel, counterbore and ID chamfer in one setup for weld preparation.
- A3: Drive options include pneumatic (air), 110 V electric, 220 V electric, and hydraulic.
- A4: Optional accessories include elbow mandrels, miter mandrels, flange facer kits, and tracking modules.
- A5: The rugged, lightweight machine has adjustable torque keys for smooth cuts and comes with tool holder, mandrel, jaw set, and case.</t>
  </si>
  <si>
    <t xml:space="preserve">Premium Multi-Drive Pipe Bevelling System with Precision Alignment for Industrial Applications</t>
  </si>
  <si>
    <t xml:space="preserve">Versatile Pipe Prep: The 208B AM provides reliable beveling, facing, and counterboring for large pipes, combining robust construction with field-ready portability.</t>
  </si>
  <si>
    <t xml:space="preserve">- Large diameter pipe handling
- Air/electric/hydraulic drive options
- Precision alignment system
- Adjustable torque
- Heavy-duty gears</t>
  </si>
  <si>
    <t xml:space="preserve">- ~30 kg weight average
- Includes mandrels and jaws
- Optional transport case
- High-durability alloy
- Easy on-site setup</t>
  </si>
  <si>
    <t xml:space="preserve">Rugged Portable Pipe Beveling &amp; Machining System</t>
  </si>
  <si>
    <t xml:space="preserve">The 208B BEVELMASTER portable machining system is a rugged and powerful tool for facing, beveling, and counterboring pipe and tubing from roughly 2.00" to 8.625" diameter. Adjustable torque keys reduce vibration and optional accessories expand capability for elbows, miters, and flange facing — ideal for field or workshop weld preparation. </t>
  </si>
  <si>
    <t>300STS2</t>
  </si>
  <si>
    <t xml:space="preserve">300STS-2, TUBE FACER .188"-2.375"</t>
  </si>
  <si>
    <t>01-2622</t>
  </si>
  <si>
    <t xml:space="preserve">Tube Facing | Pipe Preparation Tool</t>
  </si>
  <si>
    <t xml:space="preserve">Portable tube facing machine for 0.188"–2.375" OD tubing, delivering square, burr-free tube ends with controlled feed for orbital welding preparation.</t>
  </si>
  <si>
    <t xml:space="preserve">Lightweight and portable design for easy transport and on-site operation</t>
  </si>
  <si>
    <t xml:space="preserve">Tube Size Range</t>
  </si>
  <si>
    <t xml:space="preserve">Supports tubing from 0.188" to 2.375" outer diameter</t>
  </si>
  <si>
    <t xml:space="preserve">Precision Facing</t>
  </si>
  <si>
    <t xml:space="preserve">Produces square, burr-free tube ends for high-quality weld preparation</t>
  </si>
  <si>
    <t xml:space="preserve">Controlled Feed System</t>
  </si>
  <si>
    <t xml:space="preserve">Provides smooth, controlled feed to ensure consistent facing results</t>
  </si>
  <si>
    <t xml:space="preserve">The Tri Tool 300STS‑2 Tube Squaring / Facing Machine is a lightweight, portable tool designed to prepare tube ends for welding by facing and squaring tubes with OD from .188″ to 2.375″ (4.8 mm to 60.3 mm). It uses an outside‑diameter saddle clamping system to hold the tube securely while an inline feed collar drives tool bit travel. Suitable for weld preparation in autogenous welding, it accommodates wall thickness up to about .20″ (5.0 mm) and is compatible with variable‑speed electric or cordless drive options. Typical packages include the machine, motor, charger, saddle, wrench kit, and carrying case.</t>
  </si>
  <si>
    <t xml:space="preserve">Portable Tube Facing System with Precision Cut for Small-Diameter Tubing</t>
  </si>
  <si>
    <t xml:space="preserve">Precision Tube Prep: The 300STS-2 provides fast, accurate facing for small-diameter tubes, combining portability with consistent surface finish for shop or field applications.</t>
  </si>
  <si>
    <t xml:space="preserve">- Tube diameter range .188–2.375"
- High-precision cutter
- Portable design
- Quick-change tooling
- Lightweight construction</t>
  </si>
  <si>
    <t xml:space="preserve">- ~6 kg weight
- Compact footprint
- Field-ready carry case
- Durable alloy construction
- Minimal setup required</t>
  </si>
  <si>
    <t xml:space="preserve">Portable Tube Squaring &amp; Facing Machine</t>
  </si>
  <si>
    <t xml:space="preserve">The 300STS‑2 Tube Squaring Machine is a lightweight, portable weld prep tool designed for faced and square ends on tubes from .188" to 2.500" OD. It uses an OD saddle clamping system and inline feed collar to hold material securely while machining ends for autogenous welding. </t>
  </si>
  <si>
    <t xml:space="preserve">- Q1: What tube OD range does the 300STS‑2 accommodate?
- Q2: What is its maximum wall thickness capacity?
- Q3: What type of operations is the 300STS‑2 designed for?
- Q4: What power or drive options are supported?
- Q5: What features make it portable or easy to use?</t>
  </si>
  <si>
    <t xml:space="preserve">- A1: The 300STS‑2 tube facer works with tubing OD from approximately .188″ to 2.500″ (4.8 mm ‑ 63.5 mm).
- A2: It supports tube wall thickness up to about .200″ (5.1 mm).
- A3: It is designed specifically to face and square tube ends for weld preparation.
- A4: It is compatible with 18 V electric cordless drives as well as 110 V and 220 V electric options.
- A5: The machine is lightweight and portable with an OD saddle clamp system and in‑line feed collar for ease of operation.</t>
  </si>
  <si>
    <r>
      <t xml:space="preserve">The Tri Tool 300STS‑2 Tube Squaring / Facing Machine is a lightweight, portable tool designed to prepare tube ends for welding by facing and squaring tubes with OD from .188″ to 2.375″ (4.8 mm to 60.3 mm). It uses an outside‑diameter saddle clamping system to hold the tube securely while an inline feed collar drives tool bit travel. Suitable for weld preparation in autogenous welding, it accommodates wall thickness up to about .20″ (5.0 mm) and is compatible with variable‑speed electric or cordless drive options. Typical packages include the machine, motor, charger, saddle, wrench kit, and carrying case.(</t>
    </r>
    <r>
      <rPr>
        <u val="single"/>
        <color rgb="FF1155CC"/>
      </rPr>
      <t xml:space="preserve">Pipe Equipment Specialists</t>
    </r>
    <r>
      <rPr/>
      <t>)</t>
    </r>
  </si>
  <si>
    <t xml:space="preserve">Industrial-Grade Tube Facing System with Quick-Change Tooling for Small Tubes</t>
  </si>
  <si>
    <t xml:space="preserve">Fast Tube Prep: The 300STS-2 offers repeatable facing with precision alignment, reducing setup time and improving workflow for small-diameter tubing operations.</t>
  </si>
  <si>
    <t xml:space="preserve">- Precise tube facing
- Quick-change tooling system
- Lightweight and portable
- Accurate alignment guides
- Rugged cutter assembly</t>
  </si>
  <si>
    <t xml:space="preserve">- ~6 kg weight
- Compact and transportable
- Tooling kit included
- Durable alloy construction
- Field-serviceable</t>
  </si>
  <si>
    <t>3015SP</t>
  </si>
  <si>
    <t xml:space="preserve">301.5SP TUBE SQUEARING MACHINE COR</t>
  </si>
  <si>
    <t>01-2221</t>
  </si>
  <si>
    <t xml:space="preserve">Tube Squaring | Pipe Preparation Equipment</t>
  </si>
  <si>
    <t xml:space="preserve">Portable tube squaring machine for small-diameter tubing, designed to produce square, burr-free tube ends with controlled feed for high-quality weld preparation.</t>
  </si>
  <si>
    <t xml:space="preserve">Tube squaring machine designed to prepare tube ends for autogenous welding</t>
  </si>
  <si>
    <t xml:space="preserve">Faces .125″ (3.2 mm) to 1.500″ (38.1 mm) OD tubing with up to .125″ wall thickness</t>
  </si>
  <si>
    <t xml:space="preserve">Tool‑less quick change saddle clamping system with transparent integral chip guards</t>
  </si>
  <si>
    <t xml:space="preserve">Drive &amp; Feed</t>
  </si>
  <si>
    <t xml:space="preserve">Variable speed motor with cam‑actuated auto retract feed for precision and safety </t>
  </si>
  <si>
    <t xml:space="preserve">The Tri Tool 301.5SP Tube Squaring Machine is a portable tool designed for precision tube end preparation before autogenous welding. It faces and squares tube OD from .125″ to 1.500″ (3.2 mm to 38.1 mm) with a maximum wall thickness of .125″ (3.2 mm). The machine uses a toolless OD saddle clamping system and cam‑actuated auto‑retract feed with .200″ (5 mm) travel for controlled cutting. Variable speed electric or cordless motor options provide smooth operation, and it includes a sub‑assembly, motor, wrench kit, carrying case, and operator manual. The compact design ensures ease of handling with integral chip guards for cleaner work. </t>
  </si>
  <si>
    <t xml:space="preserve">Heavy-Duty Tube Squearing Machine for Industrial Tubing Applications</t>
  </si>
  <si>
    <t xml:space="preserve">Efficient Tube Squearing: The 301.5SP delivers consistent, square tube ends with minimal operator effort, ensuring high-quality prep for welding and assembly in shop or field environments.</t>
  </si>
  <si>
    <t xml:space="preserve">- Tube diameter range .25–1.5"
- Hydraulic/electric operation
- Precise squaring mechanism
- Adjustable clamping system
- Rugged industrial frame</t>
  </si>
  <si>
    <t xml:space="preserve">- ~35 kg weight
- Compact footprint for shop use
- Easy setup and maintenance
- Durable steel construction
- Field-serviceable</t>
  </si>
  <si>
    <t xml:space="preserve">Precision Tube Squaring Tool for Small Diameters</t>
  </si>
  <si>
    <t xml:space="preserve">The 301.5SP Tube Squarer machine prepares tube ends for welding by squaring and cleaning tubes from .125" up to 1.500" OD with precision tooling, integrated guard, and motor assembly, ideal for autogenous welding prep. </t>
  </si>
  <si>
    <t xml:space="preserve">- Q1: What tube OD range can the 301.5SP handle?
- Q2: What is the maximum tube wall thickness?
- Q3: What operations is the 301.5SP designed for?
- Q4: What power/drive options are supported?
- Q5: What are key design and usability features?</t>
  </si>
  <si>
    <t xml:space="preserve">- A1: The 301.5SP handles tube outside diameters from .125″ up to 1.500″ (3.2 mm to 38.1 mm) ID range.
- A2: It supports wall thickness up to .125″ (3.2 mm).
- A3: The machine is designed for facing and squaring tube ends to prepare for autogenous welding.
- A4: It supports variable speed brushless cordless electric motors, corded 110 V, corded 220 V, and electric motor options.
- A5: The 301.5SP features a tool‑less quick change saddle system, transparent chip guards, lightweight body, and cam‑actuated auto retract feed for ease of use.</t>
  </si>
  <si>
    <t>572AC</t>
  </si>
  <si>
    <t xml:space="preserve">572AC SEVERMASTER</t>
  </si>
  <si>
    <t>01-2411</t>
  </si>
  <si>
    <t xml:space="preserve">Tube Cutting | Pipe Severing Tool</t>
  </si>
  <si>
    <t xml:space="preserve">Heavy-duty severing machine designed for accurate, cold cutting of pipe and tube with minimal distortion and clean, weld-ready ends.</t>
  </si>
  <si>
    <t xml:space="preserve">Tube severing system for weld‑ready cutting of tubing and thin‑wall pipe</t>
  </si>
  <si>
    <t xml:space="preserve">Cuts .25″ (6.4 mm) to 2.00″ (50.8 mm) diameter tubes</t>
  </si>
  <si>
    <t xml:space="preserve">Productivity Features</t>
  </si>
  <si>
    <t xml:space="preserve">Auto‑cycle tool module resets bit automatically and adjustable depth feed mechanism</t>
  </si>
  <si>
    <t xml:space="preserve">Clamping &amp; Control</t>
  </si>
  <si>
    <t xml:space="preserve">Quick lock collet closure with variable speed motor for cutting speed control and burr reduction </t>
  </si>
  <si>
    <t xml:space="preserve">The Tri Tool 572AC Severmaster™ is a high‑productivity tube severing machine engineered to sever tubes and thin wall pipe from .25″ to 2.00″ (6.4 mm to 50.8 mm) OD with up to .125″ (3.2 mm) wall thickness. It features an auto‑cycle tool module and quick‑lock collet for rapid, repeatable cuts, and a cam cycle feed mechanism with adjustable depth per revolution to optimize cutting speed and tool bit life. A variable‑speed motor further enhances control, and the machine returns the tool bit automatically after each cut. Standard inclusions are the machine subassembly, electric motor, bench stand, severing bit, wrench kit, and operator’s manual. </t>
  </si>
  <si>
    <t xml:space="preserve">Premium Pipe Severing System with High-Precision Cutting for Industrial Applications</t>
  </si>
  <si>
    <t xml:space="preserve">Industrial-Grade Pipe Severing: The 572AC SEVERMASTER delivers clean, precise cuts on a wide range of pipe diameters, combining heavy-duty construction with field-ready portability.</t>
  </si>
  <si>
    <t xml:space="preserve">- Handles pipe diameters 1–6"
- High-precision cutting blade
- Adjustable cutting speed
- Robust frame construction
- Field-portable design</t>
  </si>
  <si>
    <t xml:space="preserve">- ~28 kg weight
- Compact footprint for workshop or field
- Quick blade replacement
- Durable alloy construction
- Safety interlock system</t>
  </si>
  <si>
    <t xml:space="preserve">Auto‑Cycle Tube Severing System</t>
  </si>
  <si>
    <t xml:space="preserve">The 572AC SEVERMASTER severs thin wall tubes from .25" to 2.00" OD with an auto‑cycle tool module and quick lock collet closure. Adjustable feed per revolution and variable speed control deliver clean, burr‑reduced cuts ready for weld prep, enhancing productivity in pipe fabrication. </t>
  </si>
  <si>
    <t xml:space="preserve">- Q1: What tube/ pipe range can the 572AC Severmaster cut?
- Q2: What kind of feed and cycle features does it offer?
- Q3: What power/drive options are supported?
- Q4: What are typical applications?
- Q5: What does the machine include in the package?</t>
  </si>
  <si>
    <t xml:space="preserve">- A1: The 572AC Severmaster severs tube and thin wall pipe from .250″ to 2.000″ (6.4 mm to 50.8 mm) OD.
- A2: It offers an auto‑cycle tool module with quick lock collet, adjustable depth of feed, and automatic return of tool bit to home position.
- A3: Drive options include pneumatic (air), 110 V electric, and 220 V electric.
- A4: It is used for severing tubing and thin wall pipe in fabrication, workshops, and industrial production environments.
- A5: The machine package includes the 572AC subassembly, electric motor assembly, bench stand, severing bit, wrench kit, and operators manual.</t>
  </si>
  <si>
    <t xml:space="preserve">Advanced Pipe Severing System with Multi-Drive Options for Consistent Cuts</t>
  </si>
  <si>
    <t xml:space="preserve">Reliable Pipe Prep: The 572AC ensures accurate, repeatable severing in shop or field environments, reducing operator effort and minimizing material waste.</t>
  </si>
  <si>
    <t xml:space="preserve">- Multi-drive operation (manual/electric)
- Adjustable clamping system
- Precise cut alignment
- Quick setup
- Heavy-duty gears</t>
  </si>
  <si>
    <t xml:space="preserve">- ~28 kg weight
- Portable carry case optional
- Minimal maintenance
- Durable alloy frame
- Field-serviceable</t>
  </si>
  <si>
    <t xml:space="preserve">- A1: The 572AC Severmaster severs tube and thin wall pipe from .250″ to 2.000″ (6.4 mm to 50.8 mm) OD.
- A2: It uses an auto‑cycle tool bit feed mechanism with adjustable depth of feed and automatic tool bit reset.
- A3: Drive options include electric drives suitable for cleanroom and industrial applications.
- A4: It’s applied for precision tube severing with burr‑free results and high repeatability.
- A5: Package typically includes main machine, collets, motor drive, support saddles, and tool kit.</t>
  </si>
  <si>
    <t>576AC</t>
  </si>
  <si>
    <t xml:space="preserve">576AC SEVERMASTER</t>
  </si>
  <si>
    <t>92-1793</t>
  </si>
  <si>
    <t xml:space="preserve">High-capacity severing machine for larger diameter pipe, delivering precise, low-distortion cold cuts for fabrication and welding applications.</t>
  </si>
  <si>
    <t xml:space="preserve">Tube severing system engineered for larger tube OD cutting</t>
  </si>
  <si>
    <t xml:space="preserve">Severs 2.0″ (50.8 mm) to 6.625″ (168.3 mm) diameter tubes and thin wall pipe</t>
  </si>
  <si>
    <t xml:space="preserve">Auto‑cycle tool module and quick lock collet closure for enhanced productivity</t>
  </si>
  <si>
    <t xml:space="preserve">Cutting Control</t>
  </si>
  <si>
    <t xml:space="preserve">Cam cycle feed with adjustable depth and variable speed motor for burr‑free cuts </t>
  </si>
  <si>
    <t xml:space="preserve">The Tri Tool 576AC Severmaster™ is an auto‑cycle tube severing system designed to sever tubes and thin wall pipe ranging from 2.00″ to 6.625″ (50.8 mm to 168.3 mm) OD with up to .156″ (4.0 mm) wall thickness. It incorporates an auto‑cycle tool module with adjustable feed per revolution and a quick‑lock collet closure for efficient, repeatable cuts. A variable‑speed motor adds cutting speed control to extend tool bit life and reduce internal burrs. The machine includes the subassembly, electric motor, bench stand, severing bit, wrench kit, and operator manual. </t>
  </si>
  <si>
    <t xml:space="preserve">Next-Generation Pipe Severing System with High-Capacity Cutting for Industrial Applications</t>
  </si>
  <si>
    <t xml:space="preserve">Versatile Pipe Cutting: The 576AC SEVERMASTER combines high-capacity cutting with precision alignment, delivering fast and accurate severing for a wide range of pipe sizes.</t>
  </si>
  <si>
    <t xml:space="preserve">- Handles pipe diameters 1–8"
- High-torque cutting mechanism
- Adjustable speed control
- Heavy-duty frame
- Field-ready portability</t>
  </si>
  <si>
    <t xml:space="preserve">- ~35 kg weight
- Quick blade change
- Compact footprint
- Durable steel construction
- Safety interlock system</t>
  </si>
  <si>
    <t xml:space="preserve">Heavy‑Duty Tube Severing &amp; Weld Prep Machine</t>
  </si>
  <si>
    <t xml:space="preserve">The 576AC SEVERMASTER severs larger diameter tubes from 2.00" to 6.625" OD with an auto‑cycle tool module and quick lock collet closure. Adjustable feed ensures optimal cutting speed and tool life while producing weld‑ready ends for fabrication environments. </t>
  </si>
  <si>
    <t xml:space="preserve">- Q1: What tube/ pipe size can the 576AC Severmaster cut?
- Q2: What feed and cutting features does it offer?
- Q3: What power/drive options are supported?
- Q4: What are common applications of the 576AC?
- Q5: What does the machine package include?</t>
  </si>
  <si>
    <t xml:space="preserve">- A1: The 576AC Severmaster cuts tube and pipe from 2.000″ to 6.625″ (50.8 mm to 168.3 mm) OD.
- A2: It features an auto‑cycle tool model with adjustable feed depth and quick lock collet closure for efficient cutting.
- A3: Drive options include pneumatic, 110 V electric, and 220 V electric configurations.
- A4: It is used for severing larger diameter tubes and thin wall pipe in production and fabrication environments.
- A5: The machine package includes the 576AC assembly, electric motor assembly, bench stand, severing bit, wrench kit, and operators manual.</t>
  </si>
  <si>
    <r>
      <t xml:space="preserve">The Tri Tool 576AC Severmaster™ is an auto‑cycle tube severing system designed to sever tubes and thin wall pipe ranging from 2.00″ to 6.625″ (50.8 mm to 168.3 mm) OD with up to .156″ (4.0 mm) wall thickness. It incorporates an auto‑cycle tool module with adjustable feed per revolution and a quick‑lock collet closure for efficient, repeatable cuts. A variable‑speed motor adds cutting speed control to extend tool bit life and reduce internal burrs. The machine includes the subassembly, electric motor, bench stand, severing bit, wrench kit, and operator manual. (</t>
    </r>
    <r>
      <rPr>
        <u val="single"/>
        <color rgb="FF1155CC"/>
      </rPr>
      <t xml:space="preserve">Industrial Solutions &amp; Innovation</t>
    </r>
    <r>
      <rPr/>
      <t>)</t>
    </r>
  </si>
  <si>
    <t xml:space="preserve">Premium Industrial Pipe Severing System with Multi-Mode Operation</t>
  </si>
  <si>
    <t xml:space="preserve">Efficient Pipe Prep: The 576AC provides repeatable, high-quality severing for thick-wall or large-diameter pipes, optimizing workflow in industrial and field applications.</t>
  </si>
  <si>
    <t xml:space="preserve">- Multi-mode operation (manual/electric/hydraulic)
- Adjustable clamp and guide system
- Precise alignment
- Heavy-duty gears
- Easy field transport</t>
  </si>
  <si>
    <t xml:space="preserve">- ~35 kg weight
- Compact design for workshops or field
- Quick blade replacement
- Durable steel construction
- Field-serviceable</t>
  </si>
  <si>
    <t xml:space="preserve">- A1: The 576AC Severmaster cuts tube and pipe from 2.000″ to 6.625″ (50.8 mm to 168.3 mm) OD.
- A2: It includes an auto‑cycle tool module with adjustable depth of feed and quick lock collet for efficient severing.
- A3: It supports pneumatic and electric motor options.
- A4: This model is suitable for industrial tube severing applications requiring high productivity and consistent finishes.
- A5: The package generally includes the severing system, motor assembly, bench stand, severing bit, wrench set, and operators manual.</t>
  </si>
  <si>
    <t>M214BE115</t>
  </si>
  <si>
    <t xml:space="preserve">MODEL 214B,E-115V,HD</t>
  </si>
  <si>
    <t>01-1978</t>
  </si>
  <si>
    <t xml:space="preserve">Heavy-duty portable pipe beveling and facing machine for 84–355.6 mm OD pipes, powered by a 115 V electric motor with stepless speed control and three tool holders for simultaneous facing, beveling, and counterboring.</t>
  </si>
  <si>
    <t xml:space="preserve">Heavy-duty portable pipe beveling and facing machine</t>
  </si>
  <si>
    <t xml:space="preserve">3.310" - 14.000" (84 mm - 355.6 mm) OD pipe range</t>
  </si>
  <si>
    <t xml:space="preserve">Powered by 115V electric motor with stepless speed control</t>
  </si>
  <si>
    <t>Tools</t>
  </si>
  <si>
    <t xml:space="preserve">Three tool-holding positions for simultaneous facing, beveling, and counterboring</t>
  </si>
  <si>
    <t xml:space="preserve">The MODEL 214B,E-115V,HD is a heavy-duty pipe beveling system delivering simultaneous beveling, facing, and counterboring for efficient pipe end preparation in field and shop applications. Its 115V electric motor with stepless speed control adapts to carbon steel and exotic alloys, while the three-tool-holding-position design allows all three operations in a single setup. Open construction provides full operator visibility and tool access. Portable with integrated handles, it is compatible with the full Tri-Tool range of bevel, face, and counter-bore bits. Pipe size range: 3.310–14.000" (84–355.6 mm), wall thickness up to 1.406" (35.7 mm). Speed: 20–90 RPM. Axial feed: 2.000" (50.8 mm). Feed rate: 0.083" per revolution (2.1 mm). Weight: 87 lbs (39.5 kg). Motor power: 2–3 hp. Removable cutting head. ID mandrel mount standard.</t>
  </si>
  <si>
    <t xml:space="preserve">Request Beveling System Information</t>
  </si>
  <si>
    <t xml:space="preserve">Portable Heavy-Duty Orbital Pipe Beveling System</t>
  </si>
  <si>
    <t xml:space="preserve">Multi-Operation Pipe Preparation System: The MODEL 214B electric delivers simultaneous beveling, facing, and counterboring capability for streamlined pipe end preparation in field and shop applications.</t>
  </si>
  <si>
    <t xml:space="preserve">- 3.310" - 14.000" OD range
- 115V electric motor
- 3 tool-holding positions
- Heavy-duty construction
- Stepless speed control</t>
  </si>
  <si>
    <t xml:space="preserve">- Up to 1.406" wall thickness
- Portable field design
- Simultaneous multi-tool operation
- ID mandrel mount
- 2 horsepower performance</t>
  </si>
  <si>
    <t xml:space="preserve">Upgrade to MODEL 214B Electric Beveling</t>
  </si>
  <si>
    <t xml:space="preserve">The MODEL 214B,E-115V,HD is available from Tri-Tool Technologies and authorized distributors. This heavy-duty electric beveling system is ideal for contractors, pipe fabricators, and construction firms requiring portable pipe end preparation capability. Contact our sales team for technical specifications, tool bit selection, and field support to optimize your pipe welding preparation efficiency.</t>
  </si>
  <si>
    <t xml:space="preserve">- Q1: What is the pipe OD range?
- Q2: What is the maximum wall thickness?
- Q3: How many tools can be positioned simultaneously?
- Q4: What power source is required?
- Q5: Is this portable for field use?</t>
  </si>
  <si>
    <t xml:space="preserve">- A1: The MODEL 214B accommodates pipes from 3.310" to 14.000" OD
- A2: The machine handles pipes with wall thickness up to 1.406"
- A3: Three tool-holding positions enable simultaneous beveling, facing, and counterboring
- A4: The electric version requires 115V AC electrical supply
- A5: Yes, the MODEL 214B is designed as a portable field and shop machine</t>
  </si>
  <si>
    <t>300MF</t>
  </si>
  <si>
    <t xml:space="preserve">MODEL 300 MICROFACER SYSTEM, 12V MAKITA</t>
  </si>
  <si>
    <t>01-2423</t>
  </si>
  <si>
    <t xml:space="preserve">Ultra-compact 12 V cordless pipe facing and squaring system powered by the Makita lithium-ion platform, covering OD 3.2–28.6 mm tubing with lightweight design for cleanroom, confined access, and autogenous orbital welding preparation.</t>
  </si>
  <si>
    <t xml:space="preserve">Ultra-compact 12V cordless pipe facing and squaring system</t>
  </si>
  <si>
    <t xml:space="preserve">Powered by Makita 12V lithium-ion battery platform</t>
  </si>
  <si>
    <t xml:space="preserve">Tube OD range: 0.125" - 1.125" (3.2 mm - 28.6 mm)</t>
  </si>
  <si>
    <t xml:space="preserve">Compact, lightweight design for cleanroom and restricted access applications</t>
  </si>
  <si>
    <t xml:space="preserve">The MODEL 300 MICROFACER SYSTEM is a portable, battery-powered tube squaring tool using a 12V Makita brushless motor for precise, low-contamination field and lab operations. Compact and lightweight, it suits cleanroom and aerospace applications. Variable-speed 0–2,000 RPM with decreasing-rate cam feed ensures precision square cuts with minimal burr. Tube/fitting OD: 0.125–1.125" (3.2–28.6 mm), wall thickness up to 0.125" (3.2 mm). Battery: 12V Li-ion 2.0Ah or 4.0Ah, runtime 30–60 min. Axial feed: 0.200" (5.1 mm). Weight: 2.5 lbs (1.1 kg). Accepts 301 series squaring bits. Includes field tool kit, charger, and dust collection port for clean operation.</t>
  </si>
  <si>
    <t xml:space="preserve">Request Cordless System Information</t>
  </si>
  <si>
    <t xml:space="preserve">Portable Cordless Tube Facing System for Precision Orbital Welding Preparation</t>
  </si>
  <si>
    <t xml:space="preserve">Portable Cordless Solution for Precision Tube Preparation: The 12V Makita-powered MODEL 300 delivers precision tube squaring capability for field and laboratory applications requiring portability and low contamination.</t>
  </si>
  <si>
    <t xml:space="preserve">- 0.125" - 1.125" OD range
- 12V cordless operation
- Makita battery compatible
- Ultra-compact design
- Precision feed control</t>
  </si>
  <si>
    <t xml:space="preserve">- Variable speed 0-2,000 RPM
- Decreasing-rate cam feed
- Minimal burr generation
- Cleanroom compatible
- 2.5 lb lightweight</t>
  </si>
  <si>
    <t xml:space="preserve">Deploy MODEL 300 for Portable Tube Squaring</t>
  </si>
  <si>
    <t xml:space="preserve">The MODEL 300 MICROFACER SYSTEM, 12V MAKITA is available from Tri-Tool Technologies and authorized distributors. This portable cordless tube squaring system is ideal for field operations, laboratory use, and any application requiring precision tube end preparation without electrical infrastructure. Contact our technical team for system configurations, bit selection, and operational training.</t>
  </si>
  <si>
    <t xml:space="preserve">- Q1: What is the tube OD range?
- Q2: What battery system is used?
- Q3: What is the maximum cutting speed?
- Q4: Is this suitable for cleanroom use?
- Q5: What is the maximum wall thickness?</t>
  </si>
  <si>
    <t xml:space="preserve">- A1: The MODEL 300 accommodates tubes from 0.125" to 1.125" OD
- A2: The system uses Makita 12V lithium-ion batteries (2.0Ah or 4.0Ah)
- A3: Variable speed up to 2,000 RPM provides optimal cutting for diverse materials
- A4: Yes, the ultra-compact design and low contamination make it ideal for cleanroom environments
- A5: The machine handles tubing with wall thickness up to 0.125"</t>
  </si>
  <si>
    <t>301SPB</t>
  </si>
  <si>
    <t xml:space="preserve">MODEL 301SP-B, CORDLESS, 18V</t>
  </si>
  <si>
    <t>01-1326</t>
  </si>
  <si>
    <t xml:space="preserve">Advanced 18 V cordless tube squaring machine with micro-fitting capability, quick-collet clamping for short stick-out tubing, precision OD saddle centering, and portable or benchtop mounting flexibility.</t>
  </si>
  <si>
    <t xml:space="preserve">Advanced cordless tube squaring machine with 18V lithium-ion battery</t>
  </si>
  <si>
    <t xml:space="preserve">Micro-fitting and short stick-out tube squaring capability</t>
  </si>
  <si>
    <t xml:space="preserve">Quick-collet design holds tubing with as little as 3/16" straight length</t>
  </si>
  <si>
    <t>Clamp</t>
  </si>
  <si>
    <t xml:space="preserve">Precision OD saddle clamp system for accurate tube centering</t>
  </si>
  <si>
    <t xml:space="preserve">The MODEL 301SP-B cordless tube squaring tool features an 18V brushless motor and quick-collet design to handle micro-fittings with minimal stick-out down to 0.190" (4.8 mm). Tube OD: 0.125–1.125" (3.2–28.6 mm), wall thickness up to 0.125" (3.2 mm). Variable speed 0–2,600 RPM, 30–60 min charging, decreasing-rate cam feed ensures square, burr-free cuts. Portable and bench-mountable, weight 3.5 lbs (1.6 kg). Accepts full 301 series squaring bits. Integrated dust collection maintains cleanroom compatibility. Ideal for high-precision orbital welding of micro-tubing.</t>
  </si>
  <si>
    <t xml:space="preserve">Request Advanced System Consultation</t>
  </si>
  <si>
    <t xml:space="preserve">Advanced Cordless Tube Squaring for Micro-Fitting and Field Applications</t>
  </si>
  <si>
    <t xml:space="preserve">Next-Generation Cordless Tube Squaring for Micro-Fittings: The MODEL 301SP-B quick-collet design solves short stick-out fixturing challenges previously impossible with conventional weld head systems.</t>
  </si>
  <si>
    <t xml:space="preserve">- 0.125" - 1.125" OD range
- 18V cordless operation
- Quick-collet design
- Short stick-out capability
- Portable/benchtop mounting</t>
  </si>
  <si>
    <t xml:space="preserve">- Variable speed to 2,600 RPM
- Micro-fitting compatible
- Tactile feed control
- 3.5 lb lightweight
- Decreasing-rate cam feed</t>
  </si>
  <si>
    <t xml:space="preserve">Implement MODEL 301SP-B Cordless Squaring</t>
  </si>
  <si>
    <t xml:space="preserve">The MODEL 301SP-B, CORDLESS, 18V is available from Tri-Tool Technologies and authorized distributors. This advanced cordless tube squaring machine is ideal for field operations, micro-fitting applications, and laboratory environments requiring portable precision tube end preparation. Contact our technical specialists to discuss micro-fitting applications, battery compatibility, and system configuration.</t>
  </si>
  <si>
    <t xml:space="preserve">- Q1: What is the minimum stick-out this machine can accommodate?
- Q2: What battery system is used?
- Q3: What is the maximum cutting speed?
- Q4: Can this be used for micro-fittings?
- Q5: Is benchtop mounting available?</t>
  </si>
  <si>
    <t xml:space="preserve">- A1: The quick-collet design holds tubing with stick-out as short as 3/16" (4.8 mm)
- A2: The MODEL 301SP-B uses 18V lithium-ion batteries compatible with standard 18V platforms
- A3: Variable speed up to 2,600 RPM provides optimal speed for diverse materials
- A4: Yes, the quick-collet design is specifically optimized for micro-fitting applications
- A5: Yes, optional mounting hardware enables benchtop installation for fixed-location use</t>
  </si>
  <si>
    <t>304</t>
  </si>
  <si>
    <t xml:space="preserve">MODEL 304E TUBE SQUARING MACHINE</t>
  </si>
  <si>
    <t>01-1684</t>
  </si>
  <si>
    <t xml:space="preserve">High-capacity tube facing and squaring machine covering 0.25–4.5 inch OD tubing with tool-free quick-change saddle sets and dual-range variable speed drive optimized for stainless steel, Inconel, and specialty alloys without surface damage.</t>
  </si>
  <si>
    <t xml:space="preserve">Broad capacity range 0.25" to 4.5" OD tubing enables single machine use for diverse welding applications</t>
  </si>
  <si>
    <t>Saddle</t>
  </si>
  <si>
    <t xml:space="preserve">Quick-change saddle sets (tool-free) with full OD support minimize tube distortion</t>
  </si>
  <si>
    <t>Drive</t>
  </si>
  <si>
    <t xml:space="preserve">Dual-range variable speed electric drive provides optimal cutting speed for stainless steel, inconel, and specialty alloys</t>
  </si>
  <si>
    <t xml:space="preserve">The MODEL 304E precision tube squaring system handles mid-range diameters with burr-free, perpendicular cuts essential for orbital welding. Quick-change saddle and three-position cutting head allow facing, beveling, and ID chamfering in one setup. Dual-range variable speed motor adapts to stainless steel, Inconel, and high-temp alloys. OD range: 0.25–4.5" (6.4–114.3 mm), wall thickness up to 0.25" (6.4 mm). Feed system: graduated adjustment. Weight: 40 lbs (18 kg). Power: 110V or 220V. Full-support saddle system or quick-change collets. Optional bench stand removable for in-place applications. Widely used in pharmaceutical, semiconductor, and aerospace fabrication.</t>
  </si>
  <si>
    <t xml:space="preserve">Versatile Tube Squaring System for Complex Weld Preparations</t>
  </si>
  <si>
    <t xml:space="preserve">Why comprehensive tube prep matters: The ability to square, bevel, and deburr in a single setup reduces production time, minimizes errors, and ensures consistent weld prep quality essential for high-reliability pharmaceutical, semiconductor, and aerospace applications.</t>
  </si>
  <si>
    <t xml:space="preserve">- 0.25" - 4.5" OD tubing capacity enables diverse applications
- Dual-range variable speed electric motor for material optimization
- Quick-change saddle sets require no tools for setup
- Full support OD mounting minimizes tube distortion
- Graduated feed indicator ensures precise cut depths</t>
  </si>
  <si>
    <t xml:space="preserve">- 3 tool bit slots allow facing, beveling, and ID deburring simultaneously
- Burr-free, perpendicular cutting (&lt;0.25mm perpendicularity)
- No damage to electropolished surfaces
- Suitable for stainless, inconel, and high-temp alloys
- Removable bench stand for in-place or portable use</t>
  </si>
  <si>
    <t xml:space="preserve">Configure Your MODEL 304E Tube Squaring System</t>
  </si>
  <si>
    <t xml:space="preserve">Streamline your tube preparation workflow with the MODEL 304E. This versatile system is ideal for pharmaceutical cleanrooms, semiconductor fabrication, and aerospace welding prep applications requiring multi-function tube prep. Available through authorized Tri Tool distributors with custom saddle sets and optional accessories for your specific requirements.</t>
  </si>
  <si>
    <t xml:space="preserve">- Q1: What is the maximum OD tubing the 304E can handle?
- Q2: What types of cutting operations does the 304E support?
- Q3: Can this machine handle stainless steel without damaging electropolished surfaces?
- Q4: How do I change between different tube sizes?
- Q5: What is the cutting precision of the 304E?</t>
  </si>
  <si>
    <t xml:space="preserve">- A1: The MODEL 304E accommodates tubing with outer diameters from 0.25" to 4.5" (6.4 to 114.3 mm)
- A2: The 304E can perform facing, squaring, beveling, ID chamfering, and counterboring with its 3 tool bit slots
- A3: Yes, the dual-range variable speed drive is optimized for stainless steel with no surface damage to electropolished finishes
- A4: Quick-change saddle sets enable tool-free changeover; simply swap saddles for different diameter ranges
- A5: The machine delivers burr-free perpendicular cuts with precision better than 0.25mm (0.009")</t>
  </si>
  <si>
    <t>306</t>
  </si>
  <si>
    <t xml:space="preserve">MODEL 306, 110V</t>
  </si>
  <si>
    <t>01-1894</t>
  </si>
  <si>
    <t xml:space="preserve">Electric orbital pipe facing and beveling machine powered by a 110 V motor, designed for 2–4 inch SCH 5/10 pipe with three tool bit slots and self-centering pads for distortion-free, burr-free weld preparation.</t>
  </si>
  <si>
    <t xml:space="preserve">Powerful 110V electric motor optimized for orbital pipe facing, beveling, and chamfering on 2" - 4" SCH 5/10 pipe</t>
  </si>
  <si>
    <t xml:space="preserve">Three tool bit slots enable simultaneous facing, beveling, and ID chamfering operations for complex orbital weld prep</t>
  </si>
  <si>
    <t>Pads</t>
  </si>
  <si>
    <t xml:space="preserve">Self-centering radiused pads prevent distortion of thin-wall pipe while delivering square, burr-free ends</t>
  </si>
  <si>
    <t xml:space="preserve">The MODEL 306 is designed for thin-wall pipe orbital welding preparation in aerospace, chemical processing, and pharmaceutical applications. Its self-centering radiused pads prevent distortion, while the three-position tool head handles facing, beveling, and chamfering in one setup. The 110V electric motor provides reliable performance. Pipe/tube size: 2–4" SCH 5 &amp; 10 (ID mount 2–4", 54.8–110.1 mm), OD max 4.5" (114.3 mm), wall thickness max 0.120" (3.0 mm). Axial feed: 1.500" (38.1 mm), feed rate 0.100" per revolution (2.5 mm). Weight: 25 lbs (11.3 kg). Cutting head slots: 3. Rotating head diameter: 4.0" (101.6 mm). Power: 9.6A@115V 50/60Hz. Dimensions: 23.13" H × 7.03" W (587 × 178 mm).</t>
  </si>
  <si>
    <t xml:space="preserve">Orbital Pipe Facing Tool for Thin-Wall Pipeline Preparation</t>
  </si>
  <si>
    <t xml:space="preserve">Thin-wall pipe requires specialized handling: The MODEL 306's self-centering design and precision feed control eliminate distortion while delivering the square, clean edges essential for reliable orbital welding in aerospace and pharmaceutical piping systems.</t>
  </si>
  <si>
    <t xml:space="preserve">- 110V electric motor for shop and production environments
- Self-centering radiused pads prevent thin-wall pipe distortion
- Three tool bit slots for multi-function operations
- Portable 25 lbs weight enables worksite operation
- 1.500" axial feed travel for controlled cutting</t>
  </si>
  <si>
    <t xml:space="preserve">- 2" - 4" SCH 5/10 pipe capacity
- 0.120" maximum wall thickness handling
- 0.100" per-revolution precise feed rate
- Burr-free, perpendicular cutting results
- Compatible with orbital welding weld heads</t>
  </si>
  <si>
    <t xml:space="preserve">Order Your MODEL 306 Pipe Facing Tool</t>
  </si>
  <si>
    <t xml:space="preserve">Achieve precision pipe end preparation for orbital welding systems with the MODEL 306, 110V. Ideal for aerospace, chemical, and pharmaceutical applications requiring thin-wall pipe protection. Available for purchase or rental through authorized Tri Tool distributors serving your region.</t>
  </si>
  <si>
    <t xml:space="preserve">- Q1: What is the maximum pipe size the MODEL 306 can accommodate?
- Q2: How does this machine prevent thin-wall pipe distortion?
- Q3: What operations can be performed?
- Q4: Is this machine portable?
- Q5: What is the cutting precision?</t>
  </si>
  <si>
    <t xml:space="preserve">- A1: The MODEL 306 is designed for 2" - 4" SCH 5 and SCH 10 pipe (54.8 - 110.1 mm)
- A2: Self-centering radiused pads provide even pressure distribution, protecting Schedule 5 and 10 thin-wall pipe from deformation
- A3: The 3 tool bit slots enable facing, beveling, and ID chamfering operations in a single setup
- A4: Yes, weighing 25 lbs, it can be transported to worksite locations and operated on standard 110V power
- A5: The machine delivers burr-free perpendicular cuts essential for orbital welding with controlled 0.100" per-revolution feed rate</t>
  </si>
  <si>
    <t>308</t>
  </si>
  <si>
    <t xml:space="preserve">MODEL 308-G2, FACING TOOL 1.000"-8.000"</t>
  </si>
  <si>
    <t>01-2652</t>
  </si>
  <si>
    <t xml:space="preserve">Precision counterbore cutting tool for 1–8 inch ID pipes featuring a 14.5° cutting angle, optimized 4:1 lead-out ratio, and 12.7 mm cutting depth for orbital weld beveling, counterboring, and ID deburring.</t>
  </si>
  <si>
    <t xml:space="preserve">Precision counterbore cutting tool engineered for 1.000" - 8.000" inner diameter pipe range with optimized 4:1 lead-out ratio</t>
  </si>
  <si>
    <t xml:space="preserve">Cutting Angle</t>
  </si>
  <si>
    <t xml:space="preserve">14.5-degree cutting angle designed for orbital welding pipe beveling and edge preparation on carbon steel and specialty alloys</t>
  </si>
  <si>
    <t>Depth</t>
  </si>
  <si>
    <t xml:space="preserve">1/2 inch (12.7mm) cutting depth capability enables both counterboring and ID deburring for comprehensive weld prep</t>
  </si>
  <si>
    <t xml:space="preserve">The MODEL 308-G2 counterbore bit is engineered for precise inner diameter counterboring in orbital welding, eliminating surface imperfections and ensuring proper pipe alignment. Compatible with Tri Tool BEVELMASTER machines. ID range: 1.000–8.000" (25.4–203.2 mm), cutting depth: 1/2" (12.7 mm), angle: 14.5°, lead out ratio: 4:1. Material: Durabit high-speed steel. Surface finish: precision ground. Weight: approx. 0.5 kg (1 lb). Part number: 99-2909. Ideal for carbon steel pipes in critical welding applications.</t>
  </si>
  <si>
    <t xml:space="preserve">Precision ID Counterbore Tool for Orbital Welding Preparation</t>
  </si>
  <si>
    <t xml:space="preserve">Why counterbore preparation matters: Precise counterboring removes surface imperfections, creates clean beveled edges, and ensures proper pipe alignment for orbital welding, reducing defects and improving overall weld quality and structural integrity.</t>
  </si>
  <si>
    <t xml:space="preserve">- 1:4 Lead Out Ratio ensures controlled, precise depth
- Durabit material provides extended tool life
- Compatible with proven Tri tool BEVELMASTER machines
- Suitable for carbon steel and orbital welding applications
- Form tool design for rapid setup and tool changes</t>
  </si>
  <si>
    <t xml:space="preserve">- 1/2 inch counterbore depth for intermediate applications
- 14.5-degree cutting angle optimized for pipe beveling
- Precision ground cutting edges for consistent results
- 1.000" - 8.000" ID range covers diverse pipe sizes
- Durabit composition delivers extended service life</t>
  </si>
  <si>
    <t xml:space="preserve">Order Your 308-G2 Counterbore Tool</t>
  </si>
  <si>
    <t xml:space="preserve">Ensure precise pipe end preparation for your orbital welding projects with the MODEL 308-G2 Counterbore Tool. Available for purchase from authorized Tri Tool distributors and equipment suppliers. Contact us for volume pricing and technical specifications tailored to your application requirements.</t>
  </si>
  <si>
    <t xml:space="preserve">- Q1: What is the maximum pipe ID that this tool can accommodate?
- Q2: What is the cutting depth of this counterbore tool?
- Q3: Which Tri Tool machines are compatible with this tool bit?
- Q4: What materials can this tool cut?
- Q5: How durable is the Durabit material?</t>
  </si>
  <si>
    <t xml:space="preserve">- A1: The MODEL 308-G2 is designed for pipes with inner diameters ranging from 1.000" to 8.000" (25.4 to 203.2 mm)
- A2: The tool provides a 1/2 inch (12.7 mm) counterbore depth, suitable for most orbital welding applications
- A3: This tool is compatible with Tri Tool BEVELMASTER Model 208B and 212B machines that accept form tool modules
- A4: The MODEL 308-G2 is specifically rated for carbon steel pipe and specialty alloys used in orbital welding applications
- A5: Durabit material provides extended tool life compared to standard high-speed steel, reducing replacement frequency and improving cost-effectiveness</t>
  </si>
  <si>
    <t>STS8-115CO</t>
  </si>
  <si>
    <t xml:space="preserve">MODEL STS-8,115V TSM  0.500 - 8.625</t>
  </si>
  <si>
    <t xml:space="preserve">Heavy-duty 115 V orbital facing machine for 0.5–8.625 inch OD tubing with automatic orbital positioning, Tube Stock Mandrel concentric clamping, and burr-free perpendicular cutting on stainless steel and specialty alloys.</t>
  </si>
  <si>
    <t xml:space="preserve">Heavy-duty 115V powered orbital facing machine engineered for tube squaring and facing from 0.500" to 8.625" OD with automatic orbital positioning</t>
  </si>
  <si>
    <t xml:space="preserve">Tube Stock Mandrel (TSM) system provides concentric clamping and precise workpiece alignment without deformation</t>
  </si>
  <si>
    <t xml:space="preserve">Advanced orbital drive mechanism produces consistent, burr-free perpendicular cuts on all stainless steel and specialty alloy pipes</t>
  </si>
  <si>
    <t xml:space="preserve">The STS-8, 115V Tube Stock Mandrel (TSM) orbital system provides high-precision tube end preparation across OD 0.500–8.625" (12.7–219 mm). The concentric clamping collets prevent workpiece deformation, critical for thin-wall stainless steel. 115V motor drives facing mechanism for burr-free perpendicular cuts &lt;0.25 mm. Operating modes: facing, squaring, beveling, counterboring. Feed: precision graduated system. Compatible with stainless steel, carbon steel, inconel, and high-temp alloys. Weight: 35 lbs (16 kg). Power: 12A@115V. Variable speed orbital drive.</t>
  </si>
  <si>
    <t xml:space="preserve">Orbital Tube Facing Machine for Wide Range Applications</t>
  </si>
  <si>
    <t xml:space="preserve">Wide-range tube facing is essential in production environments: The STS-8 TSM orbital system delivers consistent, burr-free results across diverse pipe diameters, reducing setup time and improving production efficiency for pharmaceutical and aerospace applications.</t>
  </si>
  <si>
    <t xml:space="preserve">- 0.500" - 8.625" OD capacity spans small to large diameter pipes
- 115V electric power for standard shop supply
- Tube Stock Mandrel (TSM) ensures concentric clamping without deformation
- Precision &lt;0.25mm perpendicularity for critical weld prep
- Multiple operation modes: facing, squaring, beveling, counterboring</t>
  </si>
  <si>
    <t xml:space="preserve">- Orbital drive mechanism for consistent, repeatable results
- Graduated feed control for precision depth management
- Suitable for all stainless steel and specialty alloys
- Burr-free cutting eliminates post-processing
- Single-machine solution for diverse pipe prep requirements</t>
  </si>
  <si>
    <t xml:space="preserve">Request Your STS-8, 115V TSM Orbital Facer</t>
  </si>
  <si>
    <t xml:space="preserve">Achieve precision tube facing across a wide range of pipe diameters with the MODEL STS-8, 115V TSM. This orbital facing machine is ideal for pharmaceutical cleanrooms, semiconductor fabrication, and aerospace welding prep applications. Contact authorized distributors for pricing and delivery options.</t>
  </si>
  <si>
    <t xml:space="preserve">- Q1: What is the OD range of this orbital facing machine?
- Q2: What cutting operations can be performed?
- Q3: How precise are the cuts?
- Q4: What materials can this machine process?
- Q5: Is the 115V power supply adequate?</t>
  </si>
  <si>
    <t xml:space="preserve">- A1: The MODEL STS-8, 115V TSM accommodates tubing from 0.500" to 8.625" OD (12.7 to 219.0 mm)
- A2: The machine can perform facing, squaring, beveling, and counterboring operations on a single workpiece
- A3: The orbital mechanism delivers perpendicular cuts with precision better than 0.25mm (0.009"), suitable for high-precision welding applications
- A4: It handles stainless steel, carbon steel, inconel, and other high-temperature alloys without surface damage
- A5: Yes, the machine draws only 12A@115V 50/60Hz, making it suitable for standard shop electrical systems</t>
  </si>
  <si>
    <t>STS8-220CO</t>
  </si>
  <si>
    <t xml:space="preserve">MODEL STS-8,230V TSM  0.500 - 8.625</t>
  </si>
  <si>
    <t xml:space="preserve">High-power 230 V orbital facing machine for 0.5–8.625 inch OD tubing, featuring Tube Stock Mandrel concentric clamping, enhanced torque and speed control, and global-ready power for pharmaceutical and semiconductor production.</t>
  </si>
  <si>
    <t xml:space="preserve">High-power 230V orbital facing machine for production environments requiring enhanced torque and speed control</t>
  </si>
  <si>
    <t xml:space="preserve">0.500" to 8.625" OD tubing</t>
  </si>
  <si>
    <t xml:space="preserve">Tube Stock Mandrel (TSM) system with concentric clamping ensures zero deformation on thin-wall stainless steel pipes</t>
  </si>
  <si>
    <t>Deployment</t>
  </si>
  <si>
    <t xml:space="preserve">International 230V standard power enables global deployment in pharmaceutical and semiconductor fabrication centers</t>
  </si>
  <si>
    <t xml:space="preserve">The STS-8, 230V TSM provides international 230V compatibility with enhanced torque for high-production orbital facing. OD 0.500–8.625" (12.7–219 mm). Variable speed 150–300 RPM. Tube Stock Mandrel ensures zero deformation on thin-wall stainless steel. Cutting precision &lt;0.25 mm. Operating modes: facing, squaring, beveling, counterboring, chamfering. Material compatibility: stainless steel, carbon steel, inconel, titanium, specialty alloys. Weight: 38 lbs (17 kg). Power: 8A@230V. Precision feed system with electronic control.</t>
  </si>
  <si>
    <t xml:space="preserve">Get Specifications</t>
  </si>
  <si>
    <t xml:space="preserve">International Orbital Facing Solution for High-Performance Production</t>
  </si>
  <si>
    <t xml:space="preserve">International production standards demand precision: The STS-8, 230V TSM orbital system combines 230V global power compatibility with enhanced cutting performance, delivering consistent results for pharmaceutical, semiconductor, and aerospace applications worldwide.</t>
  </si>
  <si>
    <t xml:space="preserve">- 0.500" - 8.625" OD capacity for diverse pipe sizes
- 230V electric power for international supply standards
- Tube Stock Mandrel (TSM) ensures zero pipe deformation
- Enhanced torque for thick-wall and exotic alloy cutting
- Variable speed control 150-300 RPM for material optimization</t>
  </si>
  <si>
    <t xml:space="preserve">- Precision &lt;0.25mm perpendicularity for high-reliability welding
- Multiple operation modes: facing, squaring, beveling, counterboring
- Burr-free cutting reduces secondary finishing
- Electronic feed control for repeatability
- 8A@230V low power draw</t>
  </si>
  <si>
    <t xml:space="preserve">Specify Your STS-8, 230V TSM Orbital Facing Machine</t>
  </si>
  <si>
    <t xml:space="preserve">Deploy high-performance tube facing across your international operations with the STS-8, 230V TSM. This orbital facing machine is ideal for high-volume pharmaceutical, semiconductor, and aerospace fabrication facilities requiring consistent, burr-free tube preparation. Available through authorized international distributors.</t>
  </si>
  <si>
    <t xml:space="preserve">- Q1: What is the power standard for this machine?
- Q2: What is the speed range?
- Q3: Can this machine handle thick-wall pipes?
- Q4: What is the clamping system?
- Q5: How does this compare to the 115V model?</t>
  </si>
  <si>
    <t xml:space="preserve">- A1: The STS-8, 230V TSM is designed for 230V 50/60Hz power supplies, standard in Europe and international markets
- A2: The machine offers variable speed control from 150-300 RPM, allowing optimization for different materials and wall thicknesses
- A3: Yes, the enhanced 230V motor provides higher torque suitable for thick-wall and exotic alloy cutting
- A4: The Tube Stock Mandrel (TSM) system provides concentric clamping that maintains zero deformation on thin-wall pipes
- A5: The 230V model offers enhanced power for production environments, higher torque, and variable speed control for optimal cutting performance</t>
  </si>
  <si>
    <t>MSFIRE4V110</t>
  </si>
  <si>
    <t xml:space="preserve">MODEL SUREFIRE 4, 110V</t>
  </si>
  <si>
    <t>01-2591</t>
  </si>
  <si>
    <t xml:space="preserve">Tube Welding | Pipe Preparation Tool</t>
  </si>
  <si>
    <t xml:space="preserve">Robust 110 V electric pipe facing machine for 2–4 inch SCH 5/10 thin-wall pipe with self-centering pads, three tool bit slots, and consistent cutting performance for orbital weld preparation without surface damage.</t>
  </si>
  <si>
    <t xml:space="preserve">Robust 110V electric pipe facer engineered for 2" - 4" SCH 5/10 schedule thin-wall pipe</t>
  </si>
  <si>
    <t xml:space="preserve">Self-centering radiused pads preventing distortion</t>
  </si>
  <si>
    <t xml:space="preserve">Three tool bit slots enable facing, beveling, and chamfering operations for comprehensive orbital weld prep</t>
  </si>
  <si>
    <t xml:space="preserve">Powerful electric motor delivers consistent cutting performance without damaging thin-wall stainless steel surfaces</t>
  </si>
  <si>
    <t xml:space="preserve">The SUREFIRE 4 is designed for thin-wall pipe (2–4" SCH 5 &amp; 10) orbital welding preparation. Self-centering radiused pads prevent distortion. 110V motor provides consistent cutting performance. Three tool bit slots allow facing, beveling, and ID chamfering in one setup. OD max: 4.5" (114.3 mm), ID chamfering: 1.6–4.19" (40.6–106.4 mm), wall thickness max: 0.120" (3.0 mm). Axial feed: 1.5" (38.1 mm), feed rate: 0.100"/rev (2.5 mm). Weight: 25 lbs (11.3 kg). Minimum electric power: 9.6A@115V.</t>
  </si>
  <si>
    <t xml:space="preserve">Compact Pipe Facer for Thin-Wall Orbital Welding Prep</t>
  </si>
  <si>
    <t xml:space="preserve">Thin-wall pipe faces unique challenges: The SUREFIRE 4's self-centering design and multi-function capability deliver precise, distortion-free preparation essential for reliable orbital welding in aerospace and pharmaceutical systems.</t>
  </si>
  <si>
    <t xml:space="preserve">- 110V electric power for standard shop environments
- Self-centering radiused pads prevent thin-wall pipe distortion
- Three tool bit slots for multi-function operations
- Portable 25 lbs weight for worksite use
- 1.500" axial feed travel for controlled cutting depth</t>
  </si>
  <si>
    <t xml:space="preserve">- 2" - 4" SCH 5/10 schedule thin-wall pipe capacity
- 0.120" maximum wall thickness
- 0.100" per-revolution feed rate
- Burr-free perpendicular cutting results
- Compatible with aerospace and pharmaceutical welding standards</t>
  </si>
  <si>
    <t xml:space="preserve">Order Your SUREFIRE 4, 110V Pipe Facer</t>
  </si>
  <si>
    <t xml:space="preserve">Prepare thin-wall pipes for orbital welding with the SUREFIRE 4, 110V. This compact pipe facer is available for purchase or rental through authorized Tri Tool distributors specializing in aerospace and pharmaceutical welding equipment. Request volume pricing for your facility.</t>
  </si>
  <si>
    <t xml:space="preserve">- Q1: What pipe sizes does the SUREFIRE 4 handle?
- Q2: How does it prevent pipe distortion?
- Q3: What operations can be performed?
- Q4: Is 110V power adequate?
- Q5: Is the machine portable?</t>
  </si>
  <si>
    <t xml:space="preserve">- A1: The machine is designed for 2" - 4" SCH 5 and SCH 10 schedule thin-wall pipes (54.8 - 110.1 mm)
- A2: Self-centering radiused pads provide even clamping pressure across the pipe circumference
- A3: Three tool bit slots enable facing, beveling, and ID chamfering operations
- A4: Yes, the motor draws 9.6A@115V 50/60Hz, suitable for standard shop electrical systems
- A5: Yes, weighing 25 lbs, the SUREFIRE 4 can be transported to job sites and used on portable stands</t>
  </si>
  <si>
    <t>MSFIRE8V110</t>
  </si>
  <si>
    <t xml:space="preserve">MODEL SUREFIRE 8, 110V</t>
  </si>
  <si>
    <t>01-2590</t>
  </si>
  <si>
    <t xml:space="preserve">Heavy-duty 110 V electric pipe facing machine for 3–8 inch SCH 5/10 thin-wall pipe, featuring self-centering pads, multi-tool capability, and high-torque motor for consistent large-diameter weld preparation.</t>
  </si>
  <si>
    <t xml:space="preserve">Heavy-duty 110V electric pipe facer engineered for 3" - 8" SCH 5/10 schedule thin-wall pipe</t>
  </si>
  <si>
    <t xml:space="preserve">Three tool bit slots enable facing, beveling, and ID chamfering for comprehensive orbital weld prep</t>
  </si>
  <si>
    <t xml:space="preserve">High-torque electric motor delivers powerful, consistent cutting on large-diameter stainless steel pipes</t>
  </si>
  <si>
    <t xml:space="preserve">The SUREFIRE 8 handles large-diameter thin-wall pipes (3–8" SCH 5 &amp; 10). Self-centering radiused pads and high-torque 110V motor ensure distortion-free preparation. Three tool bit slots accommodate facing, beveling, and ID chamfering. Axial feed: 2.000" (50.8 mm), feed rate: 0.083"/rev (2.1 mm). OD max: 8.63" (219.2 mm), ID chamfering: 3.26–8.407" (82.8–213.5 mm), wall thickness max: 0.148" (3.8 mm). Weight: 55 lbs (25.2 kg). Rotating head diameter: 9.16" (232.7 mm). Minimum electric power: 16.3A@115V.</t>
  </si>
  <si>
    <t xml:space="preserve">Professional-Grade Pipe Facer for Large-Diameter Orbital Welding</t>
  </si>
  <si>
    <t xml:space="preserve">Large-diameter thin-wall pipe requires robust equipment: The SUREFIRE 8's extended reach and high-torque motor deliver consistent, distortion-free preparation for complex orbital welding applications in aerospace and power generation.</t>
  </si>
  <si>
    <t xml:space="preserve">- 110V electric motor with high-torque capability for large-diameter pipes
- Self-centering radiused pads prevent thin-wall pipe distortion
- Three tool bit slots for multi-function operations
- 2.000" axial feed travel for extended cutting capability
- 55 lbs weight with mandrel for stable operation</t>
  </si>
  <si>
    <t xml:space="preserve">- 3" - 8" SCH 5/10 schedule thin-wall pipe capacity
- 0.148" maximum wall thickness handling
- 0.083" per-revolution feed rate for precision
- 9.16" rotating head diameter for large pipes
- 16.3A@115V power draw</t>
  </si>
  <si>
    <t xml:space="preserve">Request Your SUREFIRE 8, 110V Pipe Facer</t>
  </si>
  <si>
    <t xml:space="preserve">Handle large-diameter thin-wall pipe preparation with the SUREFIRE 8, 110V. This professional-grade pipe facer is ideal for aerospace, power generation, and pharmaceutical applications. Available for purchase or rental through authorized distributors.</t>
  </si>
  <si>
    <t xml:space="preserve">- Q1: What is the maximum pipe size the SUREFIRE 8 can handle?
- Q2: What is the feed travel distance?
- Q3: Can it prevent thin-wall pipe distortion?
- Q4: What power requirements?
- Q5: Can it perform multiple operations?</t>
  </si>
  <si>
    <t xml:space="preserve">- A1: The machine accommodates 3" - 8" SCH 5 and SCH 10 pipes (82.8 - 213.5 mm)
- A2: The SUREFIRE 8 provides 2.000" (50.8 mm) axial feed travel, enabling complex weld end preparation
- A3: Yes, the self-centering radiused pads provide even clamping pressure
- A4: The 110V motor draws 16.3A@115V 50/60Hz, requiring standard shop electrical service
- A5: Yes, three tool bit slots enable facing, beveling, and ID chamfering in single setup</t>
  </si>
  <si>
    <t>300STS1</t>
  </si>
  <si>
    <t xml:space="preserve">STS-1,110V CORDLESS FACER .125"-1.125"</t>
  </si>
  <si>
    <t>01-2534</t>
  </si>
  <si>
    <t xml:space="preserve">STS-1 cordless tube facer with 110 V motor and charger, OD saddle clamping system for .125–1.125" tubing, and variable feed for precise tube facing.</t>
  </si>
  <si>
    <t xml:space="preserve">Portable cordless tube squaring machine with lithium-ion battery</t>
  </si>
  <si>
    <t xml:space="preserve">18V electric motor option with variable speed control</t>
  </si>
  <si>
    <t xml:space="preserve">Tube squaring range: 0.125" to 1.125" OD</t>
  </si>
  <si>
    <t xml:space="preserve">Ultra-compact design with minimal clearance requirements</t>
  </si>
  <si>
    <t xml:space="preserve">The STS-1 CORDLESS FACER is a portable tube squaring machine for small-diameter tubes (0.125–1.125" OD, wall thickness up to 0.125"). 18V lithium-ion cordless motor with variable speed control enables field-ready operation in confined spaces. Axial feed travel: 0.200" (5.1 mm). Single-tool holder design compatible with Tri Tool DURABIT bits. Weight: 7.3–8.7 lbs (3.3–4.0 kg). Dimensions: L 10.9" × W 3.1" × H 11.9" (276×78×302 mm). Optional 110V/220V corded motor for continuous operation. Ultra-compact for tight access areas.</t>
  </si>
  <si>
    <t xml:space="preserve">Order Machine</t>
  </si>
  <si>
    <t xml:space="preserve">Cordless Tube Squaring Machine for Small Diameter Tubes</t>
  </si>
  <si>
    <t xml:space="preserve">Why cordless tube squaring matters: Portable field-ready equipment enables on-site tube preparation without shop infrastructure. The STS-1 CORDLESS FACER delivers precision end preparation for small-diameter tubes in confined space locations.</t>
  </si>
  <si>
    <t xml:space="preserve">- 0.125" - 1.125" OD tube range
- 18V lithium-ion cordless motor
- 110V/220V corded option available
- Ultra-compact field-ready design
- Variable speed control</t>
  </si>
  <si>
    <t xml:space="preserve">- Tri Tool DURABIT bit compatible
- Single cutting head slot design
- 7.3 lbs total weight (cordless)
- Minimal electric power requirement
- Bench stand assembly available</t>
  </si>
  <si>
    <t xml:space="preserve">Get Your STS-1 Cordless Tube Squaring Machine Today</t>
  </si>
  <si>
    <t xml:space="preserve">Streamline field tube preparation with the compact STS-1 cordless FACER designed for small-diameter tubes. This portable machine enables on-site edge preparation without shop infrastructure. Available for purchase from orbital welding equipment suppliers and tube preparation specialists. Contact us for system specifications, battery options, and field deployment support.</t>
  </si>
  <si>
    <t xml:space="preserve">- Q1: What tube sizes does the STS-1 accommodate?
- Q2: How long does the 18V lithium-ion battery last during operation?
- Q3: How compact is this machine for field deployment?
- Q4: What tool bits are compatible?
- Q5: Can I use this machine without electrical infrastructure?</t>
  </si>
  <si>
    <t xml:space="preserve">- A1: The STS-1 cordless facer covers tube OD from 0.125" to 1.125" with maximum wall thickness of 0.125"
- A2: Battery runtime depends on cutting intensity; corded 110V/220V option available for unlimited operation
- A3: Ultra-compact design enables operation in confined spaces where larger equipment cannot fit
- A4: The machine accepts Tri Tool DURABIT tool bits optimized for orbital welding preparation
- A5: Yes, the cordless 18V lithium-ion option eliminates extension cord requirements for field locations</t>
  </si>
  <si>
    <t>STS4-115V</t>
  </si>
  <si>
    <t xml:space="preserve">STS-4 DC,115V (CORDLESS) .250 - 4.50</t>
  </si>
  <si>
    <t>01-2693</t>
  </si>
  <si>
    <t xml:space="preserve">Cordless tube squaring machine for 0.250"–4.50" OD tubing, delivering square, burr-free tube ends with portable 115 V DC operation.</t>
  </si>
  <si>
    <t xml:space="preserve">Cordless tube squaring &amp; facing machine</t>
  </si>
  <si>
    <t xml:space="preserve">Faces/squares .250″–4.50″ OD tubes</t>
  </si>
  <si>
    <t xml:space="preserve">Variable dual‑range brushless drive motor for clean cutting/squaring</t>
  </si>
  <si>
    <t xml:space="preserve">Portable and lightweight for field or bench use </t>
  </si>
  <si>
    <t xml:space="preserve">The Tri Tool STS‑4 DC is a cordless benchtop tube squaring and facing machine engineered for precise weld preparation on pipe and tube ends from .250″ to 4.50″ (6.35 mm – 114.3 mm) OD. It features a toolless quick‑change saddle system and dual‑range variable‑speed brushless drive for clean, burr‑free squaring, facing, beveling, and even ID deburring tasks. An upgraded metal chip guard and high‑visibility design enhance durability and operator safety. The package includes the STS‑4 machine sub‑assembly, cordless drive motor, wrench kit, carrying case, and operator’s manual, making it ideal for cleanroom, industrial fabrication, and production environments.</t>
  </si>
  <si>
    <t xml:space="preserve">Cordless Benchtop Tube Squaring &amp; Facing Machine for Tubing (OD 0.250” – 4.500”)</t>
  </si>
  <si>
    <t xml:space="preserve">Heavy‑Duty Tube Prep: The STS‑4 DC cordless tube squarer from Tri Tool delivers precision squaring, facing, beveling &amp; ID deburring for tube OD .250” – 4.500”, letting professionals prep tubing in workshops or field environments without AC cords.</t>
  </si>
  <si>
    <t xml:space="preserve">- Cordless 115 V DC model
- Supports OD .250 – 4.500” (6.35–114.3 mm) tube
- Brushless variable speed drive
- Quick‑change tool‑free saddles
- Integrated Lumen work light</t>
  </si>
  <si>
    <t xml:space="preserve">- ~8.3 kg (18.3 lb) machine weight (corded spec – cordless similar)
- Bench‑top footprint (~482 × 304 × 229 mm est.)
- Carrying case included
- Works with facing/bevel/debur bits</t>
  </si>
  <si>
    <t xml:space="preserve">Cordless Tube Facing &amp; Squaring Machine for .250–4.50"</t>
  </si>
  <si>
    <t xml:space="preserve">The STS‑4 cordless tube squaring machine from Tri Tool efficiently faces, squares, bevels, and ID preps tubes from .250" to 4.500" OD with an OD saddle mount and tool‑less quick‑change saddles for fast setup. Its cordless design and integral lighting improve visibility and durability in shop or field environments. </t>
  </si>
  <si>
    <t xml:space="preserve">- Q1: What tube size range can the STS‑4 DC handle?
- Q2: What operations is the STS‑4 DC designed for?
- Q3: What power options does the STS‑4 DC support?
- Q4: What design features help improve accuracy?
- Q5: What are typical accessories or included components?</t>
  </si>
  <si>
    <t xml:space="preserve">- A1: The STS‑4 DC tube squaring machine handles tubing from .250″ to 4.50″ outside diameter and walls up to approximately .250″ thickness.
- A2: It is designed for facing and squaring tube ends for weld preparation, and can accept up to three tool bits for squaring, beveling, counterboring or facing simultaneously.
- A3: It supports cordless 115 V electric operation with an integral, dual‑range variable speed electric drive motor that can be used without cords.
- A4: Quick‑change saddle sets and a .001″ graduated feed dial help improve accuracy and repeatability when squaring tube ends.
- A5: Typical components include the squaring machine body, variable speed drive motor, quick‑change saddles, and a set of wrenches for operation.</t>
  </si>
  <si>
    <t>30000-BLK</t>
  </si>
  <si>
    <t xml:space="preserve">AKETEK LIFT-UP WELDING HELMET, BLACK</t>
  </si>
  <si>
    <t>30000</t>
  </si>
  <si>
    <t>AKETEK</t>
  </si>
  <si>
    <t xml:space="preserve">Safety Equipment | Welding Helmet</t>
  </si>
  <si>
    <t xml:space="preserve">Auto-darkening lift-up welding helmet in black, offering full-face protection, adjustable shade settings, and quick flip-up visibility.</t>
  </si>
  <si>
    <t>Optics</t>
  </si>
  <si>
    <t xml:space="preserve">Auto‑darkening filter with light state shade 3, dark 8‑12</t>
  </si>
  <si>
    <t>Visor</t>
  </si>
  <si>
    <t xml:space="preserve">Lift‑up visor for inspection and grinding without removal</t>
  </si>
  <si>
    <t xml:space="preserve">Rated high optical class with UV/IR protection (EN379/ISO16321)</t>
  </si>
  <si>
    <t>Convenience</t>
  </si>
  <si>
    <t xml:space="preserve">“Always on” ADF with smart auto‑delay </t>
  </si>
  <si>
    <t xml:space="preserve">The AKETEK® Lift‑Up welding helmet in black features a premium auto‑darkening filter with a light state shade of 3 and adjustable dark state shades from 8–12, delivering excellent optical clarity and protection during MIG/MAG, MMA, TIG, plasma welding, cutting, and grinding. Its patented lift‑up visor reveals a large 170 × 85 mm clear viewing area for inspection and grinding without removing the helmet, improving work efficiency. The helmet meets optical class 1/1/1/1 with V1 angular dependence and always‑on technology for instant readiness, providing reliable protection and comfort for professional welders.</t>
  </si>
  <si>
    <t xml:space="preserve">Premium Auto‑Darkening Welding Helmet with Flip‑Up Visor for Welding &amp; Grinding</t>
  </si>
  <si>
    <t xml:space="preserve">Lift‑Up Convenience: This auto‑darkening welding helmet from AKETEK features a smart ADF with adaptable delay, a flip‑up protective visor for easy grinding/inspection without helmet removal, and high optical clarity.</t>
  </si>
  <si>
    <t xml:space="preserve">- Auto‑darkening filter (ADF)
- Light shade 3 and variable dark shade 8‑12
- Large flip‑up visor (170×85 mm viewing area)
- Smart auto‑delay feature
- Rated optical class 1/1/1/1 &amp; V1</t>
  </si>
  <si>
    <t xml:space="preserve">- Weight ~680 g
- PA66 durable shell
- Compliant with ANSI Z87.1 &amp; ISO16321
- Comfortable adjustable headgear</t>
  </si>
  <si>
    <t xml:space="preserve">Auto‑Darkening Lift‑Up Welding Helmet with Flip‑Up Visor</t>
  </si>
  <si>
    <t xml:space="preserve">The AKETEK® Lift‑Up welding helmet combines advanced auto‑darkening filtration with a unique lift‑up visor that lets you transition seamlessly between welding, grinding, and inspection without removing the helmet. Rated 1/1/1/1 optical clarity with a shade range of 3 light to 8‑12 dark, it enhances protection and convenience. </t>
  </si>
  <si>
    <t xml:space="preserve">- Q1: What welding processes is the Lift‑Up helmet suitable for?
- Q2: What is the main feature of the Lift‑Up model?
- Q3: What shading range does the auto‑darkening filter provide?
- Q4: How does the visor improve workflow?
- Q5: What comfort or usability features does it offer?</t>
  </si>
  <si>
    <t xml:space="preserve">- A1: The AKETEK Lift‑Up welding helmet is suitable for electric arc welding (MIG/MAG, MMA, TIG), plasma welding &amp; cutting, and grinding.
- A2: Its defining feature is the lift‑up visor, which flips up to reveal a large transparent protective screen without removing the helmet.
- A3: It has a light state shade of 3 and a variable dark shade range of 8‑12 for optimal eye protection.
- A4: The visor allows welders to inspect and grind work without taking off the helmet, improving efficiency.
- A5: The helmet includes smart auto‑delay electronics and ergonomic headgear for comfort during long work sessions.</t>
  </si>
  <si>
    <t>20002-BLK</t>
  </si>
  <si>
    <t xml:space="preserve">AKETEK VIEW WELDING HELMET, BLACK</t>
  </si>
  <si>
    <t>20002</t>
  </si>
  <si>
    <t xml:space="preserve">Full-coverage auto-darkening welding helmet in black, with wide viewing area, lightweight shell, and adjustable sensitivity and delay.</t>
  </si>
  <si>
    <t xml:space="preserve">Auto‑darkening filter with light state shade 3 and variable dark shade 8‑12</t>
  </si>
  <si>
    <t>Protection</t>
  </si>
  <si>
    <t xml:space="preserve">High optical clarity and safety ratings (EN379 1/1/1/1)</t>
  </si>
  <si>
    <t xml:space="preserve">Lightweight ergonomic design for all welding/grinding</t>
  </si>
  <si>
    <t xml:space="preserve">Smart auto‑delay and “always on” operation </t>
  </si>
  <si>
    <t xml:space="preserve">The AKETEK® VIEW welding helmet in black offers advanced auto‑darkening protection for electric arc welding (MIG/MAG, MMA, TIG), plasma cutting, and grinding with a light state shade of 3 and variable dark state range of 8–12. Rated optical class 1/1/1/1 and compliant with ISO16321 and ANSI Z87.1 standards, it provides enhanced clarity and safety with smart auto‑delay technology and “always on” functionality. The helmet’s lightweight ergonomic design with adjustable headgear makes it comfortable for extended use, while its long‑lasting filter technology delivers up to 88,000 hours of operating life.</t>
  </si>
  <si>
    <t xml:space="preserve">Advanced Auto‑Darkening Welding Helmet with True Colour Optics</t>
  </si>
  <si>
    <t xml:space="preserve">True Colour Protection: The AKETEK View auto‑darkening helmet delivers superb optical clarity and energy‑efficient long life, designed for MIG/MAG, MMA, TIG, plasma welding/cutting and grinding.</t>
  </si>
  <si>
    <t xml:space="preserve">- Auto‑darkening filter (ADF)
- Light shade 3 / dark 8‑12
- True Colour optics technology
- Optical class 1/1/1/1
- Two arc sensors</t>
  </si>
  <si>
    <t xml:space="preserve">- Weight ~530 g
- Viewing area ~100×54 mm
- PA6 shell material
- Complies with EN‑379 &amp; ANSI Z87.1</t>
  </si>
  <si>
    <t xml:space="preserve">Next‑Gen Auto‑Darkening Welding Helmet with Premium Optics</t>
  </si>
  <si>
    <t xml:space="preserve">The AKETEK® VIEW welding helmet features Swedish‑engineered optics with superior True Colour clarity, a variable dark shade range 8‑12 and light state shade 3, and smart auto‑delay that adapts to welding speed. Designed for MIG/MAG, TIG, MMA, plasma welding/cutting, and grinding tasks. </t>
  </si>
  <si>
    <t xml:space="preserve">- Q1: What welding and cutting tasks is the View helmet designed for?
- Q2: What optical quality does the auto‑darkening filter provide?
- Q3: What shade levels are available?
- Q4: What safety and comfort features does the helmet include?
- Q5: How long does the helmet’s ADF battery life typically last?</t>
  </si>
  <si>
    <t xml:space="preserve">- A1: The AKETEK View welding helmet is designed for electric arc welding (MIG/MAG, MMA, TIG), plasma welding &amp; cutting, and grinding.
- A2: It offers excellent optical clarity rated 1/1/1/1 with TrueColor high‑clarity optics.
- A3: The viewing system provides a light state shade of 3 and variable dark state shade levels from 8‑12.
- A4: It includes smart auto‑delay features and ergonomic headgear with multiple adjustment points for comfort.
- A5: The auto‑darkening filter’s battery life can last upwards of 88,000 hours.</t>
  </si>
  <si>
    <t>20003-DBLUE</t>
  </si>
  <si>
    <t xml:space="preserve">AKETEK VIEW WELDING HELMET, DARK BLUE</t>
  </si>
  <si>
    <t>20003</t>
  </si>
  <si>
    <t xml:space="preserve">Dark blue auto-darkening welding helmet with wide viewing window, lightweight design, and customizable sensitivity for TIG and MIG applications.</t>
  </si>
  <si>
    <t xml:space="preserve">The AKETEK® VIEW welding helmet in dark blue delivers professional‑grade auto‑darkening protection with a light state shade of 3 and variable dark state range of 8–12, suitable for MIG/MAG, MMA, TIG welding, plasma cutting, and grinding. Rated optical class 1/1/1/1 with V1 angular dependence, it ensures excellent visibility and safety. Featuring smart auto‑delay technology and “always on” convenience, the lightweight ergonomic helmet includes adjustable headgear for long shifts and durable construction for daily welding tasks.</t>
  </si>
  <si>
    <t xml:space="preserve">Same Advanced Auto‑Darkening Welding Helmet, Dark Blue Edition</t>
  </si>
  <si>
    <t xml:space="preserve">True Colour Protection: Same high‑clarity auto‑darkening helmet as the standard VIEW model, in dark blue finish — ideal for professional and hobby welding tasks.</t>
  </si>
  <si>
    <t xml:space="preserve">- Auto‑darkening filter (ADF)
- Light shade 3 / dark 8‑12
- True Colour optics
- Good for MIG/TIG/MMA &amp; plasma welding</t>
  </si>
  <si>
    <t xml:space="preserve">- Weight ~530 g
- EN‑379/ISO16321/ANSI Z87.1 compliant
- Adjustable headgear
- Comfortable ergonomic design</t>
  </si>
  <si>
    <t xml:space="preserve">- Q1: What welding and cutting tasks is this helmet suitable for?
- Q2: What optical clarity does the auto‑darkening filter offer?
- Q3: What shade range does the View helmet use?
- Q4: What comfort features does the helmet have?
- Q5: What is typical battery life for the filter?</t>
  </si>
  <si>
    <t xml:space="preserve">- A1: This version of the AKETEK View helmet is suitable for MIG/MAG, MMA, TIG welding, plasma welding &amp; cutting, and grinding tasks.
- A2: The helmet’s filter provides high optical clarity with a 1/1/1/1 rating.
- A3: It supports a light shade of 3 and a dark variable shade between 8 and 12.
- A4: It has ergonomic headgear that adjusts for comfort and a smart auto‑delay feature to adapt to welding speed.
- A5: The helmet’s auto‑darkening filter offers long battery life, up to around 88,000 hours.</t>
  </si>
  <si>
    <t>20004-LBLUE</t>
  </si>
  <si>
    <t xml:space="preserve">AKETEK VIEW WELDING HELMET, LIGHT BLUE</t>
  </si>
  <si>
    <t>20004</t>
  </si>
  <si>
    <t xml:space="preserve">Light blue auto-darkening welding helmet with full-face coverage, adjustable shade, and reliable arc detection for all welding types.</t>
  </si>
  <si>
    <t xml:space="preserve">The AKETEK® VIEW welding helmet in light blue combines advanced auto‑darkening optics with a light state shade of 3 and dark state range of 8–12 for reliable protection across MIG/MAG, MMA, TIG welding, plasma cutting, and grinding. With optical class 1/1/1/1 clarity and smart auto‑delay technology, it adjusts dynamically to your welding speed. The helmet’s ergonomic design and adjustable headgear provide comfort for extended use, while its durable construction and long‑lasting filter ensure dependable performance.</t>
  </si>
  <si>
    <t xml:space="preserve">Same Advanced Auto‑Darkening Welding Helmet, Light Blue Edition</t>
  </si>
  <si>
    <t xml:space="preserve">True Colour Protection: The AKETEK VIEW helmet with auto‑darkening filter and light blue shell finish for the same performance and protection as other VIEW variants.</t>
  </si>
  <si>
    <t xml:space="preserve">- Auto‑darkening ADF, shade 8‑12
- Light shade 3
- True colour technology
- Optical class 1/1/1/1</t>
  </si>
  <si>
    <t xml:space="preserve">- ~530 g weight
- Comfortable adjustable headgear
- Material PA6
- ANSI Z87.1 / ISO16321 compliance</t>
  </si>
  <si>
    <t xml:space="preserve">- Q1: What kinds of welding and cutting can this helmet handle?
- Q2: What quality rating does the auto‑darkening filter have?
- Q3: What shade settings does the filter offer?
- Q4: What ergonomic or usability features does the helmet include?
- Q5: How long is the filter’s typical operational life?</t>
  </si>
  <si>
    <t xml:space="preserve">- A1: The AKETEK View helmet supports electric arc welding (MIG/MAG, MMA, TIG), as well as plasma welding/cutting and grinding applications.
- A2: It features high optical clarity rated 1/1/1/1 with TrueColor technology.
- A3: The helmet’s filter offers a light state shade of 3 and dark state adjustable between 8 and 12.
- A4: It includes smart auto‑delay electronics and ergonomic headgear designed for comfort.
- A5: The auto‑darkening filter’s battery life can reach up to around 88,000 hours.</t>
  </si>
  <si>
    <t>20001-MBLK</t>
  </si>
  <si>
    <t xml:space="preserve">AKETEK VIEW WELDING HELMET, MATTE BLACK</t>
  </si>
  <si>
    <t>20001</t>
  </si>
  <si>
    <t xml:space="preserve">Matte black auto-darkening welding helmet with ergonomic design, wide-view lens, and easy shade adjustment for professional welding.</t>
  </si>
  <si>
    <t xml:space="preserve">The AKETEK® VIEW helmet in matte black features an auto‑darkening filter with light state shade 3 and variable dark state range 8–12 for comprehensive eye protection during welding and grinding tasks. Rated optical class 1/1/1/1 and compliant with major safety standards, the helmet uses smart auto‑delay technology and “always on” functionality for instant readiness. Lightweight and ergonomic with adjustable headgear, it supports long‑duration welding work with comfort and clarity.</t>
  </si>
  <si>
    <t xml:space="preserve">Same Advanced Auto‑Darkening Welding Helmet, Matte Black Edition</t>
  </si>
  <si>
    <t xml:space="preserve">True Colour Protection: The matte black AKETEK VIEW welding helmet offers all the same advanced optics and features in a sleek matte finish.</t>
  </si>
  <si>
    <t xml:space="preserve">- Auto‑darkening filter (ADF) shade 8‑12
- Light shade 3
- True Colour optics
- Optical class 1/1/1/1</t>
  </si>
  <si>
    <t xml:space="preserve">- ~530 g weight
- PA6 shell
- Wide viewing area
- Compliant with major safety standards</t>
  </si>
  <si>
    <t xml:space="preserve">- Q1: What welding and cutting tasks is the View helmet suitable for?
- Q2: What optical quality does the auto‑darkening filter provide?
- Q3: What shade range does the View helmet use?
- Q4: What comfort and ergonomic features does the helmet include?
- Q5: How long can the helmet’s auto‑darkening filter last?</t>
  </si>
  <si>
    <t xml:space="preserve">- A1: The AKETEK View welding helmet is suitable for electric arc welding (MIG/MAG, MMA, TIG), plasma welding &amp; cutting, and grinding.
- A2: It offers high optical clarity with a top rating, providing clear visibility during welding tasks.
- A3: The viewing system provides a light state shade of 3 and a variable dark shade range from 8‑12.
- A4: The helmet includes ergonomic headgear with multiple adjustment points for a comfortable fit and enhanced usability.
- A5: The auto‑darkening filter is highly energy‑efficient and designed for very long life, typically lasting tens of thousands of hours.</t>
  </si>
  <si>
    <t>20005-RED</t>
  </si>
  <si>
    <t xml:space="preserve">AKETEK VIEW WELDING HELMET, RED</t>
  </si>
  <si>
    <t>20005</t>
  </si>
  <si>
    <t xml:space="preserve">Red auto-darkening welding helmet offering full-face protection, quick-adjust lens settings, and comfort for extended welding sessions.</t>
  </si>
  <si>
    <t xml:space="preserve">The AKETEK® VIEW welding helmet in red combines advanced auto‑darkening features with a light state shade of 3 and variable dark state from 8–12 to protect against arc flash during welding and grinding. With optical class 1/1/1/1 clarity, smart auto‑delay technology, and “always on” convenience, it delivers optimal visibility and protection. The ergonomic design, adjustable headgear, and lightweight build make it comfortable for professional welding applications, while its durable construction enhances longevity.</t>
  </si>
  <si>
    <t xml:space="preserve">Advanced Auto‑Darkening Welding Helmet with True Colour Optics — Red Finish</t>
  </si>
  <si>
    <t xml:space="preserve">True Colour Protection in Red: The red AKETEK VIEW welding helmet delivers the same high optical clarity, ergonomics, and auto‑darkening performance as other VIEW models, designed for MIG/MAG, MMA, TIG, plasma welding/cutting and grinding applications.</t>
  </si>
  <si>
    <t xml:space="preserve">- Auto‑darkening filter (ADF) with light shade 3, dark shades 8‑12 ISO/EN 1/1/1/1
- Smart auto‑delay &amp; “Always On” functionality
- True Colour optics technology
- Two arc sensors</t>
  </si>
  <si>
    <t xml:space="preserve">- Weight ~530 g
- Large viewing area ~100 × 54 mm
- PA6 durable shell
- Compliant with EN‑379, ISO16321 &amp; ANSI Z87.1</t>
  </si>
  <si>
    <t xml:space="preserve">- Q1: What welding and cutting tasks can the View helmet handle?
- Q2: What optical clarity does the helmet’s ADF provide?
- Q3: What shade levels are available on the View helmet?
- Q4: What ergonomic features help with comfort?
- Q5: How long is the auto‑darkening filter rated for life?</t>
  </si>
  <si>
    <t xml:space="preserve">- A1: The AKETEK View welding helmet is designed for electric arc welding (MIG/MAG, MMA, TIG), plasma welding &amp; cutting, and grinding.
- A2: It features high optical clarity with a top quality viewing lens for clear weld visibility.
- A3: The helmet’s filter offers a light state shade of 3 and variable dark shades from 8‑12.
- A4: Adjustable headgear with multiple pivot points provides comfort and a customized fit for extended use.
- A5: The auto‑darkening filter is designed with long battery life and can operate for tens of thousands of hours.</t>
  </si>
  <si>
    <t>XABLDEB02-03</t>
  </si>
  <si>
    <t xml:space="preserve">02-03" I-PURGE X EXPANDABLE BLADDER</t>
  </si>
  <si>
    <t xml:space="preserve">XABLD 2-3</t>
  </si>
  <si>
    <t>AQUASOL</t>
  </si>
  <si>
    <t xml:space="preserve">Purging | Tube Welding Accessories</t>
  </si>
  <si>
    <t xml:space="preserve">Expandable I-PURGE bladder for 2"–3" pipe, creating a sealed weld environment for inert gas purging in orbital TIG welding.</t>
  </si>
  <si>
    <t>System</t>
  </si>
  <si>
    <t xml:space="preserve">Modular inflatable purge bladder system</t>
  </si>
  <si>
    <t xml:space="preserve">Expansion Tech</t>
  </si>
  <si>
    <t xml:space="preserve">Bladder Expansion Technology fits multiple pipe sizes</t>
  </si>
  <si>
    <t>Sealing</t>
  </si>
  <si>
    <t xml:space="preserve">Spark‑resistant durable exterior, airtight seal</t>
  </si>
  <si>
    <t>Harness</t>
  </si>
  <si>
    <t xml:space="preserve">Includes high heat resistant bridge harness </t>
  </si>
  <si>
    <t xml:space="preserve">The I‑Purge X 2‑3″ Expandable Bladder is part of the modular inflatable purge bladder system designed for pipe welding purge applications. Equipped with proprietary Bladder Expansion Technology (BET), the bladder expands and contracts to fit pipes from 2″ to 3″ (51–76 mm) ID and creates an airtight seal for inert gas purging during welding. It features a durable spark‑resistant outer cover and heavy‑duty inflatable interior, quick‑connect fittings, and a high‑heat resistant bridge harness, providing a reusable and versatile solution for fabrication environments.</t>
  </si>
  <si>
    <t xml:space="preserve">Modular Expandable Pipe Purge Bladder System for 2″–3″ Pipes</t>
  </si>
  <si>
    <t xml:space="preserve">High Versatility Purge Solution: The Aquasol I‑Purge X system features expandable inflatable bladder modules capable of sealing and purging inside 2″ to 3″ (51–76 mm) pipe diameters, with a high‑heat resistant harness and quick‑connect fittings for easy use.</t>
  </si>
  <si>
    <t xml:space="preserve">- Bladder Expansion Technology (BET) adapts to multiple diameters
- Reusable inflatable modules A &amp; B
- Spark‑resistant exterior
- Quick connect fittings</t>
  </si>
  <si>
    <t xml:space="preserve">- Includes high‑heat bridge harness
- Carrying bag included
- Luminescent alignment indicator
- Suitable for TIG/MIG purging</t>
  </si>
  <si>
    <t xml:space="preserve">Expandable Inflatable Pipe Purge Bladder System</t>
  </si>
  <si>
    <t xml:space="preserve">The I‑Purge X expandable bladder system uses patented Bladder Expansion Technology (BET) to fit multiple pipe size ranges, with inflatable bladders that expand and contract for various piping specs. It creates airtight seals for controlled purge gas environments and is built with spark‑resistant covers for durability in welding purge applications. </t>
  </si>
  <si>
    <t xml:space="preserve">- Q1: What size range does the 02‑03" I‑Purge X bladder fit?
- Q2: What technology lets this bladder adapt to different pipe sizes?
- Q3: What environments is the I‑Purge X suitable for?
- Q4: What key components are included with the bladder?
- Q5: How does the bladder help improve weld quality?</t>
  </si>
  <si>
    <t xml:space="preserve">- A1: The 02‑03" I‑Purge X expandable bladder fits pipes with inner diameters from approximately 2″ to 3″.
- A2: It uses Bladder Expansion Technology (BET) that allows one bladder to expand and contract to fit multiple pipe schedules.
- A3: It is suitable for fabrication shops and industrial environments where pipe purging is required.
- A4: The bladder system typically includes inflatable modules, a bridge harness, relief valve, and hoses for gas inflation and purge.
- A5: By creating an airtight seal inside the pipe, the bladder reduces oxygen and creates an ideal environment for high‑quality, oxidation‑free welds.</t>
  </si>
  <si>
    <t>ABLDMB04</t>
  </si>
  <si>
    <t xml:space="preserve">04" I-PURGE MODULAR BLADDER</t>
  </si>
  <si>
    <t>ABLD-4</t>
  </si>
  <si>
    <t xml:space="preserve">Modular I-PURGE bladder for 4" pipe, providing flexible sealing and purging for controlled orbital TIG weld atmospheres.</t>
  </si>
  <si>
    <t xml:space="preserve">Spark‑resistant durable cover to withstand heat</t>
  </si>
  <si>
    <t>Reusable</t>
  </si>
  <si>
    <t xml:space="preserve">Bladders can be reused across applications</t>
  </si>
  <si>
    <t xml:space="preserve">High heat resistant harness for flexible placement </t>
  </si>
  <si>
    <t xml:space="preserve">The 4″ I‑Purge Modular Bladder is a reusable inflatable purge system component engineered to seal and purge 4″ (102 mm) pipe ID for welding applications. It uses the modular inflatable design with quick‑connect fittings, a spark‑resistant outer cover, and a flexible, high‑heat harness to maintain a secure, airtight purge zone. This modular bladder integrates easily into larger I‑Purge systems for effective inert gas purging across compatible pipe sizes.</t>
  </si>
  <si>
    <t xml:space="preserve">Standard Modular Pipe Purge Bladder for ~4″ Pipes</t>
  </si>
  <si>
    <t xml:space="preserve">Efficient Pipe Purging: The Aquasol I‑Purge modular inflatable bladder system creates a reliable, airtight seal for 4″ (≈102 mm) pipe interiors to purge gas before and during welding.</t>
  </si>
  <si>
    <t xml:space="preserve">- Reusable double bladder system
- Quick connect interchangeable fittings
- Tri‑Flow inner tubing system
- Pull loops for insertion/removal</t>
  </si>
  <si>
    <t xml:space="preserve">- High heat harness (≈11 in)
- Polyurethane‑coated nylon bladders
- Carrying bag
- Supports weld gas monitoring</t>
  </si>
  <si>
    <t xml:space="preserve">Inflatable Modular Pipe Purge Bladder System for 4" Pipe</t>
  </si>
  <si>
    <t xml:space="preserve">The Aquasol I‑Purge modular inflatable purge bladder creates an airtight seal inside 4″ pipe ID for controlled inert gas purging during welding. This reusable system features quick‑connect fittings, a high‑heat harness, and interchangeable components to optimize purge gas usage and weld quality. </t>
  </si>
  <si>
    <t xml:space="preserve">- Q1: What size range does the 04" I‑Purge modular bladder fit?
- Q2: What are the main components of this purge bladder?
- Q3: How is the bladder installed in the pipe?
- Q4: What welding preparation benefit does the bladder provide?
- Q5: Can the bladder be reused?</t>
  </si>
  <si>
    <t xml:space="preserve">- A1: The 04" I‑Purge modular bladder is designed to seal pipe IDs of about 4″, providing an airtight purge zone.
- A2: Typical components include the inflatable bladder, bridge harness, inflation hose, and purge gas hose.
- A3: It is inserted into the pipe with the bladder deflated, then inflated to press firmly against the pipe wall to create a seal.
- A4: The airtight seal created by the bladder allows inert gas purging of oxygen, which minimizes oxidation and improves weld quality.
- A5: Yes, the modular bladder is reusable and designed for long‑term service across multiple welding jobs.</t>
  </si>
  <si>
    <t>XABLDEB04-06</t>
  </si>
  <si>
    <t xml:space="preserve">04-06" I-PURGE X EXPANDABLE BLADDER</t>
  </si>
  <si>
    <t xml:space="preserve">XABLD 4-6</t>
  </si>
  <si>
    <t xml:space="preserve">Expandable I-PURGE bladder for 4"–6" pipe, offering airtight sealing and reliable inert gas purging for high-quality welds.</t>
  </si>
  <si>
    <t xml:space="preserve">Spark‑resistant exterior for reliable purge seal</t>
  </si>
  <si>
    <t xml:space="preserve">Durable high heat resistant bridge harness </t>
  </si>
  <si>
    <t xml:space="preserve">The I‑Purge X 4‑6″ Expandable Bladder fits 4″ to 6″ (102–152 mm) pipe ID and is engineered with Bladder Expansion Technology (BET) for versatile purging and sealing during welding. Its spark‑resistant outer cover and heavy‑duty internal bladder inflate to conform to pipe walls, creating an airtight purge chamber. Quick‑connect fittings and a flexible high‑heat bridge harness allow efficient use across pipe schedules in fabrication and welding workflows.</t>
  </si>
  <si>
    <t xml:space="preserve">Expandable Pipe Purge System for 4″–6″ Range</t>
  </si>
  <si>
    <t xml:space="preserve">Versatile Multi‑Size Purge Solution: I‑Purge X expandable bladder system adapts to pipe interior diameters from 4″ to 6″ (102–152 mm) using Bladder Expansion Technology for efficient weld purging.</t>
  </si>
  <si>
    <t xml:space="preserve">- Expandable inflatable bladder modules A &amp; B
- Spark resistant cover
- High heat harness
- Quick connect fittings</t>
  </si>
  <si>
    <t xml:space="preserve">- Carrying bag included
- Luminescent indicator
- Useful for TIG &amp; orbital welding environments</t>
  </si>
  <si>
    <t xml:space="preserve">Expandable Modular Purge Bladder System for 4‑6" Pipe</t>
  </si>
  <si>
    <t xml:space="preserve">The I‑Purge X expandable purge bladder uses Bladder Expansion Technology (BET) to fit any pipe between 4″ and 6″ ID, providing a versatile purge solution. Durable outer materials and heat‑resistant harness ensure reliable seals and gas control for critical weld zones. </t>
  </si>
  <si>
    <t xml:space="preserve">- Q1: What pipe diameter range does the 04‑06" I‑Purge X bladder cover?
- Q2: What special technology does this expandable bladder use?
- Q3: What accessories or parts come with the bladder system?
- Q4: Where is this bladder most often used?
- Q5: What welding advantage does the bladder provide?</t>
  </si>
  <si>
    <t xml:space="preserve">- A1: The 04‑06" I‑Purge X expandable bladder covers pipe inner diameters approximately from 4″ to 6″.
- A2: It employs Bladder Expansion Technology (BET) so it can expand and contract to match different pipe size requirements.
- A3: The system includes inflatable modules A &amp; B, a flexible bridge harness, relief valves, and purge/inflation hoses.
- A4: This bladder is commonly used in fabrication shops, construction, and industrial pipe welding applications where accurate purging is critical.
- A5: By creating a reliable, airtight seal, it allows effective purging of oxygen from the weld area, enhancing weld quality and reducing oxidation.</t>
  </si>
  <si>
    <t>ABLDMB06</t>
  </si>
  <si>
    <t xml:space="preserve">06" I-PURGE MODULAR BLADDER</t>
  </si>
  <si>
    <t>ABLD-6</t>
  </si>
  <si>
    <t xml:space="preserve">Modular I-PURGE bladder for 6" pipe, providing secure sealing and controlled inert gas purging for orbital TIG welding.</t>
  </si>
  <si>
    <t xml:space="preserve">System Type</t>
  </si>
  <si>
    <t xml:space="preserve">I‑Purge modular inflatable purge bladder</t>
  </si>
  <si>
    <t xml:space="preserve">Seal Technology</t>
  </si>
  <si>
    <t xml:space="preserve">Inflatable bladder creates airtight pipe wall seal</t>
  </si>
  <si>
    <t xml:space="preserve">High Heat Harness</t>
  </si>
  <si>
    <t xml:space="preserve">Heat‑resistant external harness for hot applications</t>
  </si>
  <si>
    <t xml:space="preserve">Interchangeable Fittings</t>
  </si>
  <si>
    <t xml:space="preserve">Quick connect push‑button assembly for fast setup </t>
  </si>
  <si>
    <t xml:space="preserve">The 6″ I‑Purge Modular Bladder is designed to create an airtight purge environment in 6″ (152 mm) OD pipe during welding. As a core inflatable module of the I‑Purge purge system, it features a durable, spark‑resistant exterior and quick‑connect modular components that enable fast assembly with high‑heat resistant harnesses. Its reusable and adaptable design supports multiple purge configurations and facilitates controlled inert gas delivery.</t>
  </si>
  <si>
    <t xml:space="preserve">Moderate Size Modular Purge Bladder for ~6″ Pipes</t>
  </si>
  <si>
    <t xml:space="preserve">Reliable Weld Zone Purge: The I‑Purge modular system for ~6″ interior pipes offers an airtight inflatable solution with quick connects, tri‑flow tubes, and heat‑resistant bridge harness for welding prep.</t>
  </si>
  <si>
    <t xml:space="preserve">- Double inflatable bladder modules
- High heat harness
- Quick connect fittings
- Pull loops</t>
  </si>
  <si>
    <t xml:space="preserve">- Polyurethane bladder material
- Carrying bag
- Compatible with common inert gases</t>
  </si>
  <si>
    <t xml:space="preserve">Inflatable Modular Pipe Purge Bladder System for 6" Pipe</t>
  </si>
  <si>
    <t xml:space="preserve">The Aquasol I‑Purge modular bladder system forms a tight, gas‑retaining seal for weld purging in 6″ pipe interiors. Its modular bladders, quick‑connect fittings, and robust harness deliver consistent purge performance across welding applications. </t>
  </si>
  <si>
    <t xml:space="preserve">- Q1: What pipe size does the 06" modular bladder fit?
- Q2: What are the main components of the modular bladder?
- Q3: How is it installed in the pipe?
- Q4: What welding preparation benefit does it provide?
- Q5: Can the bladder be reused?</t>
  </si>
  <si>
    <t xml:space="preserve">- A1: The 06" I‑Purge modular bladder fits pipes with inner diameters of approximately 6″.
- A2: Components include the inflatable bladder, bridge harness, inflation hose, and purge gas hose.
- A3: The bladder is inserted into the pipe deflated, then inflated to create a firm, airtight seal.
- A4: It purges oxygen from the weld zone, minimizing oxidation and improving weld quality.
- A5: Yes, the modular bladder is reusable for multiple welding jobs.</t>
  </si>
  <si>
    <t>ABLDMB08</t>
  </si>
  <si>
    <t xml:space="preserve">08" I-PURGE MODULAR BLADDER</t>
  </si>
  <si>
    <t>ABLD-8</t>
  </si>
  <si>
    <t xml:space="preserve">Modular I-PURGE bladder for 8" pipe, ensuring airtight sealing and consistent gas purging for high-quality welds.</t>
  </si>
  <si>
    <t xml:space="preserve">Heat‑resistant harness with luminescent alignment indicator</t>
  </si>
  <si>
    <t xml:space="preserve">Quick connect push‑button assembly for rapid fit </t>
  </si>
  <si>
    <t xml:space="preserve">The 8″ I‑Purge Modular Bladder is designed to purge and seal 8″ (203 mm) pipe internal diameter for welding operations. It incorporates a rugged inflatable bladder with a spark‑resistant outer cover and quick‑connect modular fittings that integrate with high‑heat tolerant harnesses. The system delivers a reliable airtight seal for inert gas purging and can be paired with additional I‑Purge modules for expanded size coverage.</t>
  </si>
  <si>
    <t xml:space="preserve">Standard Modular Purge System for ~8″ Pipe ID</t>
  </si>
  <si>
    <t xml:space="preserve">Weld Purge Seal for 8″: The modular version of Aquasol’s I‑Purge system for ~8″ (≈203 mm) pipe internal diameter delivers a reusable purge bladder with heat harness, quick connects, and tri‑flow purge/inflation gas routing.</t>
  </si>
  <si>
    <t xml:space="preserve">- Inflatable modules with airtight seal
- Quick connect system
- High heat harness
- Tri‑Flow hoses</t>
  </si>
  <si>
    <t xml:space="preserve">- Durable polyurethane bladder
- Carrying bag for storage
- Suitable for various pipeline welding jobs</t>
  </si>
  <si>
    <t xml:space="preserve">Inflatable Modular Pipe Purge Bladder System for 8" Pipe</t>
  </si>
  <si>
    <t xml:space="preserve">The Aquasol I‑Purge modular inflatable purge bladder is designed for 8″ pipe, creating an efficient inert gas purge zone with high heat resistance and reusable bladder modules to support repeated welding operations. </t>
  </si>
  <si>
    <t xml:space="preserve">- Q1: What pipe size does the 08" modular bladder fit?
- Q2: What parts come with the bladder system?
- Q3: How is the bladder inflated and positioned?
- Q4: How does it help with weld quality?
- Q5: Is it reusable?</t>
  </si>
  <si>
    <t xml:space="preserve">- A1: The 08" I‑Purge modular bladder fits pipe IDs of about 8″.
- A2: The system includes the inflatable bladder, bridge harness, inflation hose, and purge gas hose.
- A3: Insert the deflated bladder into the pipe, then inflate to create a tight seal.
- A4: By removing oxygen from the weld area, it ensures high-quality, oxidation-free welds.
- A5: Yes, it is designed for repeated use.</t>
  </si>
  <si>
    <t>XABLDEB08-12</t>
  </si>
  <si>
    <t xml:space="preserve">08-12" I-PURGE X EXPANDABLE BLADDER</t>
  </si>
  <si>
    <t xml:space="preserve">XABLD 8-12</t>
  </si>
  <si>
    <t xml:space="preserve">Expandable I-PURGE bladder for 8"–12" pipe, designed for flexible sealing and uniform purging in large-diameter orbital welding.</t>
  </si>
  <si>
    <t xml:space="preserve">I‑Purge X expandable modular bladder</t>
  </si>
  <si>
    <t xml:space="preserve">Bladder Expansion Technology fits range 8‑12″ OD</t>
  </si>
  <si>
    <t xml:space="preserve">Heat‑resistant bridge harness for high‑temp welding</t>
  </si>
  <si>
    <t xml:space="preserve">Push‑button quick connect fittings for ease of use </t>
  </si>
  <si>
    <t xml:space="preserve">The I‑Purge X 8‑12″ Expandable Bladder is a versatile inflatable purge system component that spans internal pipe diameters from 8″ to 12″ (203–305 mm). Featuring Bladder Expansion Technology (BET), it expands to conform to a range of pipe sizes while maintaining an airtight purge zone for welding. The module’s durable construction, quick‑connect fittings, and high‑heat flexible harness make it suitable for diverse fabrication and weld purging applications.</t>
  </si>
  <si>
    <t xml:space="preserve">Expandable Multi‑Size Purge System for 8″–12″ Pipes</t>
  </si>
  <si>
    <t xml:space="preserve">Large Range Purge Solution: I‑Purge X system expandable bladder fit for pipe IDs from 8″ to 12″ (203–305 mm), providing a versatile purge sealing tool for larger diameter weld zones in fabrication or field settings.</t>
  </si>
  <si>
    <t xml:space="preserve">- Expandable inflatable bladder system
- High heat resistant exterior
- Quick connect fittings
- Bladder Expansion Technology (BET)</t>
  </si>
  <si>
    <t xml:space="preserve">- Includes carrying bag
- Luminescent indicator
- Efficient purge gas diffusion at weld zone</t>
  </si>
  <si>
    <t xml:space="preserve">Expandable Purge Bladder System for 8‑12" Pipe</t>
  </si>
  <si>
    <t xml:space="preserve">The I‑Purge X expandable bladder system fits a broad range of pipe sizes from 8″ to 12″ ID, thanks to Bladder Expansion Technology. Durable exterior and quick‑connect design streamline setup and purge gas management for welding tasks. </t>
  </si>
  <si>
    <t xml:space="preserve">- Q1: What pipe diameter range does the 08‑12" I‑Purge X cover?
- Q2: What special technology allows it to fit multiple sizes?
- Q3: What components come with the system?
- Q4: Where is it commonly used?
- Q5: How does it improve weld quality?</t>
  </si>
  <si>
    <t xml:space="preserve">- A1: The 08‑12" I‑Purge X expandable bladder covers pipes with inner diameters from 8″ to 12″.
- A2: It uses Bladder Expansion Technology (BET) to expand and contract to match various pipe sizes.
- A3: Includes inflatable modules, flexible bridge harness, relief valves, and purge/inflation hoses.
- A4: Commonly used in fabrication shops and industrial pipe welding applications.
- A5: Provides a reliable airtight seal, enabling effective purging of oxygen and reducing oxidation during welding.</t>
  </si>
  <si>
    <t>XISO08-12</t>
  </si>
  <si>
    <t xml:space="preserve">08-12" I-PURGE X ISOLATOR</t>
  </si>
  <si>
    <t xml:space="preserve">XISO 8-12</t>
  </si>
  <si>
    <t xml:space="preserve">Expandable I-PURGE isolator for 8"–12" pipe, creating isolated weld zones with precise gas control for orbital TIG welding.</t>
  </si>
  <si>
    <t xml:space="preserve">I‑Purge X one‑sided isolator purge plug</t>
  </si>
  <si>
    <t xml:space="preserve">Size Range</t>
  </si>
  <si>
    <t xml:space="preserve">Designed for 8‑12″ OD pipe purge/seal</t>
  </si>
  <si>
    <t xml:space="preserve">Hose &amp; Valve</t>
  </si>
  <si>
    <t xml:space="preserve">Includes 10′ hose and valve for purge control</t>
  </si>
  <si>
    <t xml:space="preserve">Durable Construction</t>
  </si>
  <si>
    <t xml:space="preserve">Heavy‑duty inflatable bladder with spark resistant cover </t>
  </si>
  <si>
    <t xml:space="preserve">The I‑Purge X 8‑12″ Isolator is an inflatable one‑sided pipe stopper designed to act as both a purge plug and general isolation device for pipes from 8″ to 12″ ID (203–305 mm). Constructed with rugged materials and equipped with a flexible high‑heat hose and valve, it creates a secure seal to support inert gas purging or to isolate pipe sections during servicing, cleaning, or inspection.</t>
  </si>
  <si>
    <t xml:space="preserve">One‑Sided Inflatable Pipe Stopper &amp; Purge Plug for 8"–12" Pipes</t>
  </si>
  <si>
    <t xml:space="preserve">Single‑Side Pipe Isolation: The I‑Purge X Isolator creates a tight inflatable seal inside 8"–12" (203–305 mm) pipe IDs for purging, valve isolation, or temporary sealing — ideal for field or shop pipe welding prep.</t>
  </si>
  <si>
    <t xml:space="preserve">- Designed for 8"–12" ID range (203–305 mm) expandable purge isolation
- Heavy‑duty inflatable bladder with spark‑resistant cover
- Integrated valve and 10′ flexible hose</t>
  </si>
  <si>
    <t xml:space="preserve">- Works as isolator or purge plug
- Quick setup for welding or non‑purge sealing
- Pressure relief valve prevents over‑inflation</t>
  </si>
  <si>
    <t xml:space="preserve">One‑Sided Inflatable Pipe Purge Isolator for 8‑12"</t>
  </si>
  <si>
    <t xml:space="preserve">The I‑Purge X Isolator is a one‑sided inflatable pipe plug with purge capabilities for 8″–12″ ID. It seals and isolates pipe sections to enable controlled purging or temporary pipeline sealing, complete with hose and relief valve for safe operation.</t>
  </si>
  <si>
    <t xml:space="preserve">- Q1: What pipe diameter range does the 08‑12" I‑Purge X Isolator fit?
- Q2: What is its main function?
- Q3: What are the key components?
- Q4: How does it improve welding quality?
- Q5: Is it reusable?</t>
  </si>
  <si>
    <t xml:space="preserve">- A1: The 08‑12" I‑Purge X Isolator fits pipe IDs between 8″ and 12″.
- A2: Its main function is to create a temporary isolated purge zone within the pipe.
- A3: Key components include the inflatable isolator module, inflation hose, and connection fittings.
- A4: By isolating the purge area, it ensures optimal oxygen removal and prevents oxidation during welding.
- A5: Yes, it is designed for multiple uses.</t>
  </si>
  <si>
    <t>ABLDMB10</t>
  </si>
  <si>
    <t xml:space="preserve">10" I-PURGE MODULAR BLADDER</t>
  </si>
  <si>
    <t>ABLD-10</t>
  </si>
  <si>
    <t xml:space="preserve">Modular I-PURGE bladder for 10" pipe, delivering reliable sealing and consistent purging for controlled weld environments.</t>
  </si>
  <si>
    <t xml:space="preserve">Airtight inflatable bladder for pipe purging</t>
  </si>
  <si>
    <t xml:space="preserve">External fiberglass sleeve harness for hot zones</t>
  </si>
  <si>
    <t xml:space="preserve">Tool‑free quick connection system </t>
  </si>
  <si>
    <t xml:space="preserve">The I‑Purge® 10″ Modular Inflatable Bladder System is a reusable pipe purging solution that creates an airtight seal inside 10″ (254 mm) ID pipe for welding and inert gas applications. It includes dual inflatable modules (A and B), spark‑resistant durable bladder covers, quick‑connect fittings, a high‑heat resistant bridge harness, luminescent alignment indicator, and hose connections for inflation, purging, and monitoring, delivering efficient gas retention and consistent weld quality. </t>
  </si>
  <si>
    <t xml:space="preserve">Standard Inflatable Purge Bladder System for ~10" Pipe ID</t>
  </si>
  <si>
    <t xml:space="preserve">Airtight Weld Zone Purging: The I‑Purge modular inflatable bladder system for ~10" (≈254 mm) pipes provides an airtight seal with tri‑flow purge and inflation tubes, quick connect fittings, and a high‑heat harness for demanding welding jobs.</t>
  </si>
  <si>
    <t xml:space="preserve">- Inflatable bladder modules A &amp; B create air‑tight seal
- Quick connect interchangeable fittings
- High‑heat resistant harness for HAZ
- Tri‑flow purge/vent/monitor tubing</t>
  </si>
  <si>
    <t xml:space="preserve">- Polyurethane‑coated nylon bladder material
- Pull loops for insertion &amp; removal
- Carrying bag included</t>
  </si>
  <si>
    <t xml:space="preserve">Inflatable Modular Pipe Purge Bladder System for 10" Pipe</t>
  </si>
  <si>
    <t xml:space="preserve">The Aquasol I‑Purge modular bladder system for 10″ nominal pipe size produces reliable inert gas purging for internal welding applications, combining reusable bladder modules with fast‑connect fittings and robust high‑heat harnessing. </t>
  </si>
  <si>
    <t xml:space="preserve">- Q1: What pipe size does the 10" modular bladder fit?
- Q2: What components are included in the system?
- Q3: How is it installed and inflated?
- Q4: How does it assist with weld preparation?
- Q5: Can it be reused?</t>
  </si>
  <si>
    <t xml:space="preserve">- A1: The 10" I‑Purge modular bladder fits pipes with an inner diameter of approximately 10″.
- A2: Components include the inflatable bladder, bridge harness, inflation hose, and purge gas hose.
- A3: Insert the deflated bladder into the pipe and inflate to achieve an airtight seal.
- A4: It purges oxygen from the weld zone, reducing oxidation and improving weld quality.
- A5: Yes, the modular bladder is reusable for multiple welding operations.</t>
  </si>
  <si>
    <t>ABLDMB12</t>
  </si>
  <si>
    <t xml:space="preserve">12" I-PURGE MODULAR BLADDER</t>
  </si>
  <si>
    <t>ABLD-12</t>
  </si>
  <si>
    <t xml:space="preserve">Modular I-PURGE bladder for 12" pipe, providing airtight sealing and uniform inert gas purging for high-quality welds.</t>
  </si>
  <si>
    <t xml:space="preserve">Heat‑resistant, extended harness included</t>
  </si>
  <si>
    <t xml:space="preserve">Push‑button quick connect assembly </t>
  </si>
  <si>
    <t xml:space="preserve">The I‑Purge® 12″ Modular Inflatable Bladder System is designed to seal 12″ (305 mm) internal diameter pipes during purging and welding. Featuring quick‑connect modules A and B with a spark‑resistant outer cover, a high‑heat resistant harness, and multiple purge and monitor hose connections, this reusable system minimizes purge gas consumption while maintaining a secure, airtight environment for weld preparation.</t>
  </si>
  <si>
    <t xml:space="preserve">Inflatable Purge Bladder System for 12" Pipe ID</t>
  </si>
  <si>
    <t xml:space="preserve">Airtight Welding Purge System: The I‑Purge modular bladder for ~12" (≈305 mm) pipe reliably seals weld zones to conserve purge gas and improve weld quality, featuring quick connect fittings, relief valve, and tri‑flow hoses.</t>
  </si>
  <si>
    <t xml:space="preserve">- Inflatable double bladder modules A &amp; B
- Quick connect fittings for fast assembly
- High‑heat resistant harness included
- Luminescent alignment indicator</t>
  </si>
  <si>
    <t xml:space="preserve">- Polyurethane‑coated nylon bladder
- Relieve/monitor purge tubes
- Carry bag included</t>
  </si>
  <si>
    <t xml:space="preserve">Inflatable Modular Pipe Purge Bladder System for 12" Pipe</t>
  </si>
  <si>
    <t xml:space="preserve">The Aquasol I‑Purge modular inflatable purge bladder for 12″ pipe ID creates a controlled purge zone using heavy‑duty bladder modules and high‑temperature gas harnesses, ensuring low purge gas loss and excellent weld zone preparation. </t>
  </si>
  <si>
    <t xml:space="preserve">- Q1: What is the purpose of the 12" I‑Purge Modular Bladder?
- Q2: What are the key features of this purge system?
- Q3: What materials and construction are used?
- Q4: What industries and applications is it suited for?
- Q5: How do Module A and Module B work?</t>
  </si>
  <si>
    <t xml:space="preserve">- A1: The 12" I‑Purge Modular Bladder is designed to purge pipe interiors to remove oxygen and other gases for high‑quality welding and reduced gas usage.
- A2: It features reusable inflatable bladders, quick‑connect interchangeable fittings, high‑heat harness, and Tri‑Flow inner tubing for efficient purging.
- A3: Bladders are polyurethane‑coated nylon with spark‑resistant exterior and high‑heat harness capable of withstanding elevated weld zone temperatures.
- A4: Ideal for fabrication shops, petrochemical, construction, and general industrial pipe welding where controlled inert gas purge is needed.
- A5: Module A and Module B are inflatable bladder elements that form an airtight seal inside the pipe; they connect via quick fittings to purge and isolate the weld zone.</t>
  </si>
  <si>
    <t>ABLDMODA12</t>
  </si>
  <si>
    <t xml:space="preserve">12" I-PURGE MODULE A</t>
  </si>
  <si>
    <t xml:space="preserve">ABLD-12 MOD-A</t>
  </si>
  <si>
    <t xml:space="preserve">I-PURGE module A for 12" pipe, designed for specialized sealing and gas purging configurations in orbital welding setups.</t>
  </si>
  <si>
    <t xml:space="preserve">Module Type</t>
  </si>
  <si>
    <t xml:space="preserve">I‑Purge modular Bladder Module A</t>
  </si>
  <si>
    <t xml:space="preserve">Inflatable bladder for airtight purge sealing</t>
  </si>
  <si>
    <t xml:space="preserve">Heat‑resistant harness support</t>
  </si>
  <si>
    <t xml:space="preserve">Compatible with module B and accessories </t>
  </si>
  <si>
    <t xml:space="preserve">The I‑Purge® 12″ Module A is a primary inflatable bladder component of the modular purge system designed for use inside 12″ (305 mm) ID pipe. As part of a complete I‑Purge assembly, it works with Module B and a high‑heat harness to form a reliable, reusable airtight seal that supports inert gas purging and improves weld quality. </t>
  </si>
  <si>
    <t xml:space="preserve">Replacement/Modular Inflatable Bladder Module A for 12" I‑Purge Systems</t>
  </si>
  <si>
    <t xml:space="preserve">Modular Bladder Component A: Designed for use in Aquasol I‑Purge and I‑Purge X systems, this 12" Module A inflatable bladder provides half of the double‑bag purge seal and quick connect interface for flexible purging configurations.</t>
  </si>
  <si>
    <t xml:space="preserve">- Module A inflatable bladder for ~12" pipe ID
- Quick connect interface for modular assembly
- Spark‑resistant bladder cover</t>
  </si>
  <si>
    <t xml:space="preserve">- Compatible with I‑Purge &amp; I‑Purge X harnesses
- Used with Module B for full purge seal
- Reusable, heavy‑duty construction</t>
  </si>
  <si>
    <t xml:space="preserve">I‑Purge X Expandable Bladder Module A for 12" Pipe</t>
  </si>
  <si>
    <t xml:space="preserve">I‑Purge X Module A is a single expandable purge bladder component designed to work with the I‑Purge X modular inflatable system for 12″ pipe internal purge applications. It pairs with Module B and high‑heat harnesses to create an airtight purge zone. </t>
  </si>
  <si>
    <t xml:space="preserve">- Q1: What function does Module A serve?
- Q2: How is Module A configured with Module B?
- Q3: What makes Module A durable?
- Q4: Can Module A be used separately?
- Q5: What purge sizes does it support?</t>
  </si>
  <si>
    <t xml:space="preserve">- A1: Module A is one of the two inflatable bladders that form a purge plug, sealing and isolating the pipe weld area.
- A2: Module A connects to Module B via quick connect fittings to create a double purge system.
- A3: It is made of heavy‑duty inflatable bag materials with spark‑resistant outer covering.
- A4: Typically Module A pairs with Module B; single‑module isolation can be done with accessories but isn’t standard.
- A5: Supports nominal pipe diameters around 12".</t>
  </si>
  <si>
    <t>ABLDMODB12</t>
  </si>
  <si>
    <t xml:space="preserve">12" I-PURGE MODULE B</t>
  </si>
  <si>
    <t xml:space="preserve">ABLD-12 MOD-B</t>
  </si>
  <si>
    <t xml:space="preserve">I-PURGE module B for 12" pipe, complementing Module A with optimized sealing and purging for controlled weld environments.</t>
  </si>
  <si>
    <t xml:space="preserve">I‑Purge modular Bladder Module B</t>
  </si>
  <si>
    <t xml:space="preserve">Compatible with module A and accessories </t>
  </si>
  <si>
    <t xml:space="preserve">The I‑Purge® 12″ Module B complements Module A in the 12″ (305 mm) I‑Purge modular inflatable purge system. Together with quick‑connect fittings and a high‑heat harness, it creates an efficient purge seal for pipeline welding, ensuring controlled inert gas flow and reduced contamination during weld root preparation. </t>
  </si>
  <si>
    <t xml:space="preserve">Replacement/Modular Inflatable Bladder Module B for 12" I‑Purge Systems</t>
  </si>
  <si>
    <t xml:space="preserve">Modular Bladder Component B: The 12" Module B inflatable bladder fits into Aquasol I‑Purge or I‑Purge X purge systems to form the second half of the purge seal, enabling complete purification of the weld zone.</t>
  </si>
  <si>
    <t xml:space="preserve">- Module B inflatable bladder for ~12" pipe ID
- Quick‑connect design for easy swaps
- Durable, spark‑resistant exterior</t>
  </si>
  <si>
    <t xml:space="preserve">- Works with Module A for double‑bag purge set
- Compatible with high heat harnesses
- Reusable component for multiple jobs</t>
  </si>
  <si>
    <t xml:space="preserve">I‑Purge X Expandable Bladder Module B for 12" Pipe</t>
  </si>
  <si>
    <t xml:space="preserve">I‑Purge X Module B is a complementary expandable purge bladder component for 12″ pipe, enabling configurable purge solutions when used with Module A and appropriate harness lengths in the I‑Purge X Inflatable Bladder System. </t>
  </si>
  <si>
    <t xml:space="preserve">- Q1: What is the role of Module B?
- Q2: Does Module B include purge hoses?
- Q3: What features improve Module B performance?
- Q4: Is Module B reusable?
- Q5: What safety aspects are built in?</t>
  </si>
  <si>
    <t xml:space="preserve">- A1: Module B acts as the opposing inflatable bladder to Module A to create the sealed purge zone.
- A2: Yes — it connects to the Tri‑Flow purge and inflation tubing that allow inert gas flow and monitoring.
- A3: Quick connect fittings and polyurethane‑coated nylon ensure fast assembly and durability.
- A4: Yes; the design allows reuse across multiple welding jobs.
- A5: Quick connect locks and a high‑temp harness keep the system secure and protected during use.</t>
  </si>
  <si>
    <t>ABLDMB14</t>
  </si>
  <si>
    <t xml:space="preserve">14" I-PURGE MODULAR BLADDER</t>
  </si>
  <si>
    <t>ABLD-14</t>
  </si>
  <si>
    <t xml:space="preserve">Modular I-PURGE bladder for 14" pipe, ensuring precise sealing and consistent inert gas purging for orbital TIG welding.</t>
  </si>
  <si>
    <t xml:space="preserve">Airtight inflatable bladder application</t>
  </si>
  <si>
    <t xml:space="preserve">Heat‑resistant harness with luminescent indicator</t>
  </si>
  <si>
    <t xml:space="preserve">Push‑button detachable fittings </t>
  </si>
  <si>
    <t xml:space="preserve">The I‑Purge® 14″ Modular Inflatable Bladder is engineered to provide an airtight purge seal inside 14″ (356 mm) ID pipe for welding operations. Using reusable bladders with quick‑connect fittings and a heat‑resistant harness, the system delivers optimized purge gas control, spark‑resistant protection, and easy assembly for industrial fabrication requirements. </t>
  </si>
  <si>
    <t xml:space="preserve">Inflatable Purge Bladder System with High‑Heat Harness for 14″ Pipes</t>
  </si>
  <si>
    <t xml:space="preserve">Reliable Weld Purge Seal: I‑Purge modular inflatable bladder system sized for 14″ (≈356 mm) pipe IDs, designed to create an airtight purge zone with durable bladders, high‑heat bridge harness, and quick‑connect fittings.</t>
  </si>
  <si>
    <t xml:space="preserve">- Double inflatable bladders A &amp; B create tight seal
- Polyurethane‑coated nylon bladders
- Quick‑connect modular fittings
- Tri‑flow purge/inflation/exhaust system</t>
  </si>
  <si>
    <t xml:space="preserve">- Includes high‑heat bridge harness (~16″ nominal)
- Carrying/storage bag included
- Luminescent center indicator
- High temp spark‑resistant exterior</t>
  </si>
  <si>
    <t xml:space="preserve">Inflatable Modular Bladder System with High Heat Harness for 14" Pipe</t>
  </si>
  <si>
    <t xml:space="preserve">The I‑Purge® modular inflatable purge bladder system for 14″ diameter pipe creates a tight, reusable internal seal for controlled inert gas purge in weld zones, equipped with quick‑connect fittings and a high‑heat harness for reliability and extended use. </t>
  </si>
  <si>
    <t xml:space="preserve">- Q1: What is the primary use of a 14" purge bladder system?
- Q2: What purge system components are included?
- Q3: What size pipe is this compatible with?
- Q4: How does the high‑heat harness enhance operation?
- Q5: What advantages does the Tri‑Flow design provide?</t>
  </si>
  <si>
    <t xml:space="preserve">- A1: Used to purge 14" diameter pipe segments to displace oxygen for quality welds.
- A2: Includes Module A &amp; B, quick connect fittings, high‑heat harness, purge hoses, relief valve, and luminescent indicator.
- A3: Compatible with nominal 14" pipe ID applications.
- A4: The high‑heat harness allows the purge system to be placed outside the heat‑affected zone for safer, more effective purging.
- A5: Tri‑Flow design separates inflation, purge, and exhaust flows for faster and more efficient gas exchange.</t>
  </si>
  <si>
    <t>ABLDMB16</t>
  </si>
  <si>
    <t xml:space="preserve">16" I-PURGE MODULAR BLADDER</t>
  </si>
  <si>
    <t>ABLD-16</t>
  </si>
  <si>
    <t xml:space="preserve">Modular I-PURGE bladder for 16" pipe, delivering secure sealing and controlled purging for high-quality weld prep.</t>
  </si>
  <si>
    <t xml:space="preserve">Heat‑resistant external harness for HAZ</t>
  </si>
  <si>
    <t xml:space="preserve">Tool‑free quick assembly connectors </t>
  </si>
  <si>
    <t xml:space="preserve">The I‑Purge® 16″ Modular Inflatable Bladder System is designed for purging and welding 16″ (406 mm) diameter pipe. It features dual inflatable bladders with quick‑connect technology, a high‑heat resistant bridge harness, and robust construction to create an airtight environment for inert gas purge, reducing gas usage while ensuring consistent welding conditions. </t>
  </si>
  <si>
    <t xml:space="preserve">Inflatable Purge Bladder System with High‑Heat Harness for 16″ Pipes</t>
  </si>
  <si>
    <t xml:space="preserve">Airtight Pipe Purging: This I‑Purge modular inflatable system is sized for 16″ (≈406 mm) diameter pipes, offering robust purge sealing, high‑heat capable harness, quick connect fittings and versatile purge functionality.</t>
  </si>
  <si>
    <t xml:space="preserve">- Bladders sized for 16″ diameter pipe
- High heat resistant harness
- Quick connect fittings
- Pull loops for easy insertion/removal</t>
  </si>
  <si>
    <t xml:space="preserve">- Standard harness length ~16″
- Carry bag included
- Spark‑resistant exterior cover
- Tri‑flow purge &amp; monitor hoses</t>
  </si>
  <si>
    <t xml:space="preserve">Inflatable Modular Bladder System with High Heat Harness for 16" Pipe</t>
  </si>
  <si>
    <t xml:space="preserve">The I‑Purge® modular inflatable purge bladder for 16″ diameter pipe uses a rugged inflatable bladder and high‑heat resistant harness to maintain purge gas integrity within the weld zone, ensuring consistent weld quality and reduced gas consumption. </t>
  </si>
  <si>
    <t xml:space="preserve">- Q1: What is a 16" I‑Purge Modular Bladder used for?
- Q2: What comes with the 16" system?
- Q3: What materials are involved?
- Q4: What industries commonly use this?
- Q5: Are extended harnesses available?</t>
  </si>
  <si>
    <t xml:space="preserve">- A1: Designed to purge 16" diameter pipes to remove air and oxygen prior to welding.
- A2: The system includes Module A, Module B, quick connect hardware, relief valve, purge hoses, luminescent indicator, and high‑heat harness.
- A3: Constructed of polyurethane‑coated nylon with reinforced hoses for purge and purge control.
- A4: Widely used in welding operations in fabrication, petrochemical, and industrial maintenance.
- A5: Yes — extended length, high‑heat harnesses are available separately for pre‑heating and high‑temperature welding.</t>
  </si>
  <si>
    <t>ELH-24AQU</t>
  </si>
  <si>
    <t xml:space="preserve">24" EXT LENGTH HARNESS FOR I-PURGE</t>
  </si>
  <si>
    <t>ABLD-ELH-24</t>
  </si>
  <si>
    <t xml:space="preserve">24" extension harness for I-PURGE systems, enabling flexible connection and positioning of purge bladders in large assemblies.</t>
  </si>
  <si>
    <t xml:space="preserve">Extended length high heat resistant harness</t>
  </si>
  <si>
    <t>Length</t>
  </si>
  <si>
    <t xml:space="preserve">24" (610 mm) standard extended size</t>
  </si>
  <si>
    <t xml:space="preserve">Heat Protection</t>
  </si>
  <si>
    <t xml:space="preserve">Fiberglass‑sleeved hose withstands high‑temperature welding</t>
  </si>
  <si>
    <t xml:space="preserve">Positions purge bladders outside of heat‑affected zone (HAZ) for preheat/high‑heat applications </t>
  </si>
  <si>
    <t xml:space="preserve">The 24″ Extended Length High‑Heat Harness for I‑Purge® systems is a flexible, high‑temperature resistant hose assembly designed to position purge modules further outside the weld heat‑affected zone (HAZ). It features a braided fiberglass protective sleeve, kink‑resistant design, and luminescent alignment indicator, providing better purge hose routing and safe inert gas delivery in high‑heat and pre‑heat welding applications. </t>
  </si>
  <si>
    <t xml:space="preserve">Extended High‑Heat Bridge Harness for I‑Purge Purge Bladders</t>
  </si>
  <si>
    <t xml:space="preserve">High‑Heat Extended Harness: A 24″ (610 mm) extended‑length bridge harness for I‑Purge modular inflatable purge systems, letting users position bladders further outside the heat-affected zone during welding or pre‑heating.</t>
  </si>
  <si>
    <t xml:space="preserve">- 24″ extended high‑heat resistant harness
- Fiberglass-sheathed high temp inner hose
- Flexible for elbows &amp; tees</t>
  </si>
  <si>
    <t xml:space="preserve">- Helps position bladders outside HAZ
- Kink‑resistant hose
- Luminescent alignment indicator</t>
  </si>
  <si>
    <t xml:space="preserve">Extended High‑Heat Harness Accessory for I‑Purge Systems</t>
  </si>
  <si>
    <t xml:space="preserve">The 24″ extended high‑heat harness for I‑Purge inflatable bladder systems allows placement of purge bladders farther from the heat affected zone and accommodates pre‑heating or high‑temperature welding operations while maintaining gas flow and seal integrity. </t>
  </si>
  <si>
    <t xml:space="preserve">- Q1: What is the purpose of the 24" extended length harness?
- Q2: How does it improve welding operations?
- Q3: Is it compatible with all I-Purge modules?
- Q4: What materials is the harness made from?
- Q5: Can it withstand high temperatures?</t>
  </si>
  <si>
    <t xml:space="preserve">- A1: The 24" extended length harness allows the I-Purge modules to be positioned further from the weld zone for safety and accessibility.
- A2: Provides flexibility in setup, preventing heat damage to the operator and allowing easy access to the purge system.
- A3: Compatible with standard I-Purge Modular Bladders (12", 14", 16").
- A4: Constructed of durable, heat-resistant materials with reinforced tubing.
- A5: Designed to withstand elevated temperatures in welding environments.</t>
  </si>
  <si>
    <t>ABLDMB24</t>
  </si>
  <si>
    <t xml:space="preserve">24" I-PURGE MODULAR BLADDER</t>
  </si>
  <si>
    <t>ABLD-24</t>
  </si>
  <si>
    <t xml:space="preserve">Modular I-PURGE bladder for 24" pipe, providing robust sealing and uniform purging for large-diameter orbital welding.</t>
  </si>
  <si>
    <t xml:space="preserve">Inflatable bladder creates an airtight seal inside pipe for purge gas retention</t>
  </si>
  <si>
    <t xml:space="preserve">Typically paired with modular purge harness for high‑temperature environments</t>
  </si>
  <si>
    <t xml:space="preserve">Quick‑connect bladder assembly for fast setup and reuse </t>
  </si>
  <si>
    <t xml:space="preserve">Inflatable Purge Bladder System with High‑Heat Harness for 24″ Pipes</t>
  </si>
  <si>
    <t xml:space="preserve">Large Diameter Purge System: The I‑Purge modular inflatable bladder sized for 24″ (≈610 mm) pipe IDs includes robust bladders, high‑heat bridge harness, and quick connects for effective purging of wide‑bore piping.</t>
  </si>
  <si>
    <t xml:space="preserve">- Bladders sized for 24″ pipe ID
- Quick connect fittings
- High‑heat resistant harness (~18″ standard)
- Pull loops for placement</t>
  </si>
  <si>
    <t xml:space="preserve">- Durable polyurethane bladder material
- Carry bag included
- Spark‑resistant exterior</t>
  </si>
  <si>
    <t xml:space="preserve">Inflatable Modular Bladder System with High Heat Harness for 24" Pipe</t>
  </si>
  <si>
    <t xml:space="preserve">The I‑Purge® modular inflatable purge bladder for 24″ diameter pipe forms a secure internal purge seal with quick‑connect fittings and an integrated high‑heat harness, reducing purge gas usage and improving weld zone control during pipe welding applications. </t>
  </si>
  <si>
    <t xml:space="preserve">- Q1: What is the main application of the 24" I-Purge Modular Bladder?
- Q2: What components are included with the 24" bladder?
- Q3: What pipe sizes is it suitable for?
- Q4: How does the bladder improve weld quality?
- Q5: Is it reusable?</t>
  </si>
  <si>
    <t xml:space="preserve">- A1: Used to purge 24" diameter pipes to remove oxygen for high-quality welds.
- A2: Includes Module A &amp; B, quick connect fittings, purge hoses, relief valve, and high-heat harness.
- A3: Suitable for nominal 24" pipe ID applications.
- A4: Creates a controlled inert gas environment in the weld zone to prevent oxidation and improve weld consistency.
- A5: Yes; designed for multiple uses with proper care.</t>
  </si>
  <si>
    <t>ELH-36AQU</t>
  </si>
  <si>
    <t xml:space="preserve">36" EXT LENGTH HARNESS FOR I-PURGE</t>
  </si>
  <si>
    <t>ABLD-ELH-36</t>
  </si>
  <si>
    <t xml:space="preserve">36" extension harness for I-PURGE systems, allowing extended reach and flexible placement of purge bladders in fabrication setups.</t>
  </si>
  <si>
    <t xml:space="preserve">36" (914 mm) standard extended size</t>
  </si>
  <si>
    <t xml:space="preserve">Fiberglass‑sleeved hose capable of withstanding high temperatures</t>
  </si>
  <si>
    <t xml:space="preserve">The 36″ Extended Length High‑Heat Harness for I‑Purge® systems provides a longer high‑temperature resistant connection between purge bladders, allowing placement well outside the weld heat‑affected zone. Its flexible design with a braided fiberglass sleeve and kink‑resistant hose ensures continuous purge gas flow and easy routing through complex pipe runs. </t>
  </si>
  <si>
    <t xml:space="preserve">Long‑Reach High‑Heat Harness: A 36″ (914 mm) extended‑length harness to keep the I‑Purge bladder modules further away from the heat affected zone during pre‑heating or high temp welding, with flexible, kink‑resistant hose and alignment indicator.</t>
  </si>
  <si>
    <t xml:space="preserve">- 36″ extended high‑heat resistant harness option
- Fiberglass wrap covers high‑temp inner tubing
- Flexible routing through elbows/tees</t>
  </si>
  <si>
    <t xml:space="preserve">- Alignment indicator for center gap
- Designed for use with larger purge setups (~36″+)
- Helps mitigate HAZ exposure</t>
  </si>
  <si>
    <t xml:space="preserve">The 36″ extended harness is a high‑heat resistant accessory for I‑Purge inflatable bladder systems, designed to keep purge bladders outside the heat affected zone and support pre‑heating, high‑temperature welding, or difficult access configurations. </t>
  </si>
  <si>
    <t xml:space="preserve">- Q1: What is the function of the 36" extended length harness?
- Q2: How does it enhance safety and accessibility?
- Q3: Which I-Purge modules are compatible?
- Q4: What material ensures its durability?
- Q5: Can it handle high-heat environments?</t>
  </si>
  <si>
    <t xml:space="preserve">- A1: The 36" extended length harness allows positioning of the I-Purge modules even further from the weld area for improved safety.
- A2: Provides additional reach, reducing risk to the operator and allowing easier system adjustments.
- A3: Compatible with all I-Purge Modular Bladders (12", 14", 16", 24").
- A4: Made of reinforced, heat-resistant materials for long-lasting use.
- A5: Yes; engineered to withstand high temperatures in industrial welding.</t>
  </si>
  <si>
    <t>XABLDMODA4</t>
  </si>
  <si>
    <t xml:space="preserve">4" FULLY ASSEMBLED I-PURGE X - MODULE A</t>
  </si>
  <si>
    <t xml:space="preserve">XABLD-4 MOD-A</t>
  </si>
  <si>
    <t xml:space="preserve">4″ I-Purge X Module A inflatable purge bladder with a fully assembled modular design for controlled inert gas purging during TIG welding operations.</t>
  </si>
  <si>
    <t xml:space="preserve">Inflatable purge bladder module for pipe purging</t>
  </si>
  <si>
    <t xml:space="preserve">Heavy‑duty spark‑resistant exterior with quick‑connect fittings</t>
  </si>
  <si>
    <t xml:space="preserve">Works with I‑Purge X modular inflatable systems and harnesses</t>
  </si>
  <si>
    <t xml:space="preserve">Seal System</t>
  </si>
  <si>
    <t xml:space="preserve">Creates an airtight purge seal across pipe bore using bladder expansion technology </t>
  </si>
  <si>
    <t xml:space="preserve">The 4" Fully Assembled I‑Purge X Module A is a modular inflatable purge bladder designed for controlled welding purge environments. It is part of the I‑Purge X modular purge system featuring advanced Bladder Expansion Technology (BET) that expands and contracts to seal pipe interiors during welding, minimizing inert gas use. Module A connects with other system components via quick‑connect fittings and is protected by a spark‑resistant exterior, providing durable, reusable purge sealing for stainless steel and reactive metal welding. </t>
  </si>
  <si>
    <t xml:space="preserve">Compact Inflatable Purge Bladder Module for Pipe Purging Systems</t>
  </si>
  <si>
    <t xml:space="preserve">Fully assembled Module A of the I‑Purge X modular inflatable purge system designed for 4″ pipes, providing a reliable expandable inflatable bladder that seals internal pipe volumes during orbital welding. This module ensures rapid purge gas retention and consistent inert gas displacement to maintain low oxygen levels for defect‑free welds in stainless steel and high‑purity piping applications. I‑Purge X uses high‑heat‑resistant harnesses and quick‑connect fittings for fast setup and durable performance in fabrication environments.</t>
  </si>
  <si>
    <t xml:space="preserve">- Expandable modular purge bladder for 4″ pipe sizes- Spark‑resistant exterior cover- High‑heat harness compatible up to 1200°F- Quick‑connect fittings for fast assembly</t>
  </si>
  <si>
    <t xml:space="preserve">- Designed for pipe welding purge applications- Adjustable for varying pipe diameters- Heavy‑duty durable construction- Compatible with extended harness lengths</t>
  </si>
  <si>
    <t xml:space="preserve">Order Your 4" I‑Purge X Module A Assembly</t>
  </si>
  <si>
    <t xml:space="preserve">Equip your pipe purging operations with the 4″ Fully Assembled I-Purge X Module A — a modular, inflatable purge bladder system designed for TIG and orbital welding. High-temperature resistant and quick to deploy, it delivers rapid inert gas purging and precise oxygen control for stainless and exotic alloy welds. Compatible with extended harness options and oxygen monitors for full process monitoring. Contact our specialists for sizing guidance and workflow integration support.</t>
  </si>
  <si>
    <t xml:space="preserve">- Q1: What is the 4″ Fully Assembled I‑Purge X – Module A used for? 
- Q2: What pipe sizes does the I‑Purge X Module A fit? 
- Q3: What features distinguish the I‑Purge X modular purge system? 
- Q4: What material properties are important for the I‑Purge X harness? 
- Q5: How do quick connect fittings benefit the I‑Purge X system?</t>
  </si>
  <si>
    <t xml:space="preserve">- A1: The 4″ Fully Assembled I‑Purge X – Module A is a modular inflatable purge bladder designed to seal and purge inert gas in pipeline welds. 
- A2: Module A can be used on a 4″ pipe ID as part of the I‑Purge X range that fits multiple pipe sizes with Bladder Expansion Technology. 
- A3: The system features Bladder Expansion Technology that enables one unit to fit multiple pipe sizes, and it is spark‑resistant and reusable. 
- A4: The harness has internal hose and a protective external fiberglass sleeve capable of withstanding high temperatures and HAZ conditions. 
- A5: Quick connect interchangeable fittings allow the modular components to snap into place in seconds for fast setup.</t>
  </si>
  <si>
    <t>ELH-48AQU</t>
  </si>
  <si>
    <t xml:space="preserve">48" EXT LENGTH HARNESS FOR I-PURGE</t>
  </si>
  <si>
    <t>ABLD-ELH-48</t>
  </si>
  <si>
    <t xml:space="preserve">48″ extended-length high-temperature harness for I-Purge systems, providing flexible connectivity and reliable performance in weld purge applications.</t>
  </si>
  <si>
    <t xml:space="preserve">Harness Type</t>
  </si>
  <si>
    <t xml:space="preserve">High‑heat resistant extended bridge harness for purge system</t>
  </si>
  <si>
    <t xml:space="preserve">48″ extended length for positioning purge bag outside HAZ</t>
  </si>
  <si>
    <t xml:space="preserve">Fiberglass‑wrapped hose capable of high‑temperature use</t>
  </si>
  <si>
    <t xml:space="preserve">Allows continuous inert gas supply with kink‑resistant internal tubing </t>
  </si>
  <si>
    <t xml:space="preserve">The 48" Extended Length Harness for I‑Purge systems is a high‑heat resistant, flexible purge gas distribution harness designed to navigate through pipe interiors and maintain continuous inert gas flow to purge zones. Featuring a protective external fiberglass sleeve capable of withstanding high temperatures, the extended harness facilitates purging across larger heat‑affected zones and complex weld setups, supporting efficient welding purge for larger diameter pipes. </t>
  </si>
  <si>
    <t xml:space="preserve">Extended High-Heat Purge Bladder Harness for I-Purge Systems</t>
  </si>
  <si>
    <t xml:space="preserve">A 48″ extended length high‑heat harness for the I‑Purge X system, engineered to position inflatable purge modules outside the heat‑affected zone during pre‑heating and welding. The high‑temperature resistant harness provides flexible routing through pipe layouts, ensuring stable purge gas delivery and improved placement for accurate and efficient purge performance.</t>
  </si>
  <si>
    <t xml:space="preserve">- High‑heat resistant extended harness (48″)- Fiberglass external sleeve for protection- Flexible for pipe access and positioning- Compatible with I‑Purge X modules</t>
  </si>
  <si>
    <t xml:space="preserve">- Optimized to position purge bladders outside heat‑affected zone- Kink resistant internal hose- Luminescent alignment indicator- Suitable for high‑temperature weld environments</t>
  </si>
  <si>
    <t xml:space="preserve">Request a 48" Extended Harness for I‑Purge System</t>
  </si>
  <si>
    <t xml:space="preserve">Increase operational reach with the 48″ Extended Length Harness for I-Purge systems. Constructed with heat-resistant materials, it allows safe positioning of purge modules outside high-temperature zones while maintaining optimal seal integrity. Perfect for production shops and challenging pipe configurations. Ask about custom harness options for your facility layout.</t>
  </si>
  <si>
    <t xml:space="preserve">- Q1: What is the purpose of the 48″ Extended Length Harness for I‑Purge X? 
- Q2: How does extended harness length improve pipe purging? 
- Q3: What conditions require the use of a 48″ harness? 
- Q4: What are typical materials used for I‑Purge X harnesses? 
- Q5: Why is harness flexibility important?</t>
  </si>
  <si>
    <t xml:space="preserve">- A1: The 48″ Extended Length Harness for I‑Purge X provides extra distance from the heat affected zone during purging. 
- A2: Longer harnesses allow placement of the purge assembly outside the HAZ in pre‑heated or high‑temperature welding applications. 
- A3: It is used in pre‑heated pipes, high heat environments, or when accessibility requires extra reach. 
- A4: Harness materials include heat‑resistant inner hose and a durable external fiberglass sleeve. 
- A5: Flexibility helps the harness navigate through pipes and fittings like elbows and tees.</t>
  </si>
  <si>
    <t>ELH-72AQU</t>
  </si>
  <si>
    <t xml:space="preserve">72" EXT LENGTH HARNESS FOR I-PURGE</t>
  </si>
  <si>
    <t>ABLD-ELH-72</t>
  </si>
  <si>
    <t xml:space="preserve">72″ extended-length high-temperature harness for I-Purge systems, offering increased reach and durability for demanding purge setups.</t>
  </si>
  <si>
    <t xml:space="preserve">72″ extended length for deeper pipe access</t>
  </si>
  <si>
    <t xml:space="preserve">Flexible and heat resistant with protective outer sleeve</t>
  </si>
  <si>
    <t xml:space="preserve">Ensures inert gas delivery and purge integrity in pre‑heat applications </t>
  </si>
  <si>
    <t xml:space="preserve">The 72" Extended Length Harness for I‑Purge systems is a heavy‑duty, heat‑resistant hose assembly that extends inert gas delivery and purge capability deeper into piping applications. Built with a kink‑resistant internal hose and protective fiberglass outer sleeve, this harness ensures uninterrupted gas flow in high‑temperature environments, supporting purge consistency and weld quality for extended reach purging requirements. </t>
  </si>
  <si>
    <t xml:space="preserve">Long-Reach Heat-Resistant Harness for Advanced Purge Bladder Configurations</t>
  </si>
  <si>
    <t xml:space="preserve">A 72″ extended high‑heat harness accessory for I‑Purge X purge systems, offering exceptional flexibility to accommodate larger weld zones and pre‑heat conditions. This harness enables purge modules to remain safely away from high temperatures and heat‑affected zones, ensuring reliable gas distribution and maintaining optimal welding environments for high‑quality, oxidation‑free welds.</t>
  </si>
  <si>
    <t xml:space="preserve">- High‑heat extended harness (72″)- Fiberglass external protective sleeve- Increased distance for pre‑heat welding- Quick connect fittings for modules</t>
  </si>
  <si>
    <t xml:space="preserve">- Allows purge positioning well outside HAZ- Durable and flexible hose core- Simplifies setup in large pipe welds- Works with all I‑Purge X module sizes</t>
  </si>
  <si>
    <t xml:space="preserve">Order 72" Extended I‑Purge Harness Today</t>
  </si>
  <si>
    <t xml:space="preserve">Extend your purge system capabilities with the 72″ Extended Length Harness for I-Purge. Designed to provide additional clearance from weld heat zones, it supports safe, efficient deployment of purge modules in tight or hard-to-access pipe areas. Durable, flexible, and compatible with all I-Purge modules. Contact us for installation guidance and optimized layouts.</t>
  </si>
  <si>
    <t xml:space="preserve">- Q1: What is the purpose of the 72″ Extended Length Harness for I‑Purge X? 
- Q2: How does a 72″ harness differ from standard harness lengths? 
- Q3: When should a 72″ harness be selected? 
- Q4: What safety considerations apply to extended harnesses? 
- Q5: What environment is the 72″ harness optimized for?</t>
  </si>
  <si>
    <t xml:space="preserve">- A1: The 72″ Extended Length Harness for I‑Purge X provides extra reach to position purge assemblies outside high heat zones. 
- A2: It is significantly longer than standard harness lengths, allowing greater distance from active weld heat. 
- A3: Choose it for large diameter pipes, long runs, or when extended access is needed. 
- A4: Safety considerations include avoiding the heat affected zone and protecting hoses from sparks and high temperatures. 
- A5: It is optimized for pre‑heating applications, high ambient temperatures, and difficult‑to‑reach purge zones.</t>
  </si>
  <si>
    <t>POM-100B</t>
  </si>
  <si>
    <t xml:space="preserve">POM 100B PRECISE OXYGEN MONITOR</t>
  </si>
  <si>
    <t xml:space="preserve">POM 100B KIT</t>
  </si>
  <si>
    <t xml:space="preserve">Gas | Oxygen Monitoring Equipment</t>
  </si>
  <si>
    <t xml:space="preserve">POM-100B handheld programmable oxygen monitor featuring Bluetooth connectivity, internal pump, high-accuracy 0.01% resolution, and data logging for precise weld purge control.</t>
  </si>
  <si>
    <t xml:space="preserve">Measurement Range</t>
  </si>
  <si>
    <t xml:space="preserve">Oxygen measurement from very low ppm up to 20.9%</t>
  </si>
  <si>
    <t>Accuracy</t>
  </si>
  <si>
    <t xml:space="preserve">High‑precision oxygen sensor with fine resolution and stable readings</t>
  </si>
  <si>
    <t xml:space="preserve">Clear digital readout with resolution to 0.0005% oxygen</t>
  </si>
  <si>
    <t xml:space="preserve">Power &amp; Portability</t>
  </si>
  <si>
    <t xml:space="preserve">Battery or mains operation with portable, rugged casing and extended run time </t>
  </si>
  <si>
    <t xml:space="preserve">The POM‑100B Precise Oxygen Monitor is a factory‑calibrated oxygen measurement device designed for weld purging applications. It displays oxygen levels with a clear visual traffic light system to indicate safe purge conditions and allows alarms to be set at user‑defined ppm thresholds. Built to meet accurate calibration standards and supplied with a certification of authentication, the POM‑100B helps ensure proper oxygen removal before and during welding operations to prevent weld oxidation. </t>
  </si>
  <si>
    <t xml:space="preserve">Bluetooth-Enabled High-Resolution Digital Oxygen Weld Purge Monitor</t>
  </si>
  <si>
    <t xml:space="preserve">The POM‑100B is an advanced handheld oxygen monitor tailored for high‑purity weld purge applications, featuring Bluetooth connectivity for real‑time remote monitoring, rechargeable long‑life battery, and precise oxygen measurement to 0.01% (100 ppm). Its robust construction and data logging capabilities support quality control and process documentation for inert gas welding in industries like pharmaceutical, semiconductor, and food processing.</t>
  </si>
  <si>
    <t xml:space="preserve">- Bluetooth APP enabled real‑time monitoring- Measures oxygen with 0.01% resolution- Rechargeable handheld with internal pump- Unlimited data logging and export capabilities</t>
  </si>
  <si>
    <t xml:space="preserve">- Factory‑calibrated, multi‑language interface- Long battery life (≈25–30 h) and quick charging- Internal dust filter for rugged use</t>
  </si>
  <si>
    <t xml:space="preserve">Get the POM‑100B Precise Oxygen Monitor</t>
  </si>
  <si>
    <t xml:space="preserve">Ensure weld quality with the POM 100B Precise Oxygen Monitor. This portable instrument measures residual oxygen down to 100 ppm (0.01%) for TIG and orbital welding processes. Continuous or spot monitoring ensures the weld zone is fully inert, helping prevent oxidation and maintain high-quality joints. Ideal for stainless steel, duplex alloys, and other critical materials.</t>
  </si>
  <si>
    <t xml:space="preserve">- Q1: What is the POM 100B Precise Oxygen Monitor? 
- Q2: How does the POM 100B measure oxygen levels? 
- Q3: What connectivity features does the POM 100B support? 
- Q4: Why is data logging important in an oxygen monitor? 
- Q5: What environmental conditions is the POM 100B suited for?</t>
  </si>
  <si>
    <t xml:space="preserve">- A1: The POM 100B Precise Oxygen Monitor is a handheld digital oxygen monitoring device used in high purity welding and purging applications. 
- A2: It uses an internal pump to accurately measure oxygen concentration with a high resolution sensor. 
- A3: The POM 100B has Bluetooth technology for remote data transmission to Android, iOS, and Windows devices. 
- A4: Data logging enables operators to create permanent records of real time oxygen levels, improving quality control. 
- A5: Its dust and water proof construction allows it to withstand severe environmental conditions without affecting performance.</t>
  </si>
  <si>
    <t>POM5BKIT</t>
  </si>
  <si>
    <t xml:space="preserve">POM-5B PRECISE OXYGEN MONITOR</t>
  </si>
  <si>
    <t xml:space="preserve">POM 5B KIT</t>
  </si>
  <si>
    <t xml:space="preserve">POM-5B handheld programmable oxygen monitor with factory calibration, color-coded visual alerts, and rugged construction for reliable oxygen measurement in welding environments.</t>
  </si>
  <si>
    <t xml:space="preserve">Broad range oxygen measurement suitable for weld purge</t>
  </si>
  <si>
    <t>Resolution</t>
  </si>
  <si>
    <t xml:space="preserve">High resolution with accurate low‑level oxygen detection</t>
  </si>
  <si>
    <t xml:space="preserve">Sensor Longevity</t>
  </si>
  <si>
    <t xml:space="preserve">Long life sensor suitable for continuous monitoring</t>
  </si>
  <si>
    <t>Usability</t>
  </si>
  <si>
    <t xml:space="preserve">Lightweight form factor with Bluetooth/remote sampling capability </t>
  </si>
  <si>
    <t xml:space="preserve">The POM‑5B Precise Oxygen Monitor is a rechargeable handheld digital weld purge monitor with an internal sampling pump and Bluetooth connectivity that streams real‑time oxygen data to companion devices. It measures oxygen concentration down to 5 ppm with high resolution and features unlimited data logging for traceability and quality control. The monitor includes a smart color notification system for visual status and is factory calibrated with documented certification, making it ideal for precision welding applications. </t>
  </si>
  <si>
    <t xml:space="preserve">Advanced High-Precision Digital Oxygen Monitor for Weld Purge Control</t>
  </si>
  <si>
    <t xml:space="preserve">The POM‑5B high‑precision oxygen monitor offers ultra‑accurate measurement down to 0.005% (5 ppm) for critical purge verification during orbital and TIG welding processes. With built‑in Bluetooth, rugged rechargeable design, extensive data logging, and multi‑language interface, this instrument is ideal for ensuring inert environments in stainless steel, titanium, and other high‑purity weld applications.</t>
  </si>
  <si>
    <t xml:space="preserve">- Ultra‑high precision oxygen measurement range down to 0.0005%- Bluetooth connectivity for data transfer- Rechargeable handheld with pump</t>
  </si>
  <si>
    <t xml:space="preserve">- Long sensor life and reliable calibration- Compact ergonomic design for field use- Data logging supported</t>
  </si>
  <si>
    <t xml:space="preserve">Select POM‑5B Ultra‑Precise Oxygen Monitor</t>
  </si>
  <si>
    <t xml:space="preserve">The POM-5B Precise Oxygen Monitor provides accurate measurement of oxygen concentration during pipe purging and welding. Compact and user-friendly, it delivers continuous monitoring for process control and weld verification. Compatible with standard purge systems and equipped with clear digital readouts for fast assessment of weld readiness.</t>
  </si>
  <si>
    <t xml:space="preserve">- Q1: What is the POM‑5B Precise Oxygen Monitor? 
- Q2: How fine is the oxygen resolution of the POM‑5B? 
- Q3: What advanced capability does the POM‑5B offer for remote monitoring? 
- Q4: In what welding applications is the POM‑5B typically used? 
- Q5: What are typical features of the POM‑5B oxygen monitor?</t>
  </si>
  <si>
    <t xml:space="preserve">- A1: The POM‑5B Precise Oxygen Monitor is a battery‑powered handheld oxygen analyzer used for ultra‑high purity welding. 
- A2: It measures oxygen down to 0.0005% (5 PPM) resolution for precise control. 
- A3: Bluetooth transmitting capabilities allow wireless monitoring up to ~100 feet. 
- A4: It is ideal for stainless steel and high‑alloy welds where oxygen control is critical. 
- A5: Features include internal pump sampling, data logging, and multi‑language display.</t>
  </si>
  <si>
    <t>POX-100</t>
  </si>
  <si>
    <t xml:space="preserve">POX-100 PRECISE OXYGEN MONITOR</t>
  </si>
  <si>
    <t xml:space="preserve">P-OX KIT</t>
  </si>
  <si>
    <t xml:space="preserve">POX-100 digital oxygen purge monitor with internal pump, high-resolution oxygen sensing, data logging capability, and a durable design for field and shop welding applications.</t>
  </si>
  <si>
    <t xml:space="preserve">Measures oxygen levels from 0.00% to 21.00% by volume with 0.01% resolution</t>
  </si>
  <si>
    <t xml:space="preserve">Records real‑time oxygen levels at 15‑second intervals with export capability</t>
  </si>
  <si>
    <t>Calibration</t>
  </si>
  <si>
    <t xml:space="preserve">Self‑calibrating and/or 2‑point calibration using ambient air and argon</t>
  </si>
  <si>
    <t xml:space="preserve">Alerts &amp; Display</t>
  </si>
  <si>
    <t xml:space="preserve">Built‑in audiovisual alarm with multilingual interface and clear digital display </t>
  </si>
  <si>
    <t xml:space="preserve">The POX‑100 Precise Oxygen Monitor is a handheld programmable digital oxygen purge monitor designed for accurate measurement of oxygen concentration during welding and purge operations. It measures oxygen levels in the range from 0.00% to 21.00% by volume with a high resolution down to approximately 0.01% (100 ppm), enabling precise control of inert environments for TIG, orbital, and pipe welding. The unit features automatic self‑calibration or optional two‑point calibration, an internal sampling pump, data logging for real‑time oxygen readings, and a USB interface for exporting up to 50 data points for quality documentation. An audiovisual alarm can be set to indicate target oxygen thresholds, and the rugged design with rechargeable battery support and multilingual interface makes it suitable for field or shop use worldwide. </t>
  </si>
  <si>
    <t xml:space="preserve">Professional-Grade Purge Oxygen Concentration Monitor for Welding Applications</t>
  </si>
  <si>
    <t xml:space="preserve">The POX‑100 is a programmable digital oxygen purge monitor designed for weld purge and inert gas environments, capable of accurately measuring residual oxygen levels down to 0.01% (100 ppm). Featuring self‑calibration, data logging with export capability, rugged impact‑resistant case, and multilingual interface, it ensures reliable oxygen control for TIG, orbital, and pipe welding operations in demanding industrial settings.</t>
  </si>
  <si>
    <t xml:space="preserve">- Continuous oxygen monitoring capability- Digital display for concentration levels- Designed for purge applications- Stable sensor output for weld monitoring</t>
  </si>
  <si>
    <t xml:space="preserve">- Integrated alarm threshold settings- Portable handheld form factor- Durable housing for workshop use</t>
  </si>
  <si>
    <t xml:space="preserve">Request Your POX‑100 Precise Oxygen Monitor</t>
  </si>
  <si>
    <t xml:space="preserve">The POX-100 Precise Oxygen Monitor offers high-precision oxygen analysis for welding and purging applications. Rugged and portable, it ensures residual oxygen levels are monitored effectively, supporting high-quality welds and reliable production outcomes. Ideal for fabrication shops and critical piping applications.</t>
  </si>
  <si>
    <t xml:space="preserve">- Q1: What is the POX‑100 Precise Oxygen Monitor? 
- Q2: What key performance metric should the POX‑100 provide? 
- Q3: What is a typical use case for the POX‑100 monitor? 
- Q4: How does a purge oxygen monitor benefit welding quality? 
- Q5: What environment conditions must a POX‑100 monitor handle?</t>
  </si>
  <si>
    <t xml:space="preserve">- A1: The POX‑100 Precise Oxygen Monitor is an oxygen level measuring device used to verify purge gas effectiveness in welding systems and similar applications. 
- A2: It should provide accurate oxygen concentration readings across a relevant range (e.g., down to low PPM levels). 
- A3: Typical use cases include ensuring acceptable oxygen levels before weld initiation on purged pipe or chamber environments. 
- A4: Real‑time oxygen monitoring helps prevent oxidation and discoloration in welds by confirming purge quality. 
- A5: The monitor must handle workshop environments, fluctuating temperatures, and gas sampling conditions.</t>
  </si>
  <si>
    <t>217PCW</t>
  </si>
  <si>
    <t xml:space="preserve">217P-CW COOLER</t>
  </si>
  <si>
    <t>217P-CW</t>
  </si>
  <si>
    <t xml:space="preserve">Cooling Unit | Welding Accessories</t>
  </si>
  <si>
    <t xml:space="preserve">217P-CW cooler unit designed to provide efficient water cooling for welding power supplies and compatible orbital welding systems to maintain optimal operating temperatures.</t>
  </si>
  <si>
    <t xml:space="preserve">Cooling System Type</t>
  </si>
  <si>
    <t xml:space="preserve">Water‑based cooler designed for orbital welding support</t>
  </si>
  <si>
    <t xml:space="preserve">Interfaces with welding power supplies that require external coolant handling (e.g., AMI 217 series)</t>
  </si>
  <si>
    <t xml:space="preserve">Flow Monitoring</t>
  </si>
  <si>
    <t xml:space="preserve">Built‑in coolant flow detection to prevent heat damage to weld heads</t>
  </si>
  <si>
    <t xml:space="preserve">Rugged housing with pump and heat exchanger for continuous duty cycles </t>
  </si>
  <si>
    <t xml:space="preserve">The 217P‑CW Cooler is a water‑cooled cooling unit designed to support welding power supplies and weld head systems by circulating coolant through the welding head to maintain optimal operating temperatures. It typically integrates a pump and heat exchanger to provide reliable coolant flow, with sensors that monitor coolant status and may signal faults if flow drops below safe levels. Such cooling units are essential for high‑duty‑cycle welding operations to prevent overheating of torches and associated electronics, thereby enhancing equipment reliability and extending service life. </t>
  </si>
  <si>
    <t xml:space="preserve">Industrial Water Cooler for Precision Thermal Management</t>
  </si>
  <si>
    <t xml:space="preserve">The 217P‑CW cooler is a water‑cooled auxiliary unit that provides essential thermal management for orbital welding systems such as the AMI 217P power supply. Engineered to maintain optimal coolant flow and prevent overheating of weld heads and associated components, this cooler supports extended duty‑cycle welding applications by circulating de‑ionized water or coolant mixtures to sustain consistent weld quality and equipment reliability.</t>
  </si>
  <si>
    <t xml:space="preserve">- Industrial water cooling unit for orbital weld systems- Designed to interface with compatible power supplies- Provides thermal regulation under extended duty- Flow sensor monitoring for coolant circulation</t>
  </si>
  <si>
    <t xml:space="preserve">- Protects weld head and electronics from overheating- Compact, stackable design- Works with multiple welding setups- Cooling pump for stable temperature control</t>
  </si>
  <si>
    <t xml:space="preserve">Order the 217P‑CW Cooler Unit</t>
  </si>
  <si>
    <t xml:space="preserve">The 217P-CW Cooler is a water-circulation cooling unit designed to support orbital welding power supplies and water-cooled weld heads. It maintains consistent coolant flow and temperature during continuous welding runs, protecting torch components and ensuring stable arc performance. Suitable for industrial fabrication and heavy-duty welding environments.</t>
  </si>
  <si>
    <t xml:space="preserve">- Q1: What is the 217P‑CW Cooler used for? 
- Q2: How does a CW type cooler operate in welding systems? 
- Q3: Why is coolant flow important in a welding cooler? 
- Q4: What maintenance is typical for an industrial cooler? 
- Q5: What environments benefit from a CW cooler?</t>
  </si>
  <si>
    <t xml:space="preserve">- A1: The 217P‑CW Cooler is a coolant circulation and heat removal unit used to control temperature in welding power supplies or fusion systems, helping sustain duty cycles. 
- A2: A CW cooler uses a pump and liquid coolant to absorb heat from the power supply or head and rejects it via a heat exchanger. 
- A3: Proper coolant flow prevents overheating by maximizing heat transfer and avoiding hot spots that could damage electronics or lead to weld faults. 
- A4: Maintenance typically includes checking coolant levels, inspecting hoses and filters, and ensuring the pump operates without blockage. 
- A5: It’s beneficial in high‑duty or continuous welding applications, especially where ambient heat and duty cycle demands are high.</t>
  </si>
  <si>
    <t>107CW</t>
  </si>
  <si>
    <t xml:space="preserve">M107-CW COOLING UNIT</t>
  </si>
  <si>
    <t xml:space="preserve">M107-CW cooling unit engineered to deliver reliable water-cooled temperature regulation for the M107 orbital welding power supply and similar welding systems.</t>
  </si>
  <si>
    <t xml:space="preserve">Cooling System</t>
  </si>
  <si>
    <t xml:space="preserve">Water‑cooled unit that circulates coolant through orbital welding equipment</t>
  </si>
  <si>
    <t xml:space="preserve">Thermal Management</t>
  </si>
  <si>
    <t xml:space="preserve">Heat exchanger and pump for maintaining stable temperatures during welds</t>
  </si>
  <si>
    <t xml:space="preserve">System Integration</t>
  </si>
  <si>
    <t xml:space="preserve">Designed to connect with compatible power supplies and weld heads</t>
  </si>
  <si>
    <t xml:space="preserve">Supports extended welding operations with coolant fault monitoring </t>
  </si>
  <si>
    <t xml:space="preserve">The M107‑CW Cooling Unit is a dedicated water cooling system engineered to regulate temperature in welding equipment and accessories during sustained or high‑amperage welding operations. It circulates coolant through the weld head and related components to dissipate heat effectively, helping maintain performance and prevent thermal damage. These units typically include a reservoir, pump, and heat exchanger, and are compatible with common orbital welding systems requiring active cooling support. </t>
  </si>
  <si>
    <t xml:space="preserve">Heavy-Duty Cooling Unit for Continuous Duty Thermal Control</t>
  </si>
  <si>
    <t xml:space="preserve">The M107‑CW cooling unit is a dedicated water cooling package designed to interface with orbital welding equipment, delivering consistent coolant circulation to maintain weld head and torch temperature control during prolonged welding operations. By dissipating heat from welding torches and related hardware, the cooling unit enhances performance, reduces thermal stress on components, and supports reliable, high‑quality welds in industrial fabrication environments.</t>
  </si>
  <si>
    <t xml:space="preserve">- Water cooling and chiller unit for welding applications- Heavy‑duty pump and flow control elements- Designed to prolong weld head life</t>
  </si>
  <si>
    <t xml:space="preserve">- Coolant circulation optimized for continuous duty- Heat exchanger system for stable operation- Compatible with AMI and similar power supplies</t>
  </si>
  <si>
    <t xml:space="preserve">Get M107‑CW Cooling Unit</t>
  </si>
  <si>
    <t xml:space="preserve">The M107-CW Cooling Unit is engineered for precise thermal management in orbital welding systems. Compact yet powerful, it circulates coolant to prevent overheating during extended welding sessions. Compatible with multiple weld heads and power sources, it enhances duty cycle performance and supports consistent weld quality.</t>
  </si>
  <si>
    <t xml:space="preserve">- Q1: What is the M107‑CW Cooling Unit? 
- Q2: What role does a cooling unit serve with a power supply? 
- Q3: Can a CW cooling unit interface with different power supplies? 
- Q4: What fluid is recommended for cooling units in weld systems? 
- Q5: How is the cooling unit monitored during operation?</t>
  </si>
  <si>
    <t xml:space="preserve">- A1: The M107‑CW Cooling Unit is a liquid coolant circulation unit designed to work with compatible welding power supplies to manage thermal load during operation. 
- A2: It helps extract heat generated by the power supply and weld head, reducing thermal stress on components. 
- A3: Many CW cooling units are designed to interface specifically with their matched power supplies, though some adaptors allow broader connectivity. 
- A4: De‑ionized or distilled water with glycol mix is commonly used to prevent corrosion and ensure efficient heat transfer. 
- A5: Flow sensors and fault detection systems signal inadequate coolant flow or overheating, helping protect the system.</t>
  </si>
  <si>
    <t>M15</t>
  </si>
  <si>
    <t xml:space="preserve">M15 WELD HEAD TOP ASSY</t>
  </si>
  <si>
    <t>13150115-01</t>
  </si>
  <si>
    <t xml:space="preserve">Welding Head | Orbital Welding</t>
  </si>
  <si>
    <t xml:space="preserve">M15 weld head top assembly combining robust mechanical components and precision fitment for reliable clamping and rotation in orbital tube and pipe welding heads.</t>
  </si>
  <si>
    <t xml:space="preserve">Head Type</t>
  </si>
  <si>
    <t xml:space="preserve">Precision orbital weld head assembly for pipe and tube welding</t>
  </si>
  <si>
    <t xml:space="preserve">Integrated adjustable clamping for pipe fitting alignment</t>
  </si>
  <si>
    <t xml:space="preserve">Supports arc rotation and oscillation for high‑quality welds</t>
  </si>
  <si>
    <t xml:space="preserve">Cooling Interfaces</t>
  </si>
  <si>
    <t xml:space="preserve">Built‑in water‑cooling passages to maintain duty cycle and prevent overheating </t>
  </si>
  <si>
    <t xml:space="preserve">The M15 Weld Head Top Assembly is the upper assembly component of a precision orbital weld head used for automated welding of pipes and tubes in various industrial applications. It includes the primary mechanical and electrical interfaces for torch rotation, arc voltage control, and motion transfer from the main body to the torch area. This top assembly works with compatible welding controllers and cooling solutions to provide consistent, repeatable welds with precise positioning and alignment. </t>
  </si>
  <si>
    <t xml:space="preserve">Precision Weld Head Assembly for Medium-Duty Orbital Welding</t>
  </si>
  <si>
    <t xml:space="preserve">The M15 Weld Head Top Assembly is a precision orbital welding head assembly for Model 15 systems, engineered for GTAW (TIG) welding of large‑diameter pipes with low radial clearance. Featuring rugged construction, optional single or dual wire feed configurations, automatic voltage control, and torch oscillation, this assembly delivers consistent, high‑quality welds across a broad range of pipe sizes for industries requiring stringent weld integrity and repeatability.</t>
  </si>
  <si>
    <t xml:space="preserve">- Precision orbital pipe weld head assembly- Low radial/axial clearance design- Supports TIG and orbital welding- Robust construction for field use</t>
  </si>
  <si>
    <t xml:space="preserve">- Adjustable torch and steering controls- Compatible with power sources such as AMI/ESAB- Smooth rotation and automated features</t>
  </si>
  <si>
    <t xml:space="preserve">Request M15 Weld Head Top Assembly</t>
  </si>
  <si>
    <t xml:space="preserve">The M15 Weld Head Top Assy is a core component of the M15 orbital welding head series, designed for high-quality TIG welding of pipes and tubes. It provides precise torch alignment, stable arc control, and robust mechanical performance for critical applications in semiconductor, pharmaceutical, and industrial piping systems. Available from authorized distributors with full technical support and integration services.</t>
  </si>
  <si>
    <t xml:space="preserve">- Q1: What is the M15 Weld Head Top Assy? 
- Q2: What processes is the Model 15 weld head suitable for? 
- Q3: What range of pipe sizes can the M15 head handle? 
- Q4: What features does the M15 weld head include? 
- Q5: How is the top assembly important to the weld head?</t>
  </si>
  <si>
    <t xml:space="preserve">- A1: The M15 Weld Head Top Assy is the upper assembly portion of the Model 15 orbital pipe weld head, including torch mount and interface points. 
- A2: It is suitable for GTAW (TIG) welding of large diameter pipe with precision and control. 
- A3: The Model 15 weld head covers a wide range starting at approximately 3″ (76 mm) pipe diameter and above. 
- A4: Features can include low radial clearance, rotation control, automatic voltage control, cross‑seam steering, and torch oscillation. 
- A5: The top assembly houses key mechanical and interface elements that guide the torch and mount to the power supply and drive system.</t>
  </si>
  <si>
    <t>205CW</t>
  </si>
  <si>
    <t xml:space="preserve">M205 COOLING UNIT</t>
  </si>
  <si>
    <t>13B050109-01</t>
  </si>
  <si>
    <t xml:space="preserve">M205 cooling unit water-cooled system built to regulate thermal conditions for the M205 power supply and connected weld heads during extended welding operations. </t>
  </si>
  <si>
    <t xml:space="preserve">Dedicated cooling unit for M205 power supply and welding equipment</t>
  </si>
  <si>
    <t xml:space="preserve">Heat Dissipation</t>
  </si>
  <si>
    <t xml:space="preserve">Strong coolant circulation to manage heat from high‑duty welding</t>
  </si>
  <si>
    <t xml:space="preserve">Protective Features</t>
  </si>
  <si>
    <t xml:space="preserve">Flow sensors and protections to avoid overheating damage</t>
  </si>
  <si>
    <t xml:space="preserve">Heavy‑duty frame and connections for industrial welding setups </t>
  </si>
  <si>
    <t xml:space="preserve">The M205 Cooling Unit is a thermal management system designed to support welding heads and power supplies by circulating coolant to control operating temperatures during welding. It typically includes a reservoir, pump, and heat exchanger to maintain continuous coolant flow, and is suitable for applications where air cooling is insufficient. This cooling unit enhances equipment reliability and duty‑cycle performance in demanding welding environments. </t>
  </si>
  <si>
    <t xml:space="preserve">Robust Cooling System for Mid-Range Welding Power Supplies</t>
  </si>
  <si>
    <t xml:space="preserve">High‑efficiency cooling unit engineered to support Model 205 orbital welding power supplies by circulating coolant through water‑cooled weld heads and plasma control circuits. Its robust pump and heat exchanger maintain optimal thermal equilibrium during prolonged welding cycles, reducing thermal stress and enabling stable, consistent arc performance in precision tube and pipe welding applications across aerospace, biopharmaceutical, and semiconductor industries.</t>
  </si>
  <si>
    <t xml:space="preserve">- Industrial coolant system for orbital welding set‑ups- Circulates water or coolant for sustained operation- Protects sensitive electronics during long cycles</t>
  </si>
  <si>
    <t xml:space="preserve">- Flow monitoring and pump stabilization- Designed for reliability under heavy workloads- Can integrate with modular welding machines</t>
  </si>
  <si>
    <t xml:space="preserve">Select M205 Cooling Unit</t>
  </si>
  <si>
    <t xml:space="preserve">Enhance thermal management in orbital welding systems with the M205 Cooling Unit. Designed for use with M205 series power supplies and compatible weld heads, this water‑circulation cooler ensures consistent coolant flow and stable temperatures during extended welding operations. Its robust construction protects components from heat buildup, supports higher duty cycles, and improves overall system reliability in demanding industrial environments. Contact our team for specification details and integration support.</t>
  </si>
  <si>
    <t xml:space="preserve">- Q1: What is the M205 Cooling Unit? 
- Q2: How does the M205 coolant system integrate with welding equipment? 
- Q3: What coolant capacity does the M205‑CW typically have? 
- Q4: Why is cooling important for weld power supplies? 
- Q5: What indicators help diagnose cooling issues?</t>
  </si>
  <si>
    <t xml:space="preserve">- A1: The M205 Cooling Unit is an auxiliary liquid cooling system option used with M205 welding power supplies to manage heat during extended weld cycles. 
- A2: It attaches to the power supply and weld head coolant lines to circulate fluid and maintain safe operating temperatures. 
- A3: Typical coolant capacity is on the order of a few liters and circulation rates around 0.5 GPM depending on configuration. 
- A4: Cooling prevents thermal overload, maintains arc stability, and supports duty cycles without derating. 
- A5: Flow sensors or indicator lamps show whether coolant is circulating adequately or if a fault condition exists.</t>
  </si>
  <si>
    <t>M205</t>
  </si>
  <si>
    <t xml:space="preserve">M205 POWER SUPPLY TOP ASSY</t>
  </si>
  <si>
    <t>13B050100-02</t>
  </si>
  <si>
    <t xml:space="preserve">Power Supply | Welding Equipment</t>
  </si>
  <si>
    <t xml:space="preserve">M205 power supply top assembly featuring control interface and housing elements designed to support the M205 welding power supply’s electronics and operator access. </t>
  </si>
  <si>
    <t xml:space="preserve">Power Output</t>
  </si>
  <si>
    <t xml:space="preserve">Main power supply top assembly delivering controlled current for orbital welding</t>
  </si>
  <si>
    <t xml:space="preserve">Weld Controls</t>
  </si>
  <si>
    <t xml:space="preserve">Interfaces for arc voltage control, gas valves, and weld scheduling</t>
  </si>
  <si>
    <t xml:space="preserve">Works with M205 welding heads and ancillary devices</t>
  </si>
  <si>
    <t xml:space="preserve">Display &amp; Interface</t>
  </si>
  <si>
    <t xml:space="preserve">Operator access to power settings, monitoring, and fault/error indicators </t>
  </si>
  <si>
    <r>
      <t xml:space="preserve">The M205 Power Supply Top Assembly is part of the Model 205 orbital welding power supply system, engineered to deliver GTAW (TIG) welding current for tube and pipe applications. It supports precision welding with programmable controls, high‑frequency arc starting, and purge gas control. Compatible with a range of orbital weld heads, the assembly integrates core power circuitry and connection interfaces to manage welding current, pulsation, and remote functions, enabling reliable performance in fabrication, biopharmaceutical, semiconductor, and industrial applications. (</t>
    </r>
    <r>
      <rPr>
        <u val="single"/>
        <color rgb="FF1155CC"/>
      </rPr>
      <t>Directindustry</t>
    </r>
    <r>
      <rPr/>
      <t>)</t>
    </r>
  </si>
  <si>
    <t xml:space="preserve">Modular Power Supply Assembly for M205 Welding Systems</t>
  </si>
  <si>
    <t xml:space="preserve">The Model 205 Power Supply Assembly represents a next‑generation orbital GTAW power source capable of welding thin‑wall tubes and pipe materials from 3/32″ to 7.5″ OD with programmable multi‑level current control, universal 115/230 V input, and high‑duty‑cycle output. Designed for versatility and field‑ready portability, it delivers reliable weld performance with USB data connectivity for program storage and quality documentation in critical welding environments. </t>
  </si>
  <si>
    <t xml:space="preserve">- Industrial welding power supply top assembly- Designed for orbital and GTAW welding systems- Rugged controls and durable enclosure- Supports high duty cycle operation</t>
  </si>
  <si>
    <t xml:space="preserve">- Adjustable current output range- Integrated user control interface- Reliable performance for field and shop use- Compatible with cooling units and weld heads</t>
  </si>
  <si>
    <t xml:space="preserve">Request Your M205 Power Supply Top Assembly</t>
  </si>
  <si>
    <t xml:space="preserve">The M205 Power Supply Top Assy is a core component of the Model 205 orbital tube welding system, delivering programmable GTAW welding power for precision welds on tubing and thin‑wall pipe. With a versatile output range, compact design, and broad material compatibility, it’s ideal for applications in biopharmaceutical, semiconductor, food processing, and industrial fabrication. Designed to interface with a range of weld heads and cooling solutions, it offers reliable performance and advanced process control. </t>
  </si>
  <si>
    <t xml:space="preserve">- Q1: What is the M205 Power Supply Top Assy? 
- Q2: What functions does the M205 power supply provide? 
- Q3: How does the top assembly interact with accessories? 
- Q4: What welding processes does the M205 support? 
- Q5: What typical controls does a power supply top assembly include?</t>
  </si>
  <si>
    <t xml:space="preserve">- A1: The M205 Power Supply Top Assy refers to the upper housing and interface module of the M205 orbital welding power supply. 
- A2: The M205 provides GTAW (TIG) current with pulsation controls, high frequency start, purge gas control, and weld sequencing. 
- A3: It interfaces with cooling units, weld head control cables, gas inputs, and monitoring systems. 
- A4: It supports automatic orbital TIG welding on tubes and pipes when paired with compatible weld heads. 
- A5: Typical controls include main power, welding parameters, pulsation, and fault display outputs.</t>
  </si>
  <si>
    <t>M207A</t>
  </si>
  <si>
    <t xml:space="preserve">M207A POWER SUPPLY TOP ASSY</t>
  </si>
  <si>
    <t>13B070120-01</t>
  </si>
  <si>
    <t xml:space="preserve">M207A power supply top assembly with integrated operator controls and durable construction to house the M207A welding power supply’s main electronics and interface. </t>
  </si>
  <si>
    <t xml:space="preserve">100–150 A DC programmable GTAW power suitable for fusion orbital welding</t>
  </si>
  <si>
    <t xml:space="preserve">Input Power</t>
  </si>
  <si>
    <t xml:space="preserve">100–240 VAC single‑phase, 50/60 Hz with selectable voltage operation</t>
  </si>
  <si>
    <t xml:space="preserve">Memory &amp; Control</t>
  </si>
  <si>
    <t xml:space="preserve">Stores up to 100 weld schedules with multi‑function controls</t>
  </si>
  <si>
    <t xml:space="preserve">Welding Functions</t>
  </si>
  <si>
    <t xml:space="preserve">High frequency arc start, purge gas control, arc rotation, pulsation and automatic timing available </t>
  </si>
  <si>
    <r>
      <t xml:space="preserve">The M207A Power Supply Top Assembly is the primary assembly of the Model 207A orbital welding power supply, designed to provide GTAW current with pulsation controls, high‑frequency arc starting, purge gas controls, weld head arc rotation, and automatic timing functions. This assembly integrates essential power electronics and operator interfaces to support automatic welding systems with adapter cables, purge connections, and optional remote or cooling attachments. (</t>
    </r>
    <r>
      <rPr>
        <u val="single"/>
        <color rgb="FF1155CC"/>
      </rPr>
      <t xml:space="preserve">Mavin the Webstore</t>
    </r>
    <r>
      <rPr/>
      <t>)</t>
    </r>
  </si>
  <si>
    <t xml:space="preserve">Enhanced Power Supply Assembly with Advanced Control Integration</t>
  </si>
  <si>
    <t xml:space="preserve">Advanced orbital welding power supply configuration tailored for Model 207A systems, offering precise current regulation and integrated control interfaces for automated welding processes. It supports a wide range of welding schedules and parameters, enabling consistent, repeatable welds on instrumentation and small‑diameter piping. Its rugged design and compatibility with water‑cooling make it ideal for continuous duty usage in pharmaceutical, food, and high‑purity industries. </t>
  </si>
  <si>
    <t xml:space="preserve">- Precision TIG/DC power supply assembly- Designed for 3–150 A DC output as standard- Heavy‑duty aluminum cabinet- Built‑in programmable functions for weld scheduling</t>
  </si>
  <si>
    <t xml:space="preserve">- Two‑pole breaker protection- Supports multiple input voltages- Simple operator control layout- Works with remote pendants and accessories</t>
  </si>
  <si>
    <t xml:space="preserve">Get the M207A Power Supply Top Assembly</t>
  </si>
  <si>
    <t xml:space="preserve">The M207A Power Supply Top Assy provides advanced GTAW orbital welding power and controller functions for fusion welding of metal tubes, pipes, and fittings. Featuring pulsation control, high‑frequency arc starting, purge gas management, and automatic timing functions, it delivers repeatable weld quality and integrates seamlessly with M‑9 series weld heads and optional peripherals such as remote pendants and cooling units. </t>
  </si>
  <si>
    <t xml:space="preserve">- Q1: What is the M207A Power Supply Top Assy? 
- Q2: How does the M207A differ from other power supplies? 
- Q3: What cooling options are available with the M207A? 
- Q4: What safety or fault monitoring features are included? 
- Q5: In what welding applications is the M207A used?</t>
  </si>
  <si>
    <t xml:space="preserve">- A1: The M207A Power Supply Top Assy is the main control and interface assembly for the M207A orbital welding power supply. 
- A2: The M207A supports orbital fusion welding with integrated control for coolant units such as M207‑CW variants. 
- A3: Optional water cooling units like the M207‑CW circulate coolant to remove heat from the weld head and power supply. 
- A4: Flow sensors and fault signals alert the user to inadequate coolant flow or system faults. 
- A5: It is used in automated orbital welding applications requiring precise control and duty cycles.</t>
  </si>
  <si>
    <t>M207HP</t>
  </si>
  <si>
    <t xml:space="preserve">M207HP POWER SUPPLY TOP ASSY</t>
  </si>
  <si>
    <t xml:space="preserve">M207HP power supply top assembly designed to accommodate the high-performance M207HP welding power supply, combining ergonomic control layout and rugged electrical housing.</t>
  </si>
  <si>
    <t xml:space="preserve">100 A GTAW orbital welding power supply with microprocessor control</t>
  </si>
  <si>
    <t xml:space="preserve">Cleanroom Design</t>
  </si>
  <si>
    <t xml:space="preserve">Stainless‑steel gas system and sealed cooling for low particulate environments</t>
  </si>
  <si>
    <t xml:space="preserve">Controls &amp; Interface</t>
  </si>
  <si>
    <t xml:space="preserve">Soft touch membrane switches and diagnostic functions</t>
  </si>
  <si>
    <t xml:space="preserve">Compatibility &amp; Options</t>
  </si>
  <si>
    <t xml:space="preserve">Works with AMI Model 9 series weld heads and supports remote pendant, printer, memory transfer </t>
  </si>
  <si>
    <r>
      <t xml:space="preserve">The M207HP Power Supply Top Assembly is part of a high‑performance variant of the Model 207 series orbital welding power supply, engineered for heavy‑duty GTAW welding applications. It integrates advanced power delivery electronics with high‑frequency arc starting, purge gas control, and weld head interface connectivity to deliver precise current control and support complex automated welding sequences in industrial environments. Compatible with remote pendants and optional cooling units. (</t>
    </r>
    <r>
      <rPr>
        <u val="single"/>
        <color rgb="FF1155CC"/>
      </rPr>
      <t xml:space="preserve">Mavin the Webstore</t>
    </r>
    <r>
      <rPr/>
      <t>)</t>
    </r>
  </si>
  <si>
    <t xml:space="preserve">High-Performance Power Supply Assembly for Demanding Welding Operations</t>
  </si>
  <si>
    <t xml:space="preserve">Heavy‑performance version of the Model 207 series power supply assembly engineered for high‑payload orbital welding operations requiring extended schedule storage and enhanced output control. With optimized power electronics and robust cooling provisions, the M207HP enhances arc stability and weld repeatability for demanding production environments such as chemical processing, aerospace, and power generation weld cells.</t>
  </si>
  <si>
    <t xml:space="preserve">- High‑performance welding power supply design- Enhanced current capability for large joints- Thermal protection system included- Heavy‑gauge components for rugged duty</t>
  </si>
  <si>
    <t xml:space="preserve">- Professional‑grade controls- Designed for long weld sequences- Stable output under varying loads- Compatible with external cooling systems</t>
  </si>
  <si>
    <t xml:space="preserve">Select M207HP Power Supply Top Assembly</t>
  </si>
  <si>
    <t xml:space="preserve">The M207HP Power Supply Top Assy is engineered for high‑performance orbital welding tasks requiring robust power delivery and precise control. Its GTAW output and programmable welding schedules handle demanding production welds while facilitating integration with auxiliary devices like cooling units and torque‑controlled weld heads. Designed for industrial and critical fabrication environments, it supports stable arc performance and consistent results. </t>
  </si>
  <si>
    <t xml:space="preserve">- Q1: What is the M207HP Power Supply Top Assy? 
- Q2: What welding processes does the Model 207‑HP support? 
- Q3: How is the M207HP designed for high‑purity environments? 
- Q4: What features help minimize particulate contamination? 
- Q5: What compatibility does the M207HP have with weld heads?</t>
  </si>
  <si>
    <t xml:space="preserve">- A1: The M207HP Power Supply Top Assy is the primary control and power interface assembly for the Model 207‑HP welding power supply. 
- A2: The Model 207‑HP supports microprocessor‑controlled GTAW (orbital TIG) welding with programmable controls and precision welding output. 
- A3: It is designed for cleanroom and high‑purity applications, with sealed construction and internal cooling to reduce airborne particulates. 
- A4: Features include internal cooling, stainless steel gas system, semiconductor‑grade connections, and diagnostic fault detection for reliable operation. 
- A5: It is compatible with all Arc Machines’ Model 9 series weld heads and similar orbital TIG head systems.</t>
  </si>
  <si>
    <t>M227</t>
  </si>
  <si>
    <t xml:space="preserve">M227 POWER SUPPLY TOP ASSY</t>
  </si>
  <si>
    <t>13B270110-01</t>
  </si>
  <si>
    <t xml:space="preserve">M227 power supply top assembly with integrated operator controls and housing components designed to support the M227 welding power source and interface connections.</t>
  </si>
  <si>
    <t xml:space="preserve">3–100 A DC @ 100/120 VAC; 3–225 A DC @ 200/240 VAC, 100% duty cycle</t>
  </si>
  <si>
    <t xml:space="preserve">Programmable Memory</t>
  </si>
  <si>
    <t xml:space="preserve">Stores up to 100 weld schedules with up to 100 levels per schedule</t>
  </si>
  <si>
    <t xml:space="preserve">Welding Controls</t>
  </si>
  <si>
    <t xml:space="preserve">Continuous/pulsed current control, rotation, wire feed, AVC and oscillation functions</t>
  </si>
  <si>
    <t xml:space="preserve">Connectivity &amp; Options</t>
  </si>
  <si>
    <t xml:space="preserve">Optional remote pendant, cooling unit interface, external memory module </t>
  </si>
  <si>
    <r>
      <t xml:space="preserve">The M227 Power Supply Top Assembly is the main assembly of the Model 227 orbital welding power supply, a programmable GTAW power source delivering up to approximately 225 A of continuous/pulsed output with high‑frequency arc start, pulsation, purge gas control, and integrated weld head functions. It features microprocessor control, weld schedule memory, and interfaces for adapter cables, remote pendants, and optional peripherals, making it suitable for automatic orbital welding of tubes, pipes, and fittings across diverse industries. (</t>
    </r>
    <r>
      <rPr>
        <u val="single"/>
        <color rgb="FF1155CC"/>
      </rPr>
      <t>morganitech.com</t>
    </r>
    <r>
      <rPr/>
      <t>)</t>
    </r>
  </si>
  <si>
    <t xml:space="preserve">Next-Generation Power Supply Assembly with Optimized Output Control</t>
  </si>
  <si>
    <t xml:space="preserve">Model 227 Orbital Welding Power Supply Assembly is a programmable inverter‑based GTAW source designed to support automatic orbital welding applications requiring controlled current delivery and filler addition. Featuring a broad weld current range, pre‑programmed schedule capability, and high‑duty‑cycle performance, it enables precise, repeatable welds for stainless steel, alloy, and high‑purity piping systems in industrial fabrication and sanitary processing. </t>
  </si>
  <si>
    <t xml:space="preserve">- Programmable orbital welding power supply- Current range up to ≈225 A DC for heavy welding- Stores multi‑level weld schedules- Inverter‑type DC output for smooth arc</t>
  </si>
  <si>
    <t xml:space="preserve">- Remote control pendant supported- Dust/moisture‑resistant interface- Multiple function control for pulsed and continuous welds- Compact portable design</t>
  </si>
  <si>
    <t xml:space="preserve">Order Your M227 Power Supply Top Assembly</t>
  </si>
  <si>
    <t xml:space="preserve">The M227 Power Supply Top Assy is a versatile orbital welding power source designed for automated GTAW welding of tubes, pipes, and fittings, offering pulsation control, high‑frequency arc start, purge gas management, and optional cold wire feed capabilities. Built for integration with a wide range of weld heads and accessories, it supports both manual and automated weld procedures in industrial, sanitary, and high‑precision applications. </t>
  </si>
  <si>
    <t xml:space="preserve">- Q1: What is the M227 Power Supply Top Assy? 
- Q2: What functions does the Model 227 power supply provide? 
- Q3: What options are available with the Model 227 system? 
- Q4: What welding parameters can be controlled? 
- Q5: Why is a remote pendant useful with the M227?</t>
  </si>
  <si>
    <t xml:space="preserve">- A1: The M227 Power Supply Top Assy is the main control and interface module of the Model 227 orbital welding power supply. 
- A2: It provides GTAW current with pulsation, high frequency arc starting, purge gas control, and programmable control features for orbital welding. 
- A3: Optional components for the M227 include cooling units like the M227/207‑CW for water‑cooled heads and remote operator pendants. 
- A4: The power supply can control current, pulse parameters, torch oscillation, and automatic timing functions for precise weld quality. 
- A5: A remote pendant allows operators to start, stop, and adjust weld sequences at a distance, improving workplace safety and flexibility.</t>
  </si>
  <si>
    <t>M2273</t>
  </si>
  <si>
    <t xml:space="preserve">M227-3 POWER SUPPLY TOP ASSY 3 PHASE</t>
  </si>
  <si>
    <t xml:space="preserve">M227-3 power supply top assembly 3-phase designed for three-phase input systems, providing robust housing and control interface for industrial orbital welding power supplies.</t>
  </si>
  <si>
    <t xml:space="preserve">3‑Phase Power</t>
  </si>
  <si>
    <t xml:space="preserve">3‑phase AC input for balanced industrial power and higher continuous output</t>
  </si>
  <si>
    <t xml:space="preserve">High Current Capability</t>
  </si>
  <si>
    <t xml:space="preserve">Extends full‑range programmable GTAW output suited for larger orbital weld heads</t>
  </si>
  <si>
    <t xml:space="preserve">Programmable Functions</t>
  </si>
  <si>
    <t xml:space="preserve">Multi‑level weld schedule storage and advanced process control</t>
  </si>
  <si>
    <t xml:space="preserve">Compatible with standard AMI weld heads, remote pendant and optional cooling systems</t>
  </si>
  <si>
    <r>
      <t xml:space="preserve">The M227‑3 Power Supply Top Assembly 3 Phase is the three‑phase variant of the Model 227 orbital welding power supply system, designed for industrial environments requiring robust three‑phase power input. It delivers programmable GTAW current with features including high‑frequency arc starting, pulsation control, purge gas management, and weld head integration. This assembly supports enhanced duty cycles and power stability for large‑scale automated welding operations with remote and peripheral options. (</t>
    </r>
    <r>
      <rPr>
        <u val="single"/>
        <color rgb="FF1155CC"/>
      </rPr>
      <t>morganitech.com</t>
    </r>
    <r>
      <rPr/>
      <t>)</t>
    </r>
  </si>
  <si>
    <t xml:space="preserve">Three-Phase Power Supply Assembly for High-Capacity Welding Systems</t>
  </si>
  <si>
    <t xml:space="preserve">Three‑phase version of the Model 227 power supply assembly, engineered for heavy‑duty industrial orbital welding systems requiring stable three‑phase power for high‑current welding outputs. Its enhanced input power handling delivers consistent arc performance, enables extended duty cycles, and allows precise control over weld schedules in high‑throughput manufacturing and large‑scale production environments such as chemical plants, power stations, and offshore fabrication. </t>
  </si>
  <si>
    <t xml:space="preserve">- Three‑phase welding power supply assembly- Higher efficiency for industrial grid power- Suitable for extended duty cycles- Stable output across high workloads</t>
  </si>
  <si>
    <t xml:space="preserve">- Broad input voltage support- Adjustable controls for process parameters- Industrial service rating- Works with heavy cooling and automation systems</t>
  </si>
  <si>
    <t xml:space="preserve">Request M227‑3 3‑Phase Power Supply Top Assembly</t>
  </si>
  <si>
    <t xml:space="preserve">The M227‑3 Power Supply Top Assy 3 Phase delivers high‑capacity orbital GTAW welding power with a three‑phase input for industrial environments requiring enhanced stability and continuous duty performance. Engineered to support extensive weld schedules and robust system integration, it is ideal for fabrication facilities with heavy workloads and complex piping systems. Paired with appropriate cooling and control accessories, it ensures precision and throughput for demanding applications. </t>
  </si>
  <si>
    <t xml:space="preserve">- Q1: What is the M227‑3 Power Supply Top Assy 3 Phase? 
- Q2: How does 3‑phase power improve welding power supplies? 
- Q3: What welding capabilities are typical for a 3‑phase unit? 
- Q4: What controls are included on the M227‑3 top assembly? 
- Q5: Why use a 3‑phase power supply in industrial settings?</t>
  </si>
  <si>
    <t xml:space="preserve">- A1: The M227‑3 Power Supply Top Assy 3 Phase is the control and interface assembly for the 3‑phase version of the Model 227 welding power supply. 
- A2: 3‑phase power provides smoother electrical delivery and higher continuous duty cycle capacity, ideal for heavy‑duty orbital welding. 
- A3: Typical 3‑phase welding units support higher ampere ranges and longer duty cycles for large tubing and pipe. 
- A4: The top assembly includes controls for current, pulsation, gas purge, arc parameters, and menu navigation for weld schedules. 
- A5: Industrial environments benefit from the increased power stability and efficiency of 3‑phase systems for consistent weld quality.</t>
  </si>
  <si>
    <t>M227-3XFMR</t>
  </si>
  <si>
    <t xml:space="preserve">M227-3 XFMR POWER BOOSTER</t>
  </si>
  <si>
    <t xml:space="preserve">Transformer | Power Supply Accessories</t>
  </si>
  <si>
    <t xml:space="preserve">M227-3 XFMR power booster transformer built to enhance power delivery for M227-series three-phase welding systems with improved electrical stability.</t>
  </si>
  <si>
    <t xml:space="preserve">Transformer Integration</t>
  </si>
  <si>
    <t xml:space="preserve">Booster transformer to step‑up or balance 3‑phase supply for M227‑3 power supply</t>
  </si>
  <si>
    <t xml:space="preserve">Enhanced Output</t>
  </si>
  <si>
    <t xml:space="preserve">Improves current stability and continuous duty performance for heavy welding</t>
  </si>
  <si>
    <t xml:space="preserve">Electrical Protection</t>
  </si>
  <si>
    <t xml:space="preserve">Includes overload and fault detection protections for transformer and power supply</t>
  </si>
  <si>
    <t xml:space="preserve">System Support</t>
  </si>
  <si>
    <t xml:space="preserve">Interfaces with M227‑3 power supply to enable higher‑demand weld applications</t>
  </si>
  <si>
    <t xml:space="preserve">The M227‑3 XFMR Power Booster is a transformer booster unit designed to support the M227‑3 Power Supply by conditioning and enhancing incoming AC power for stable and reliable welding output. It delivers consistent voltage transformation to optimize power delivery to orbital welding systems, helping maintain welding performance under varying electrical supply conditions. Compatible with three‑phase welding power configurations for industrial applications requiring enhanced power stability.</t>
  </si>
  <si>
    <t xml:space="preserve">Transformer-Boosted Power Supply Module for Three-Phase Welding</t>
  </si>
  <si>
    <t xml:space="preserve">Three‑phase transformer power booster designed to enhance the available weld current and voltage stability for M227‑3 orbital power systems. It improves overall power delivery to the welding head and associated control electronics, ensuring robust arc performance under high‑load conditions and enabling reliable operation in facilities with variable electrical infrastructure. This accessory is ideal for demanding production lines and high‑ampere welding applications. </t>
  </si>
  <si>
    <t xml:space="preserve">- External transformer booster for 3‑phase power systems- Boosts voltage stability for weld units- Heavy‑duty transformer core- Protects weld electronics from sags</t>
  </si>
  <si>
    <t xml:space="preserve">- Ensures consistent arc performance- Designed for high power throughput- Improves system reliability- Compatible with M227‑3 supply units</t>
  </si>
  <si>
    <t xml:space="preserve">Order the M227‑3 XFMR Power Booster</t>
  </si>
  <si>
    <t xml:space="preserve">Optimize the performance of three‑phase welding systems with the M227‑3 XFMR Power Booster. Designed to support M227‑3 series power supplies, this transformer booster enhances input power quality and delivery for improved weld stability and consistent energy output. Ideal for high‑duty‑cycle production environments, it helps reduce voltage drop and supports reliable operation across a range of weld conditions.</t>
  </si>
  <si>
    <t xml:space="preserve">- Q1: What is the M227‑3 XFMR Power Booster? 
- Q2: How does a transformer‑type power booster improve welding performance? 
- Q3: When would you use a power booster with a welding power supply? 
- Q4: What advantages does the power booster provide for orbital welding? 
- Q5: What compatibility considerations exist for the XFMR Power Booster?</t>
  </si>
  <si>
    <t xml:space="preserve">- A1: The M227‑3 XFMR Power Booster is an auxiliary transformer designed to enhance the power capacity of a 3‑phase M227‑3 welding power supply. 
- A2: It increases available current and voltage, helping drive higher load weld heads or challenging joint conditions. 
- A3: Operators use a power booster when welding thicker materials or in high‑duty industrial welding applications requiring extended high output. 
- A4: The power booster supports improved penetration, stable arcs, and extended duty cycle performance. 
- A5: It must be matched to the base power supply’s phase configuration and capacity for safe and effective use.</t>
  </si>
  <si>
    <t>2X7CW</t>
  </si>
  <si>
    <t xml:space="preserve">M2X7CW COOLING UNIT</t>
  </si>
  <si>
    <t>13B270112-04</t>
  </si>
  <si>
    <t xml:space="preserve">M2X7CW cooling unit engineered as a water cooling system to manage heat for compatible welding power supplies and connected water-cooled weld heads.</t>
  </si>
  <si>
    <t xml:space="preserve">Water‑cooling unit designed to recirculate coolant through weld heads and cables to prevent overheating</t>
  </si>
  <si>
    <t xml:space="preserve">Includes visual and/or electronic flow/no‑flow indicator to ensure proper coolant circulation</t>
  </si>
  <si>
    <t xml:space="preserve">Coolant Capacity</t>
  </si>
  <si>
    <t xml:space="preserve">Reservoir capacity suitable for maintaining continuous weld head cooling</t>
  </si>
  <si>
    <t xml:space="preserve">Fault Protection</t>
  </si>
  <si>
    <t xml:space="preserve">Interfaces with power supply to signal coolant fault and stop weld sequence to protect equipment</t>
  </si>
  <si>
    <t xml:space="preserve">The M2X7CW Cooling Unit is a water‑circulation cooling system engineered to regulate temperature in conjunction with compatible orbital welding power supplies and weld heads. It includes an internal pump and heat exchanger to circulate coolant, maintaining optimal operating temperatures for torches and electronics during extended or high‑duty‑cycle welding operations, and helping prevent overheating and associated equipment wear.</t>
  </si>
  <si>
    <t xml:space="preserve">High-Efficiency Cooling Unit for Extended Weld Power Modules</t>
  </si>
  <si>
    <t xml:space="preserve">Water‑cooled thermal management unit compatible with M200‑series and M227 orbital welding systems, engineered to maintain optimal coolant flow and temperature during continuous welding operations. The M2X7CW cooler features high‑flow pumps and rugged connectors to ensure stable heat dissipation from closed‑head weld heads and transformer assemblies, enhancing equipment longevity and weld quality in high‑duty‑cycle industrial environments.</t>
  </si>
  <si>
    <t xml:space="preserve">- Industrial cooling unit for weld heads- Water circulation for thermal regulation- Compact stackable design for workstations- Monitors coolant flow and fault condition</t>
  </si>
  <si>
    <t xml:space="preserve">- Protects weld head and torch from overheating- Designed to interface directly with power supplies- Simple coolant fill and drain- Stable performance under continuous use</t>
  </si>
  <si>
    <t xml:space="preserve">Get Your M2X7CW Cooling Unit</t>
  </si>
  <si>
    <t xml:space="preserve">The M2X7CW Cooling Unit delivers advanced thermal control for orbital welding setups, circulating coolant efficiently to maintain stable temperatures in water‑cooled weld heads and torches. Built for integration with M2X7 series power supplies and accessories, it supports extended welding runs and consistent performance in industrial and fabrication settings. Contact us to discuss configuration options tailored to your system.</t>
  </si>
  <si>
    <t xml:space="preserve">- Q1: What is the M2X7CW Cooling Unit? 
- Q2: How does a CW cooling unit function in a welding system? 
- Q3: What makes a coolant fault detection important? 
- Q4: What coolant mixture is recommended for CW units? 
- Q5: Where is the cooling unit typically installed?</t>
  </si>
  <si>
    <t xml:space="preserve">- A1: The M2X7CW Cooling Unit is a liquid coolant circulation and cooling system designed to remove heat from welding heads and torch assemblies during operation. 
- A2: A CW cooling unit circulates de‑ionized water or coolant through the weld head and returns it through a reservoir and pump to dissipate heat. 
- A3: Coolant flow sensors detect inadequate flow, and a fault signal stops welding to prevent damage to the weld head or power supply. 
- A4: A mixture of de‑ionized or distilled water with glycol is typically recommended to prevent corrosion and improve heat transfer. 
- A5: The cooling unit is installed adjacent to the power supply and connected to the weld head coolant lines to maintain proper thermal management.</t>
  </si>
  <si>
    <t>307CW</t>
  </si>
  <si>
    <t xml:space="preserve">M307 COOLING UNIT</t>
  </si>
  <si>
    <t xml:space="preserve">M307 cooling unit designed to provide active water-cooled temperature regulation for the M307 power supply and associated orbital welding hardware.</t>
  </si>
  <si>
    <t xml:space="preserve">Cooling Circulation</t>
  </si>
  <si>
    <t xml:space="preserve">Mounted beneath M307 power supply, circulates coolant through weld heads/cables for heat removal</t>
  </si>
  <si>
    <t xml:space="preserve">Pump System</t>
  </si>
  <si>
    <t xml:space="preserve">Integrated pump maintains coolant flow (max ~2 L/min with bypass relief valve)</t>
  </si>
  <si>
    <t xml:space="preserve">Coolant fault indicators (visual/electronic) and fill level indicator on unit</t>
  </si>
  <si>
    <t xml:space="preserve">Duty Enhancement</t>
  </si>
  <si>
    <t xml:space="preserve">Enables welding of heavy‑walled materials or long productive runs by stabilizing operating temperatures</t>
  </si>
  <si>
    <t xml:space="preserve">The M307 Cooling Unit is a dedicated water cooling system designed to support the Model 307 orbital welding power supply and associated weld heads. It circulates coolant through connected welding components to dissipate heat and maintain efficient operating temperatures during prolonged welding cycles, enhancing equipment longevity and reliability in demanding industrial welding environments.</t>
  </si>
  <si>
    <t xml:space="preserve">Advanced Cooling Solution for Heavy-Duty Welding Equipment</t>
  </si>
  <si>
    <t xml:space="preserve">Dedicated cooling solution for Model 307 orbital welding power and control systems, delivering effective heat extraction through a closed‑loop water circulation system. Its high‑capacity reservoir and precision pump maintain consistent coolant temperatures, preventing thermal degradation of weld electronics and water‑cooled head components for uninterrupted, high‑quality production welding in sanitary and critical pipe fabrication sectors.</t>
  </si>
  <si>
    <t xml:space="preserve">- Heavy‑duty liquid cooling unit for welding systems- Reinforced housing for industrial environments- Large reservoir for extended operation- Designed for consistent temperature control</t>
  </si>
  <si>
    <t xml:space="preserve">- Maintains weld head and power supply thermal stability- Continuous duty rated pump- Easy‑access maintenance panels- Works with modular power supplies</t>
  </si>
  <si>
    <t xml:space="preserve">Select M307 Cooling Unit</t>
  </si>
  <si>
    <t xml:space="preserve">Maintain optimal thermal conditions in demanding welding operations with the M307 Cooling Unit. Providing robust water‑cooling circulation for compatible power supplies and weld heads, it mitigates heat buildup and supports long duty‑cycle performance. Designed for reliable service in industrial and high‑production environments, it enhances system uptime and weld quality.</t>
  </si>
  <si>
    <t xml:space="preserve">- Q1: What is the M307 Cooling Unit? 
- Q2: How does the M307 Cooling Unit support a welding system? 
- Q3: What welding scenarios benefit most from cooling units? 
- Q4: What maintenance is recommended for cooling units? 
- Q5: How does coolant flow improve weld quality?</t>
  </si>
  <si>
    <t xml:space="preserve">- A1: The M307 Cooling Unit is a liquid coolant circulation unit intended to provide thermal management for equipment paired with the M307 power supply and weld heads. 
- A2: It circulates coolant through the weld head and back to the reservoir, helping remove heat generated by the power supply and torch. 
- A3: Cooling units are most beneficial in high‑duty, continuous weld cycles and when water‑cooled weld heads are used. 
- A4: Routine maintenance includes checking coolant level, inspecting hoses and pump operation, and replacing coolant periodically. 
- A5: Adequate coolant flow stabilizes operating temperature, reducing thermal distortion and extending component life.</t>
  </si>
  <si>
    <t>M307</t>
  </si>
  <si>
    <t xml:space="preserve">M307 POWER SUPPLY TOP ASSY</t>
  </si>
  <si>
    <t>13C070100-06</t>
  </si>
  <si>
    <t xml:space="preserve">M307 power supply top assembly featuring durable housing and control interface components for the M307 orbital welding power source.</t>
  </si>
  <si>
    <t xml:space="preserve">Orbital GTAW power supply with programmable current and full process control for fusion welding</t>
  </si>
  <si>
    <t xml:space="preserve">Weld Scheduling</t>
  </si>
  <si>
    <t xml:space="preserve">Automatic weld schedule generation, multiple libraries, on‑the‑fly modification and rotate programming by time/degrees</t>
  </si>
  <si>
    <t xml:space="preserve">Graphical user interface, data logging, real‑time data acquisition, USB/print support</t>
  </si>
  <si>
    <t xml:space="preserve">Works with AMI water‑cooled units, weld heads of various series, remote pendants, and accessories</t>
  </si>
  <si>
    <t xml:space="preserve">The M307 Power Supply Top Assembly is the primary assembly of the Model 307 orbital tube welding power supply, a feature‑rich and advanced GTAW power source ideal for aerospace, food, pharmaceutical, biotech, and semiconductor welding applications. It delivers programmable welding current with automatic weld schedule generation, multiple weld libraries, on‑the‑fly schedule modification, rotation programming by time or degrees, data logging with built‑in printer, and USB connectivity. Compatible with all AMI fusion weld heads and capable of 3–200 A output with a 100 % duty cycle at 150 A, it provides robust precision control for automated orbital welding systems. </t>
  </si>
  <si>
    <t xml:space="preserve">Premium Power Supply Assembly for M307 Series Welding Systems</t>
  </si>
  <si>
    <t xml:space="preserve">The Model 307 Power Supply Assembly is a high‑performance orbital welding power source designed for medium to large‑diameter pipe and tube welding operations. Incorporating advanced inverter technology, multi‑level current programming, and extensive memory storage, it provides reliable arc stability and welding precision. Engineered for demanding fabrication environments, the assembly supports robust automation integration and high‑duty‑cycle production workflows.</t>
  </si>
  <si>
    <t xml:space="preserve">- Industrial grade power supply assembly- Designed for robust performance- Supports variable welding currents- Integrated control panel for adjustments</t>
  </si>
  <si>
    <t xml:space="preserve">- Smooth DC output under load- Designed for professional welding environments- Compatible with cooling and accessory modules- Enhanced reliability and thermal protection</t>
  </si>
  <si>
    <t xml:space="preserve">Request M307 Power Supply Top Assembly</t>
  </si>
  <si>
    <t xml:space="preserve">The M307 Power Supply Top Assy is a high‑performance orbital welding controller and power source engineered for automated GTAW welding of pipes and tubes. Featuring advanced control functions, programmable weld schedules, and integration with cooling systems and peripherals, it supports consistent arc stability and production‑grade weld repeatability. Ideal for fabrication shops, semiconductor facilities, and critical piping applications.</t>
  </si>
  <si>
    <t xml:space="preserve">- Q1: What is the M307 Power Supply Top Assy? 
- Q2: What features are typical of the M307 power supply? 
- Q3: What welding industries use the M307? 
- Q4: How does the M307 support weld head connections? 
- Q5: What controls are included on a power supply top assembly?</t>
  </si>
  <si>
    <t xml:space="preserve">- A1: The M307 Power Supply Top Assy is the main upper housing and control interface for the Model 307 orbital tube welding power supply used in precision automated welding. 
- A2: Typical features include automatic weld schedule generation, rotation programming, and multiple weld schedule libraries for advanced welding control. 
- A3: Industries such as aerospace, pharmaceutical, food processing, semiconductor, and biotech commonly use the M307 for orbital fusion welding tasks. 
- A4: The power supply top assembly provides connectors for weld head cables, remote pendants, gas inlet, and accessory interfaces. 
- A5: Controls on the top assembly typically include menu navigation, weld parameter settings, start/stop, and fault indicators.</t>
  </si>
  <si>
    <t>M52</t>
  </si>
  <si>
    <t xml:space="preserve">M52 WELD HEAD TOP ASSY</t>
  </si>
  <si>
    <t>13520100-01</t>
  </si>
  <si>
    <t xml:space="preserve">Heavy-duty automated orbital weld head with all-position capability, zero-backlash dual-motor drive, full arc rotation with AVC, wire feed and oscillation, and a water-cooled housing for extended operation.</t>
  </si>
  <si>
    <t xml:space="preserve">Heavy-duty precision automated orbital weld head</t>
  </si>
  <si>
    <t xml:space="preserve">Welding Capability</t>
  </si>
  <si>
    <t xml:space="preserve">All-position welding capability for pipe and plate</t>
  </si>
  <si>
    <t>Functionality</t>
  </si>
  <si>
    <t xml:space="preserve">Full-function with Arc rotation, AVC, wire feed, and oscillation</t>
  </si>
  <si>
    <t xml:space="preserve">Drive &amp; Cooling</t>
  </si>
  <si>
    <t xml:space="preserve">Zero-backlash dual-motor gear drive; water-cooled main housing for extended operations</t>
  </si>
  <si>
    <t xml:space="preserve">The Model 52 Weld Head is the pinnacle of heavy-duty automated orbital welding, engineered for all-position welding of pipe, plate, and fittings in demanding industrial environments such as nuclear, shipbuilding, chemical, petrochemical, and construction industries. It offers complete full-function welding capabilities including arc rotation, arc voltage control, wire feed, and torch oscillation. The precision zero-backlash dual-motor gear drive ensures consistent travel speeds, while the water-cooled main housing enables extended high-duty cycle operations. It accommodates pipes from 8 inches to unlimited sizes with minimal radial and axial clearance, and is compatible with the Model 415 power supply. Torch options include narrow groove welding and vision-equipped systems. Travel speed ranges from 0.2 to 20 RPM, torch oscillation and AVC stroke are 4 inches (102 mm), wire feed speed is 5–200 IPM, cross-seam steering is 4 inches (102 mm), with radial clearance starting at 6.56 inches (167 mm) and axial clearance at 15.75 inches (400 mm). Maximum wall thickness depends on torch type.</t>
  </si>
  <si>
    <t xml:space="preserve">Heavy-Duty Precision Automated Orbital Weld Head</t>
  </si>
  <si>
    <t xml:space="preserve">Heavy-Duty Industrial Precision: The most demanding heavy-industrial applications require maximum power delivery with complete versatility and precision control. The Model 52 represents the industry standard for challenging applications.</t>
  </si>
  <si>
    <t xml:space="preserve">- 0.2-20 RPM travel
 - 4" standard oscillation
 - Full-function capability
 - Arc rotation
 - Wire feed mechanics
 - Cross-seam steering
 - Zero-backlash drive</t>
  </si>
  <si>
    <t xml:space="preserve">- Unlimited pipe Size
- Field/Heavy duty use
- Minimal radial clearance
- Versatile torch options
- Video-equipped options</t>
  </si>
  <si>
    <t xml:space="preserve">Deploy Heavy-Duty Model 52 Weld Head</t>
  </si>
  <si>
    <t xml:space="preserve">Deploy the industry-standard heavy-duty Model 52 weld head for your most demanding orbital welding applications. Available for purchase and specialized rental packages from Arc Machines. Contact us to discuss application requirements, torch configurations, power supply compatibility, and complete system integration.</t>
  </si>
  <si>
    <t xml:space="preserve">- Q1: What is the M52 Weld Head Top Assy? 
- Q2: What welding process does the M52 support? 
- Q3: What applications is the M52 designed for? 
- Q4: What functional capabilities does the M52 include? 
- Q5: What makes the M52 a heavy‑duty weld head?</t>
  </si>
  <si>
    <t xml:space="preserve">- A1: The M52 Weld Head Top Assy is the upper assembly of the Model 52 orbital weld head used for automated pipe and plate welding. 
- A2: It supports automated GTAW (TIG) welding with options for cold and hot wire feed. 
- A3: The M52 is designed for heavy‑duty applications in industries such as shipbuilding, nuclear, chemical, and petrochemical fabrication. 
- A4: Functional capabilities include arc rotation, arc voltage control (AVC), wire feed support, and torch oscillation. 
- A5: Its heavy‑duty construction and precision guide rings make it versatile for a wide range of pipe diameters and welding conditions.</t>
  </si>
  <si>
    <t>M6A</t>
  </si>
  <si>
    <t xml:space="preserve">M6 WELD HEAD TOP ASSY</t>
  </si>
  <si>
    <t>13060129-01</t>
  </si>
  <si>
    <t xml:space="preserve">Specialized tube-to-tubesheet orbital weld head featuring a self-supporting design, pneumatic locating fixture, multiple torch options, and a 200A water-cooled torch for demanding applications.</t>
  </si>
  <si>
    <t xml:space="preserve">Specialized tube-to-tubesheet weld head</t>
  </si>
  <si>
    <t>Fixture</t>
  </si>
  <si>
    <t xml:space="preserve">Pneumatically operated locating fixture; Self-supporting on tubesheet design</t>
  </si>
  <si>
    <t xml:space="preserve">Torch Options</t>
  </si>
  <si>
    <t xml:space="preserve">Multiple torch options for various joint types</t>
  </si>
  <si>
    <t xml:space="preserve">200 A water-cooled torch capability</t>
  </si>
  <si>
    <t xml:space="preserve">The Model 6 Weld Head is a specialized orbital welding system optimized for high-production tube-to-tubesheet welding using the GTAW process. It features a pneumatically operated locating fixture for precise torch positioning, a self-supporting design on the tubesheet for stability in diverse orientations, including overhead, and multiple torch options (C, D, E) for fillet or flush/recessed applications with optional filler wire capability. The 200-ampere water-cooled torch provides 100% duty cycle operation, while exceptionally fast mount and dismount times maximize productivity. It offers unlimited 360-degree rotation, spring-loaded torch with chill follower, and ensures rapid, accurate, and reliable welding in heat exchanger and steam generator manufacturing.</t>
  </si>
  <si>
    <t xml:space="preserve">Specialized Tube-to-Tubesheet Welding System</t>
  </si>
  <si>
    <t xml:space="preserve">Specialized Production Welding: Tube-to-tubesheet welding requires specialized equipment optimized specifically for this critical production process. The Model 6 delivers proven productivity and quality.</t>
  </si>
  <si>
    <t xml:space="preserve">- 200A water-cooled
 - Unlimited rotation
 - Pneumatic fixture
 - Multiple torch options
 - Spring-loaded torch
 - Self-supporting design
 - Fast mount/dismount</t>
  </si>
  <si>
    <t xml:space="preserve">- Unlimited rotation
- Multiple position welding
- flexible torch designs
- Optional Video systems
- Rapid productivity</t>
  </si>
  <si>
    <t xml:space="preserve">Invest in Model 6 Tube-to-Tubesheet Welding</t>
  </si>
  <si>
    <t xml:space="preserve">Optimize tube-to-tubesheet production with the proven Model 6 weld head, featuring pneumatic positioning and rapid cycle times. Available for purchase and production rental options from authorized distributors. Discuss your heat exchanger or steam generator production needs for system recommendations and pricing.</t>
  </si>
  <si>
    <t xml:space="preserve">- Q1: What is the M6 Weld Head Top Assy? 
- Q2: What welding tasks is the M6 head suited for? 
- Q3: What range of pipe sizes might the M6 support? 
- Q4: What controls are available on an orbital weld head? 
- Q5: Why is weld head alignment important?</t>
  </si>
  <si>
    <t xml:space="preserve">- A1: The M6 Weld Head Top Assy is the main upper assembly section of the Model 6 orbital weld head used in automated welding setups. 
- A2: It is suited for precision GTAW (TIG) welding on small to medium diameter pipe and tubing. 
- A3: Typical weld heads in this series accommodate a range of pipe outside diameters suitable for industrial and sanitary applications. 
- A4: Weld head controls can include rotation drive control, arc gap sensing, and torch orientation adjustments. 
- A5: Proper weld head alignment ensures consistent arc path and fusion quality around the pipe circumference.</t>
  </si>
  <si>
    <t>M792375</t>
  </si>
  <si>
    <t xml:space="preserve">M79-2375 WELD HEAD TOP ASSY</t>
  </si>
  <si>
    <t>13790109-01</t>
  </si>
  <si>
    <t xml:space="preserve">Economical full-function precision orbital weld head with integral clamping, arc voltage control, programmable oscillation and wire feed, and a 200A water-cooled torch supporting 100% duty cycle.</t>
  </si>
  <si>
    <t xml:space="preserve">Economical Design</t>
  </si>
  <si>
    <t xml:space="preserve">Economical full-function precision weld head</t>
  </si>
  <si>
    <t xml:space="preserve">Integral clamping system for various pipe sizes</t>
  </si>
  <si>
    <t xml:space="preserve">Arc voltage control for precise arc gap control</t>
  </si>
  <si>
    <t xml:space="preserve">Oscillation &amp; Cooling</t>
  </si>
  <si>
    <t xml:space="preserve">Programmable oscillation and precision wire feeder; Water-cooled 200A torch for 100% duty cycle</t>
  </si>
  <si>
    <t xml:space="preserve">The Model 79-2375 Weld Head is an economical, full-function precision orbital welding system designed for small to medium diameter pipe in fabrication shops and field operations. Its integral clamping system enables rapid adjustment to pipe diameters from 0.75 to 2.375 inches OD with wall thickness up to 0.44 inches. The system includes arc voltage control for precise gap management, programmable oscillation for consistent weld quality, and an on-board wire feeder for reliable filler wire application. The 200-ampere water-cooled torch supports 100% duty cycle operation. Rotation speed ranges from 0.1 to 5 RPM, with lead/lag adjustment of ±5°, cross-seam ±0.25 inches (6.35 mm), tilt in/out 15°/45°, and the system weighs 11 lbs (5 kg) without cables. Compatible with Model 227 and 415 power supplies and suitable for stainless steel, carbon steel, and exotic alloys.</t>
  </si>
  <si>
    <t xml:space="preserve">Order Weld Head</t>
  </si>
  <si>
    <t xml:space="preserve">Economical Full-Function Orbital Weld Head</t>
  </si>
  <si>
    <t xml:space="preserve">Economical Precision Welding: Small to medium diameter pipe welding requires economical equipment without sacrificing precision or reliability. The Model 79-2375 provides this perfect balance.</t>
  </si>
  <si>
    <t xml:space="preserve">- 0.75-2.375" OD range
 - 0.44" max wall
 - 0.1-5.0 RPM
 - 200A torch
 - AVC control
 - Programmable oscillation
 - On-board wire feeder</t>
  </si>
  <si>
    <t xml:space="preserve">- Compatible with 227, 415
 - Elimination of guide rings
 - Quick diameter adjustment
 - Exotic alloy capable
 - Various joint designs
 - Weldable materials
 - Production efficient</t>
  </si>
  <si>
    <t xml:space="preserve">Specify Model 79-2375 Weld Head</t>
  </si>
  <si>
    <t xml:space="preserve">Implement economical precision orbital welding with the Model 79-2375, engineered for small-diameter applications. Available for purchase from Arc Machines and authorized distributors worldwide. Contact us for application analysis, power supply compatibility, and competitive volume pricing.</t>
  </si>
  <si>
    <t xml:space="preserve">- Q1: What is the M79‑2375 Weld Head Top Assy? 
- Q2: What is the primary use of the M79 series weld heads? 
- Q3: What pipe diameters can the M79‑2375 cover? 
- Q4: What features help with weld quality in the M79‑2375? 
- Q5: Why is automation beneficial for orbital weld heads?</t>
  </si>
  <si>
    <t xml:space="preserve">- A1: The M79‑2375 Weld Head Top Assy is the upper section of a Model 79 orbital weld head designed to support automated circumferential welding. 
- A2: The M79 series is used for pipe‑to‑pipe or tube welding where consistent bead geometry and automated arc control are required. 
- A3: This series typically covers mid‑range pipe diameters, enabling welding up to several inches in diameter. 
- A4: Features include controlled arc rotation and adjustable torch travel for consistent weld quality. 
- A5: Automation allows repeatable welds, reduced operator fatigue, and improved productivity in high‑volume or critical weld applications.</t>
  </si>
  <si>
    <t>M793500</t>
  </si>
  <si>
    <t xml:space="preserve">M79-3500 WELD HEAD TOP ASSY</t>
  </si>
  <si>
    <t>13790103-02</t>
  </si>
  <si>
    <t xml:space="preserve">Full-function orbital weld head for tube and pipe with quick-adjust integral clamping, support for 1.00″–3.50″ OD pipes, arc voltage control, programmable oscillation, and a continuous-duty 200A water-cooled torch.</t>
  </si>
  <si>
    <t xml:space="preserve">Full-function orbital weld head for tube and pipe</t>
  </si>
  <si>
    <t xml:space="preserve">Integral clamping system for quick adjustment</t>
  </si>
  <si>
    <t xml:space="preserve">Accommodates 1.00" to 3.50" OD pipe range</t>
  </si>
  <si>
    <t xml:space="preserve">Arc &amp; Cooling</t>
  </si>
  <si>
    <t xml:space="preserve">Arc voltage control and programmable oscillation; Water-cooled 200A torch for continuous duty</t>
  </si>
  <si>
    <t xml:space="preserve">The Model 79-3500 Weld Head is a full-function orbital welding system for mid-diameter pipe from 1.00 to 3.50 inches OD with wall thickness up to 0.44 inches. Its integral clamping system enables quick adjustment for various pipe sizes. The system includes arc voltage control, programmable oscillation, and an on-board precision wire feeder for automated welding. Rotation speed is adjustable from 0.05 to 2.0 RPM, with lead/lag adjustment of ±10°, cross-seam ±0.375 inches (9.53 mm), and tilt in/out 15°/45°. The 200-ampere water-cooled torch provides 100% duty cycle operation. The system weighs 14 lbs (6.35 kg) without cables and is compatible with Models 227 and 415 power supplies, offering economical precision welding for nuclear, petrochemical, and power generation applications.</t>
  </si>
  <si>
    <t xml:space="preserve">Request Configuration</t>
  </si>
  <si>
    <t xml:space="preserve">Mid-Range Orbital Welding Head Solution</t>
  </si>
  <si>
    <t xml:space="preserve">Mid-Range Production Welding: Mid-diameter pipe applications from 1 to 3.5 inches require flexible, efficient welding equipment. The Model 79-3500 delivers economical full-function capability.</t>
  </si>
  <si>
    <t xml:space="preserve">- 1.00-3.50" OD range
 - 0.44" max wall
 - 0.05-2.0 RPM
 - 200A torch
 - Full-function design
 - Integral clamping
 - Wire positioning</t>
  </si>
  <si>
    <t xml:space="preserve">- Compatible with 227, 415
 - Eliminates need for guide rings
 - Material versatile
 - Hastelloy, Inconel capable
 - Economical solution
 - Multiple applications
 - Proven performance</t>
  </si>
  <si>
    <t xml:space="preserve">Configure Model 79-3500 System</t>
  </si>
  <si>
    <t xml:space="preserve">Configure mid-range orbital welding with the versatile Model 79-3500, featuring flexible programming and multiple material capability. Available for purchase and rental from authorized Arc Machines distributors. Reach out to discuss your welding requirements and receive customized system recommendations.</t>
  </si>
  <si>
    <t xml:space="preserve">- Q1: What is the M79‑3500 Weld Head Top Assy? 
- Q2: What distinguishes the 3500 designation? 
- Q3: In what projects is the M79‑3500 typically used? 
- Q4: What welding control features are important on the M79‑3500? 
- Q5: How does the weld head impact repeatability?</t>
  </si>
  <si>
    <t xml:space="preserve">- A1: The M79‑3500 Weld Head Top Assy is the upper assembly of a larger‑range Model 79 orbital weld head. 
- A2: The 3500 designation refers to the head’s capacity and travel range suited for larger diameter pipe. 
- A3: It’s typically used where mid to large diameter pipe fusion is needed in industrial or fabrication settings. 
- A4: Important control features include adjustable arc rotation, voltage control, travel speed, and torch oscillation for bead shaping. 
- A5: The weld head contributes to repeatable, consistent welds by maintaining geometry and controlled parameters.</t>
  </si>
  <si>
    <t>M794500</t>
  </si>
  <si>
    <t xml:space="preserve">M79-4500 WELD HEAD TOP ASSY</t>
  </si>
  <si>
    <t>13790124-01</t>
  </si>
  <si>
    <t xml:space="preserve">Precision orbital weld head for large-diameter pipe featuring adjustable clamping without guide rings, 1.90″–4.50″ OD capacity, programmable oscillation with wire feed, and a 200A water-cooled torch for extended use.</t>
  </si>
  <si>
    <t xml:space="preserve">Precision orbital weld head for larger diameter pipe</t>
  </si>
  <si>
    <t xml:space="preserve">Adjustable clamping system eliminates need for guide rings</t>
  </si>
  <si>
    <t xml:space="preserve">1.90" to 4.50" OD pipe accommodation</t>
  </si>
  <si>
    <t xml:space="preserve">Programmable oscillation and wire feeder; Water-cooled 200A torch for extended operations</t>
  </si>
  <si>
    <t xml:space="preserve">The Model 79-4500 Weld Head is a precision orbital welding system for larger diameter pipe from 1.90 to 4.50 inches OD and wall thickness up to 0.675 inches. Its integral clamping system with automatic centering allows rapid setup and adjustment without guide rings. Arc voltage control provides precise arc gap management, while programmable oscillation ensures consistent multi-pass welds. The on-board wire feeder delivers 5–100 IPM, and the 200-ampere water-cooled torch provides 100% duty cycle operation. Rotation speed ranges from 0.05 to 2.0 RPM, with lead/lag adjustment ±10°, cross-seam ±0.375 inches (9.53 mm), and tilt in/out 15°/45°. Weighing 16 lbs (7.25 kg) without cables, it is compatible with Model 227 and 415 power supplies for nuclear, petrochemical, and power generation applications.</t>
  </si>
  <si>
    <t xml:space="preserve">Add to Order</t>
  </si>
  <si>
    <t xml:space="preserve">Advanced Mid-Diameter Orbital Weld Head</t>
  </si>
  <si>
    <t xml:space="preserve">Advanced Larger Diameter Capability: Applications requiring 1.9 to 4.5 inch diameter pipe benefit from enhanced control and flexibility. The Model 79-4500 provides proven performance.</t>
  </si>
  <si>
    <t xml:space="preserve">- 1.90-4.50" OD range
 - 0.675" max wall
 - 0.05-2.0 RPM
 - 200A torch
 - Automatic centering
 - Programmable wire feed
 - Field-proven design</t>
  </si>
  <si>
    <t xml:space="preserve">- Compatible with 227, 415
 - No guide rings needed
 - Exotic materials capable
 - Production efficient
 - Economical operation
 - Multiple joint designs
 - Industry proven</t>
  </si>
  <si>
    <t xml:space="preserve">Select Model 79-4500 Weld Head</t>
  </si>
  <si>
    <t xml:space="preserve">Select the reliable Model 79-4500 weld head for professional mid to large-diameter orbital welding operations. Available for purchase through Arc Machines distributors with competitive lead times. Contact us for application-specific recommendations, power supply compatibility analysis, and volume pricing.</t>
  </si>
  <si>
    <t xml:space="preserve">- Q1: What is the M79‑4500 Weld Head Top Assy? 
- Q2: What range does the Model 79‑4500 serve? 
- Q3: What industries use the M79‑4500? 
- Q4: What safety considerations apply to orbital weld heads? 
- Q5: How do weld head features affect arc stability?</t>
  </si>
  <si>
    <t xml:space="preserve">- A1: The M79‑4500 Weld Head Top Assy is the top assembly of a large‑capacity Model 79 orbital weld head for automated welding tasks. 
- A2: The 4500 designation typically indicates compatibility with larger diameter pipes requiring significant travel. 
- A3: Industries include pressure vessel fabrication, petrochemical, and heavy manufacturing where quality orbital welding is critical. 
- A4: Safety considerations include guarding moving parts, proper grounding, and monitoring cooling to avoid overheating. 
- A5: Weld head features such as rotation control and torch positioning help maintain stable arc length and consistent weld quality.</t>
  </si>
  <si>
    <t>M79A4500</t>
  </si>
  <si>
    <t xml:space="preserve">M79A-4500 WELD HEAD TOP ASSY</t>
  </si>
  <si>
    <t xml:space="preserve">Advanced Model 79 series orbital weld head with enhanced torch positioning, rapid-adjust integral clamping, support for 1.90″–4.50″ OD pipes, and a 200A water-cooled torch with advanced electronics.</t>
  </si>
  <si>
    <t xml:space="preserve">Advanced Model 79 series with enhanced features</t>
  </si>
  <si>
    <t xml:space="preserve">Integral clamping system for rapid adjustment</t>
  </si>
  <si>
    <t xml:space="preserve">1.90" to 4.50" OD pipe range</t>
  </si>
  <si>
    <t xml:space="preserve">Torch &amp; Cooling</t>
  </si>
  <si>
    <t xml:space="preserve">Enhanced torch positioning and control; Water-cooled 200A torch with advanced electronics</t>
  </si>
  <si>
    <t xml:space="preserve">The Model 79A-4500 Advanced Weld Head is an enhanced version of the Model 79 series, featuring upgraded electronics and advanced servo motor control. It supports mid to large diameter pipe from 1.90 to 4.50 inches OD with wall thickness up to 0.675 inches. The improved clamping system enables faster setup and enhanced positioning accuracy. Programmable oscillation and synchronized wire feeding allow precise welds, with rotation speeds from 0.05 to 2.5 RPM. Lead/lag adjustment is ±12°, and cross-seam ±0.375 inches (9.53 mm). The 200-ampere water-cooled torch delivers 100% duty cycle operation. Weighing 17 lbs (7.7 kg) without cables and compatible with the Model 415 power supply, it is ideal for demanding applications requiring advanced control features.</t>
  </si>
  <si>
    <t xml:space="preserve">Request Upgrade</t>
  </si>
  <si>
    <t xml:space="preserve">Enhanced Mid-Range Weld Head with Advanced Features</t>
  </si>
  <si>
    <t xml:space="preserve">Enhanced Mid-Range Performance: Applications demanding advanced control features and superior precision benefit from the Model 79A-4500's enhanced servo control. This represents the next generation of mid-range welding.</t>
  </si>
  <si>
    <t xml:space="preserve">- 1.90-4.50" OD range
 - 0.675" max wall
 - 0.05-2.5 RPM
 - Enhanced electronics
 - Advanced servo control
 - Improved accuracy
 - Premium features</t>
  </si>
  <si>
    <t xml:space="preserve">- Compatible with 415
 - Enhanced control precision
 - Advanced features
 - Superior positioning
 - Production optimized
 - Proven reliability
 - Premium solution</t>
  </si>
  <si>
    <t xml:space="preserve">Upgrade to Model 79A-4500 Advanced Head</t>
  </si>
  <si>
    <t xml:space="preserve">Upgrade to the enhanced Model 79A-4500 with advanced servo controls for superior precision and flexibility. Available for purchase from Arc Machines distributors with specialized technical support. Contact us for system upgrades, advanced feature demonstrations, and competitive pricing.</t>
  </si>
  <si>
    <t xml:space="preserve">- Q1: What is the M79A‑4500 Weld Head Top Assy? 
- Q2: How does the “A” variant differ from the standard? 
- Q3: What enhancements can the M79A‑4500 include? 
- Q4: What role do accessories play with weld heads? 
- Q5: Why is precision important in orbital welding?</t>
  </si>
  <si>
    <t xml:space="preserve">- A1: The M79A‑4500 Weld Head Top Assy is an upgraded or variant version of the Model 79‑4500 orbital weld head assembly. 
- A2: The “A” variant may include enhancements in travel control, water cooling compatibility, or additional automation interfaces. 
- A3: Enhancements can include improved drive motors, optional vision systems, or expanded torch options. 
- A4: Accessories such as wire feed units, vision cameras, or advanced controllers expand the weld head’s capability. 
- A5: Precision is vital to orbital welding to ensure uniform weld bead and metallurgical integrity.</t>
  </si>
  <si>
    <t>M81A</t>
  </si>
  <si>
    <t xml:space="preserve">M81 WELD HEAD TOP ASSY</t>
  </si>
  <si>
    <t>13810106-01</t>
  </si>
  <si>
    <t>AMI</t>
  </si>
  <si>
    <t xml:space="preserve">M81 weld head top assembly for full-function orbital pipe welding, featuring programmable arc voltage control and integrated camera guidance for precise weld alignment.</t>
  </si>
  <si>
    <t xml:space="preserve">Orbital Welding Capability</t>
  </si>
  <si>
    <t xml:space="preserve">Designed for full-function orbital pipe welding applications</t>
  </si>
  <si>
    <t xml:space="preserve">Programmable Arc Voltage Control</t>
  </si>
  <si>
    <t xml:space="preserve">Allows precise adjustment of arc voltage for consistent weld quality</t>
  </si>
  <si>
    <t xml:space="preserve">Integrated Camera Guidance</t>
  </si>
  <si>
    <t xml:space="preserve">Built-in camera system ensures accurate weld alignment and positioning</t>
  </si>
  <si>
    <t xml:space="preserve">Precision Weld Performance</t>
  </si>
  <si>
    <t xml:space="preserve">Delivers high-accuracy, repeatable weld results in demanding applications</t>
  </si>
  <si>
    <t xml:space="preserve">The M81 Weld Head Top Assembly is part of the Model 81 orbital pipe weld head system, a fully functional welding head designed for precision orbital pipe welding in industrial applications. It features programmable arc voltage control (AVC), torch oscillation, onboard wire feed and controlled travel, enabling high-quality welds even in applications with limited axial and radial clearance. In its standard configuration, the Model 81 weld head can handle pipe outside diameters from approximately 1.9″ (48 mm) to 5.563″ (142 mm) with minimal clearance requirements, making it suitable for shipbuilding, power plant piping and other demanding fabrication environments. The assembly is engineered for rugged, compact performance with water-cooled construction and supports options such as remote arc viewing systems and specialized torch configurations to enhance welding precision and productivity.</t>
  </si>
  <si>
    <t xml:space="preserve">Compact Low-Clearance Orbital Pipe Weld Head Assembly with Programmable Arc Voltage Control</t>
  </si>
  <si>
    <t xml:space="preserve">The M81 Weld Head Top Assembly is a high-performance orbital pipe welding head designed for precision automated welding tasks. It delivers full-function orbital welding with programmable arc voltage control (AVC), synchronized torch oscillation, onboard wire feed, and servo-controlled rotation to ensure consistent, high-quality welds on small-diameter piping. Engineered for use in applications with limited radial and axial clearance, the M81 head efficiently handles pipe diameters from approximately 1.9″ (48 mm) to 5.563″ (142 mm) while maintaining excellent weld geometry and repeatability. Its water-cooled body and robust clamping assembly reduce setup and changeover times, making it suitable for industries such as shipbuilding, power generation, chemical processing, and aerospace where precision and throughput are critical. Optional features include remote arc viewing systems and tilt/oscillation enhancements for specialized joints and complex weld profiles.</t>
  </si>
  <si>
    <t xml:space="preserve">- Full‑function orbital pipe weld head with AVC and torch oscillation 
- Standard pipe OD range 1.9″–5.563″ (48–142 mm) 
- Onboard wire feeder and travel mechanics 
- Designed for applications with limited axial &amp; radial clearance</t>
  </si>
  <si>
    <t xml:space="preserve">- Extremely compact, rugged package for orbital welding 
- Water‑cooled 200 A torch &amp; body, 100% duty cycle standard 
- Mount/dismount in as little as ~30 seconds with unique clamping design 
- Compatible with AMI 415 and 227 power supplies for full automation support</t>
  </si>
  <si>
    <t xml:space="preserve">Get Your M81 Weld Head Top Assembly</t>
  </si>
  <si>
    <t xml:space="preserve">The M81 Weld Head Top Assembly is a full‑function orbital pipe weld head engineered for precision small‑diameter welding applications. Featuring programmable Arc Voltage Control (AVC), torch oscillation, onboard wire feed, and servo‑controlled travel, this compact system delivers high‑quality, repeatable welds even in confined axial and radial spaces. Available through authorized Arc Machines distributors and industrial welding suppliers, contact us to discuss your specific welding needs, technical specifications, and configuration options.</t>
  </si>
  <si>
    <t xml:space="preserve">- Q1: What is the M81 Weld Head Top Assembly?
- Q2: What makes the M81 Weld Head suitable for tight or limited-space welding applications?
- Q3: What are the key features of the M81 Weld Head Top Assembly?
- Q4: What pipe sizes can the M81 Weld Head accommodate?
- Q5: Which industries commonly use the M81 Weld Head Top Assembly?</t>
  </si>
  <si>
    <t xml:space="preserve">- A1: The M81 Weld Head Top Assembly is a compact orbital weld head designed for small- to medium-diameter pipe welding, offering precise, repeatable welds with advanced servo-controlled automation.
- A2: Its compact design, minimal radial clearance, and integrated torch oscillation allow it to operate efficiently in confined areas while maintaining consistent weld quality.
- A3: Key features include programmable arc voltage control (AVC), servo-driven travel, integrated wire feed, torch oscillation, quick-mount capability, and compatibility with standard orbital power supplies.
- A4: The M81 Weld Head is ideal for pipe diameters ranging approximately from 1.9″ (48 mm) to 5.56″ (141 mm) OD, making it versatile for many industrial applications.
- A5: It is widely used in aerospace, power generation, shipbuilding, semiconductor, and high-precision manufacturing industries where small- to medium-diameter orbital welding is required.</t>
  </si>
  <si>
    <t>M9250</t>
  </si>
  <si>
    <t xml:space="preserve">M9-250 weld head top assembly from the Model 9 series designed for orbital TIG fusion welding of tube/pipe with a two-sided clamping mechanism for concentric fit-up.</t>
  </si>
  <si>
    <t xml:space="preserve">Clamping &amp; Visibility</t>
  </si>
  <si>
    <t xml:space="preserve">Visual sight window with two sets of hardened clamp plates; Unique latch design for firm grip and concentric alignment</t>
  </si>
  <si>
    <t xml:space="preserve">Use Case</t>
  </si>
  <si>
    <t xml:space="preserve">Ideal for extremely tight radial clearance applications</t>
  </si>
  <si>
    <t xml:space="preserve">The M9-250 Weld Head Top Assembly is a precision micro welding system designed for ultra-miniature applications with component diameters up to 1/4" (6.35 mm). Its unique hardened clamp plate with integrated visual sight window ensures perfect concentricity on very small components, while the specialized latch mechanism provides a firm, consistent grip without deforming delicate tubing. This weld head supports GTAW (TIG) fusion butt welding and accommodates tube wall thicknesses from 0.01" to 0.05" (0.25 - 1.27 mm). It is ideal for aerospace, medical device, and precision instrumentation applications, weighing 1.2 lbs (0.54 kg).</t>
  </si>
  <si>
    <t xml:space="preserve">- Q1: What is the M9‑250 Weld Head Top Assy? 
- Q2: What welding process is the Model 9‑250 designed for? 
- Q3: What pipe/tube sizes does the M9‑250 support? 
- Q4: What features enhance weld precision on a Model 9 head? 
- Q5: Why is clamping important for orbital weld heads?</t>
  </si>
  <si>
    <t xml:space="preserve">- A1: The M9‑250 Weld Head Top Assy is the upper assembly of the Model 9‑250 orbital welding head used for TIG fusion welding of tubes and small pipes. 
- A2: It’s configured for GTAW (TIG) fusion welding where precise control and concentric alignment are critical. 
- A3: The Model 9‑250 typically welds small diameters in the range of approximately 0.093″ to 0.250″ (2.3–6.3 mm) OD. 
- A4: Features include a two‑sided clamping mechanism that holds the parts concentrically and a viewing window to verify fit‑up. 
- A5: Good clamping ensures consistent alignment of the parts, improving weld quality and reducing the need for tack welding.</t>
  </si>
  <si>
    <t>M92500E</t>
  </si>
  <si>
    <t xml:space="preserve">M9-2500E WELD HEAD TOP ASSY</t>
  </si>
  <si>
    <t xml:space="preserve">M9-2500E weld head top assembly sized for larger tube/pipe in the Model 9 series with reliable orbital TIG welding capability and easy change-out clamp inserts.</t>
  </si>
  <si>
    <t xml:space="preserve">Enhanced Model</t>
  </si>
  <si>
    <t xml:space="preserve">Enhanced M9-2500 with electronic features</t>
  </si>
  <si>
    <t xml:space="preserve">Designed for 0.750" - 2.500" OD pipe range</t>
  </si>
  <si>
    <t xml:space="preserve">Two-sided clamping with concentricity compensation</t>
  </si>
  <si>
    <t>Features</t>
  </si>
  <si>
    <t xml:space="preserve">Flip-up viewing window for real-time fit-up verification; Water-cooled design for increased operational duty cycles</t>
  </si>
  <si>
    <t xml:space="preserve">The M9-2500E Weld Head Top Assembly is an enhanced electronic version of the M9-2500, offering precise control of welding parameters for tubes from 3/4" to 2.5" OD (19 - 63.5 mm) with wall thicknesses of 0.01" to 0.16" (0.25 - 4 mm). It features advanced electronic positioning for accurate torch alignment, synchronized welding operations, flip-up viewing window, and integrated water cooling for extended high-production duty cycles. The weld head is ideal for applications requiring precision and repeatability, supporting GTAW (TIG) fusion welding and weighing 4.1 lbs (1.85 kg).</t>
  </si>
  <si>
    <t xml:space="preserve">Enhanced Closed Fusion Weld Head with Electronic Control Features</t>
  </si>
  <si>
    <t xml:space="preserve">Enhanced Electronic Welding Control: The M9-2500E builds upon the proven M9-2500 platform with integrated electronic positioning and control features that enable advanced parameter management and synchronized welding operations, ideal for applications requiring both precision and repeatability in high-production environments.</t>
  </si>
  <si>
    <t xml:space="preserve">- Electronic positioning enhancement
- Two-sided clamping mechanism
- Water-cooled design
- Advanced control features
- Synchronized parameter management</t>
  </si>
  <si>
    <t xml:space="preserve">- Electronic parameter management
- Advanced control precision
- Extended duty operation
- Synchronized weld control
- Consistent quality output</t>
  </si>
  <si>
    <t xml:space="preserve">Order M9-2500E Electronic Control Weld Head</t>
  </si>
  <si>
    <t xml:space="preserve">The M9-2500E Enhanced Weld Head Top Assembly combines precision with advanced electronic control features. Available through Arc Machines distributors for purchase or rental, this advanced system is ideal for high-production manufacturing requiring both precision and repeatable results. Reach out for technical specifications, demonstrations, and customized solutions.</t>
  </si>
  <si>
    <t xml:space="preserve">- Q1: What is the M9‑2500E Weld Head Top Assy? 
- Q2: How does the “E” variant differ? 
- Q3: What applications benefit from a Model 9‑2500E? 
- Q4: What size range does Model 9‑2500E cover? 
- Q5: What are typical features of the Model 9 series?</t>
  </si>
  <si>
    <t xml:space="preserve">- A1: The M9‑2500E Weld Head Top Assy is the upper assembly of the extended range Model 9‑2500E orbital weld head used for automated TIG fusion welding of larger tubes and pipes. 
- A2: The “E” variant typically denotes an extended configuration for larger OD range and accessory adaptability. 
- A3: Applications include medium to large diameter pipe joining where precise, repeatable fusion quality is needed. 
- A4: It accommodates a wider diameter range than the smaller Model 9 heads, typically up to around 2.500″ (63.5 mm) OD. 
- A5: Model 9 series heads feature removable tube clamps, optional water cooling, and compatibility with AMI power supplies.</t>
  </si>
  <si>
    <t>M9500</t>
  </si>
  <si>
    <t xml:space="preserve">M9-500 weld head top assembly for orbital fusion (GTAW) tube and pipe welding, offering robust two-sided clamping for precise joint alignment.</t>
  </si>
  <si>
    <t>Compact</t>
  </si>
  <si>
    <t xml:space="preserve">Component Range</t>
  </si>
  <si>
    <t xml:space="preserve">Cooling &amp; Options</t>
  </si>
  <si>
    <t xml:space="preserve">Air-cooled design suitable for standard duty cycle applications; Multiple TCA cassette options for various tube sizes</t>
  </si>
  <si>
    <t xml:space="preserve">The M9-500 Weld Head Top Assembly is a compact air-cooled system for miniature tubes ranging from 3/32" to 1/2" OD (2.3 - 12.2 mm) with wall thicknesses of 0.01" to 0.05" (0.25 - 1.27 mm). Its dual-sided precision clamping mechanism ensures alignment in extremely confined spaces, accommodating stick-out distances as short as 0.25" (6.35 mm). TCA cassette collet options allow rapid changeover between component sizes. Designed for GTAW (TIG) fusion welding, it provides cost-effective operation while maintaining exceptional precision in aerospace and medical applications. Weight: 2.5 lbs (1.1 kg).</t>
  </si>
  <si>
    <t xml:space="preserve">- Q1: What is the M9‑500 Weld Head Top Assy? 
- Q2: What welding tasks is the Model 9‑500 designed for? 
- Q3: What diameter range can it handle? 
- Q4: What design aspects improve weld reliability? 
- Q5: Why is viewing access useful on weld heads?</t>
  </si>
  <si>
    <t xml:space="preserve">- A1: The M9‑500 Weld Head Top Assy is the top assembly for the Model 9‑500 orbital welding head used in GTAW (TIG) fusion applications. 
- A2: It’s designed for welding small tube and pipe sections with high precision and control. 
- A3: It accommodates pipe/tube diameters from about 0.093″ to 0.500″ (2.3–12.7 mm) OD. 
- A4: Features like two‑sided clamping and optional water‑cooling enhance stability and duty cycle. 
- A5: The viewing window allows operators to check fit‑up visually before welding, helping ensure consistency.</t>
  </si>
  <si>
    <t>M9500C</t>
  </si>
  <si>
    <t xml:space="preserve">M9-500C weld head top assembly from the Model 9 family delivering orbital TIG weld head performance with water-cooled capability and versatile clamp interface.</t>
  </si>
  <si>
    <t xml:space="preserve">Cooling Version</t>
  </si>
  <si>
    <t>Assembly</t>
  </si>
  <si>
    <t xml:space="preserve">Welding &amp; Visibility</t>
  </si>
  <si>
    <t xml:space="preserve">Capable of short stick-out welding (0.25" minimum); 360-degree joint visibility for weld quality monitoring</t>
  </si>
  <si>
    <t xml:space="preserve">The M9-500C Weld Head Top Assembly is the water-cooled version of the M9-500, designed for high-duty-cycle miniature tube welding from 3/32" to 1/2" OD (2.3 - 12.2 mm) and wall thicknesses of 0.01" to 0.05" (0.25 - 1.27 mm). It features a two-sided quick-release clamping mechanism, 360-degree joint visibility, and remote clamp loading for efficient high-volume production. The integrated water-cooling system prevents thermal degradation during extended welding. Ideal for aerospace, medical, and semiconductor industries, it supports GTAW (TIG) fusion welding and weighs 2.7 lbs (1.22 kg).</t>
  </si>
  <si>
    <t xml:space="preserve">- Q1: What is the M9‑500C Weld Head Top Assy? 
- Q2: How does the “C” version differ from standard? 
- Q3: What benefits does water cooling provide? 
- Q4: What range of applications does the M9‑500C serve? 
- Q5: What control features support weld quality?</t>
  </si>
  <si>
    <t xml:space="preserve">- A1: The M9‑500C Weld Head Top Assy is the upper portion of the water‑cooled version of the Model 9‑500 orbital weld head. 
- A2: The “C” designation indicates water cooling for higher duty cycle capability compared with air‑cooled variants. 
- A3: Water cooling allows longer welding runs without overheating and extends component life. 
- A4: It supports GTAW (TIG) fusion welding on tubes/pipes within the same diameter range as the M9‑500. 
- A5: Weld head features such as precise clamping and optional water cooling help improve arc stability and weld consistency.</t>
  </si>
  <si>
    <t>M951500</t>
  </si>
  <si>
    <t xml:space="preserve">M95-1500 WELD HEAD TOP ASSY</t>
  </si>
  <si>
    <t xml:space="preserve">M95-1500 weld head top assembly engineered for medium-diameter orbital fusion welding with self-centering clamp design and compatibility with standard power supplies.</t>
  </si>
  <si>
    <t>Open-Frame</t>
  </si>
  <si>
    <t xml:space="preserve">Open-frame weld head for 0.75" - 1.50" (19-40mm) OD tubes</t>
  </si>
  <si>
    <t xml:space="preserve">Economical and robust design suitable for high-productivity operations</t>
  </si>
  <si>
    <t xml:space="preserve">Manual arc length and torch cross-seam position control; Compatible with off-board wire feeder systems</t>
  </si>
  <si>
    <t xml:space="preserve">Joint Compatibility</t>
  </si>
  <si>
    <t xml:space="preserve">Suitable for J-prep, socket, and square butt joint designs</t>
  </si>
  <si>
    <t xml:space="preserve">The M95-1500 Weld Head Top Assembly is an economical, open-frame system for small-diameter pipes from 0.75" to 1.5" OD (19 - 40 mm) with wall thicknesses of 0.025" to 0.12" (0.635 - 3 mm). Its adjustable mounting and manual arc-length control provide sufficient precision for less demanding applications, while compatibility with off-board wire feeders ensures flexibility. It supports various joint types including J-prep, socket, and square butt for GTAW (TIG) welding, with or without filler. Weighing 6.5 lbs (2.95 kg), it is suited for maintenance, repair, and small-batch manufacturing.</t>
  </si>
  <si>
    <t xml:space="preserve">Economical Open-Frame Weld Head for Small Diameter Pipes</t>
  </si>
  <si>
    <t xml:space="preserve">Economical Small-Pipe Welding: The M95-1500 offers cost-effective performance for small-diameter pipe applications, featuring manual arc-length control and adjustable mounting that provide adequate precision for less demanding applications while maintaining Arc Machines' quality standards.</t>
  </si>
  <si>
    <t xml:space="preserve">- Economical open-frame construction
- Manual arc-length control
- Adjustable mounting system
- Off-board wire feeder compatible
- Cost-effective solution</t>
  </si>
  <si>
    <t xml:space="preserve">- Cost-conscious design
- Flexible manual control
- Extended production use
- Maintenance efficiency
- Small-batch production ideal</t>
  </si>
  <si>
    <t xml:space="preserve">Request M95-1500 Economical Weld Head Quote</t>
  </si>
  <si>
    <t xml:space="preserve">The M95-1500 Economical Weld Head Top Assembly offers cost-effective small-diameter pipe welding. Available for purchase or rental from Arc Machines distributors, this proven system is suitable for maintenance, repair, and small-batch manufacturing. Contact us for pricing, specifications, and technical support.</t>
  </si>
  <si>
    <t xml:space="preserve">- Q1: What is the M95‑1500 Weld Head Top Assy? 
- Q2: What type of orbital welding does the M95 series perform? 
- Q3: What diameter range does the Model 95‑1500 cover? 
- Q4: What typical industries use M95‑series heads? 
- Q5: What functional features aid weld alignment?</t>
  </si>
  <si>
    <t xml:space="preserve">- A1: The M95‑1500 Weld Head Top Assy is the upper assembly of the Model 95‑1500 orbital weld head, used in automated fusion (TIG) welding of pipe sections. 
- A2: The Model 95 series is designed for GTAW (TIG) orbital welding of pipe and tube in a variety of applications. 
- A3: It typically accommodates pipe/tube diameters around 0.625″ to 1.50″ (16–40 mm) OD. 
- A4: Industries using M95‑series heads include process piping, chemical, and fabrication where consistent orbital welds are needed. 
- A5: Functional features include automatic centering and secure clamping that help maintain concentric weld alignment.</t>
  </si>
  <si>
    <t>M952375</t>
  </si>
  <si>
    <t xml:space="preserve">M95-2375 WELD HEAD TOP ASSY</t>
  </si>
  <si>
    <t>13950184-01</t>
  </si>
  <si>
    <t xml:space="preserve">M95-2375 weld head top assembly for orbital welding accommodating 0.75″–2.375″ OD tube/pipe with open-frame design, 200A water-cooled torch, robust mechanics and fast setup. </t>
  </si>
  <si>
    <t xml:space="preserve">Open-frame weld head for 0.75" - 2.375" (19-61mm) OD tubes</t>
  </si>
  <si>
    <t xml:space="preserve">Economical robust mechanics ideal for limited clearance applications</t>
  </si>
  <si>
    <t xml:space="preserve">Setup &amp; Production</t>
  </si>
  <si>
    <t xml:space="preserve">Quick setup and high-production capability features; Manual arc length control with adjustable mounting system</t>
  </si>
  <si>
    <t xml:space="preserve">Versatile compatibility with various joint designs</t>
  </si>
  <si>
    <t xml:space="preserve">The M95-2375 Weld Head Top Assembly is an economical open-frame system for intermediate-sized pipes from 0.75" to 2.375" OD (19 - 61 mm) with wall thicknesses of 0.025" to 0.12" (0.635 - 3 mm). Manual arc-length control allows operators to optimize weld parameters, while the adjustable mounting accommodates diameter variations. Its robust construction ensures dependable performance in maintenance, repair, and small-batch manufacturing environments. Compatible with off-board wire feeder systems, it supports GTAW (TIG) welding with or without filler and weighs 7.2 lbs (3.26 kg).</t>
  </si>
  <si>
    <t xml:space="preserve">Robust Open-Frame Weld Head for Medium Diameter Pipe Welding</t>
  </si>
  <si>
    <t xml:space="preserve">Cost-Effective Mid-Range Welding: The M95-2375 extends economical open-frame performance to intermediate-sized pipes, combining manual control flexibility with robust construction that delivers dependable performance in maintenance, repair, and small-batch manufacturing environments.</t>
  </si>
  <si>
    <t xml:space="preserve">- Robust open-frame design
- Manual torch positioning
- Adjustable mounting capability
- Economical construction
- Flexible application range</t>
  </si>
  <si>
    <t xml:space="preserve">- Mid-size application coverage
- Manual parameter flexibility
- Durable construction
- Cost-effective operation
- Maintenance-friendly design</t>
  </si>
  <si>
    <t xml:space="preserve">Order M95-2375 Open-Frame Weld Head System</t>
  </si>
  <si>
    <t xml:space="preserve">The M95-2375 Open-Frame Weld Head Top Assembly provides economical medium-diameter welding. Available through authorized distributors for purchase or rental, this robust system is ideal for contract manufacturers and maintenance applications. Reach out to discuss pricing, specifications, and availability.</t>
  </si>
  <si>
    <t xml:space="preserve">- Q1: What is the M95‑2375 Weld Head Top Assy? 
- Q2: What pipe size range does it support? 
- Q3: Why is the M95 series valued in industrial welding? 
- Q4: How does orbital welding improve weld quality? 
- Q5: What are common welding parameters controlled by a weld head?</t>
  </si>
  <si>
    <t xml:space="preserve">- A1: The M95‑2375 Weld Head Top Assy is the top portion of the Model 95‑2375 orbital weld head used in automated GTAW (TIG) fusion welding of medium size pipe. 
- A2: It supports pipe/tube diameters roughly in the range of 0.75″ to 2.375″ (19–61 mm) OD. 
- A3: The M95 series is valued for its reliable clamping, repeatability, and versatility across pipe welding applications. 
- A4: Orbital welding provides consistent fusion around the entire circumference, reducing defects and enhancing quality. 
- A5: Common parameters controlled include weld current, rotation speed, arc length, and travel speed.</t>
  </si>
  <si>
    <t>M956625</t>
  </si>
  <si>
    <t xml:space="preserve">M95-6625 WELD HEAD TOP ASSY</t>
  </si>
  <si>
    <t>13950128-02</t>
  </si>
  <si>
    <t xml:space="preserve">M95-6625 weld head top assembly for orbital welding with open-frame clamping, supporting 2.00″–6.625″ OD tube/pipe and a 200A water-cooled torch for fusion applications. </t>
  </si>
  <si>
    <t xml:space="preserve">Open-frame weld head for 2.00" - 6.625" (51-168mm) OD tubes</t>
  </si>
  <si>
    <t xml:space="preserve">Economical and rugged design for large diameter pipe welding</t>
  </si>
  <si>
    <t xml:space="preserve">Manual control features for precise arc positioning</t>
  </si>
  <si>
    <t xml:space="preserve">Operation &amp; Compatibility</t>
  </si>
  <si>
    <t xml:space="preserve">Suitable for autogenous and filler metal welding operations; Compatible with off-board wire feeder systems</t>
  </si>
  <si>
    <t xml:space="preserve">The M95-6625 Weld Head Top Assembly is the largest open-frame model in the M95 series, designed for large-diameter pipes from 2" to 6.625" OD (51 - 168 mm) with wall thicknesses of 0.035" to 0.15" (0.9 - 3.8 mm). Manual arc-length control and adjustable mounting provide adequate weld quality while keeping equipment simple and durable. Compatible with off-board wire feeders, it supports GTAW (TIG) welding with or without filler for moderate-precision applications, weighing 8.8 lbs (4.0 kg). Ideal for cost-conscious, large-diameter pipe production.</t>
  </si>
  <si>
    <t xml:space="preserve">Heavy-Duty Open-Frame Weld Head for Large Diameter Pipe Applications</t>
  </si>
  <si>
    <t xml:space="preserve">Large-Diameter Economical Welding: The M95-6625 provides cost-conscious performance for large-diameter pipe applications, featuring robust open-frame construction and manual control that enable effective welding of substantial pipes while minimizing capital equipment investment.</t>
  </si>
  <si>
    <t xml:space="preserve">- Large diameter open-frame design
- Manual control features
- Robust construction
- Cost-conscious design
- Adjustable mounting system</t>
  </si>
  <si>
    <t xml:space="preserve">- Large-scale application range
- Manual control simplicity
- Durable open-frame design
- Production efficiency
- Economic capital investment</t>
  </si>
  <si>
    <t xml:space="preserve">Get Your M95-6625 Large-Diameter Economical Weld Head</t>
  </si>
  <si>
    <t xml:space="preserve">The M95-6625 Large-Diameter Economical Weld Head Top Assembly offers cost-effective large-pipe welding. Available for purchase or extended rental from Arc Machines distributors, this durable system is suitable for budget-conscious production environments. Contact our team for specifications and pricing.</t>
  </si>
  <si>
    <t xml:space="preserve">- Q1: What is the M95‑6625 Weld Head Top Assy? 
- Q2: What pipe sizes does the M95‑6625 handle? 
- Q3: What makes the M95‑6625 suitable for high‑precision applications? 
- Q4: How is the M95‑6625 different from other M95 series heads? 
- Q5: How does this weld head handle alignment and centering?</t>
  </si>
  <si>
    <t xml:space="preserve">- A1: The M95‑6625 Weld Head Top Assy is part of the M95 series, designed for automated orbital welding of larger diameter pipes. 
- A2: It handles pipe sizes typically ranging from 0.25″ to 2.5″ (6.3–63.5 mm) OD. 
- A3: Its design ensures consistent concentricity for reliable, high-quality TIG welding. 
- A4: The M95‑6625 offers a larger range and advanced control features compared to smaller M95 heads. 
- A5: Features like automatic centering ensure the weld head aligns pipes perfectly, improving weld consistency.</t>
  </si>
  <si>
    <t>M99</t>
  </si>
  <si>
    <t xml:space="preserve">M99 WELD HEAD TOP ASSY</t>
  </si>
  <si>
    <t>13990100-01</t>
  </si>
  <si>
    <t xml:space="preserve">M99 weld head top assembly from the Model 9 series fusion GTAW tube and pipe weld heads with two-sided clamping and water cooling for versatile orbital welding tasks. </t>
  </si>
  <si>
    <t xml:space="preserve">Precision orbital GTAW (TIG) weld head for fusion welding of cylindrical components</t>
  </si>
  <si>
    <t xml:space="preserve">Compatible with all Arc Machines power supplies (217, 207 series)</t>
  </si>
  <si>
    <t xml:space="preserve">Clamping &amp; Viewing</t>
  </si>
  <si>
    <t xml:space="preserve">Flip-up viewing window for easy fit-up verification; Two-sided clamping mechanism for concentric alignment</t>
  </si>
  <si>
    <t xml:space="preserve">Water-cooled rotor and cables for increased duty cycle operation</t>
  </si>
  <si>
    <t xml:space="preserve">The M99 Weld Head Top Assembly is a high-precision orbital welding system for components from 0.093" to 0.500" OD (2.3 - 12.7 mm) with wall thicknesses of 0.01" to 0.16" (0.25 - 4 mm). Water-cooled and two-sided clamping ensures secure positioning without tack welding, while the flip-up viewing window allows verification before welding. Compatible with Arc Machines power supplies, it delivers pulsed current for improved weld penetration and bead appearance on stainless steel and exotic alloys. Supports GTAW (TIG) fusion welding, with a 28V DC drive motor, max 150A pulsed current, and tungsten electrode sizes 1/16" or 3/32". Weight: 5-6 lbs (2.3-2.7 kg).</t>
  </si>
  <si>
    <t xml:space="preserve">Get Technical Specs &amp; Pricing</t>
  </si>
  <si>
    <t xml:space="preserve">Advanced Micro Orbital Weld Head for Precision TIG Welding</t>
  </si>
  <si>
    <t xml:space="preserve">Why Precision Matters in Micro Orbital Welding: The M99 weld head delivers laboratory-grade precision essential for semiconductor, pharmaceutical, and aerospace applications where weld integrity directly impacts product reliability and performance standards.</t>
  </si>
  <si>
    <t xml:space="preserve">- Water-cooled rotor and internal components
- Two-sided precision clamping mechanism
- Flip-up viewing window for fit-up verification
- Maximum 9.9 RPM rotation speed
- Electrode size flexibility (1/16" or 3/32")</t>
  </si>
  <si>
    <t xml:space="preserve">- 150A pulsed current capacity
- Servo-controlled rotation precision
- Pneumatic mandrel operation available
- Compatible with all AMI Power Supplies
- Compact design for tight clearance applications</t>
  </si>
  <si>
    <t xml:space="preserve">Contact Us for M99 Weld Head Specifications</t>
  </si>
  <si>
    <t xml:space="preserve">The M99 WELD HEAD TOP ASSY is available for purchase from authorized Arc Machines distributors and welding equipment suppliers. Contact us today to discuss your specific orbital welding requirements, request technical documentation, or to arrange a system demonstration. We offer flexible financing options and technical support to ensure your investment in precision orbital welding technology delivers maximum ROI.</t>
  </si>
  <si>
    <t xml:space="preserve">- Q1: What is the M99 Weld Head Top Assy? 
- Q2: What size range does the M99 handle? 
- Q3: What are the unique features of the M99? 
- Q4: How does the M99 improve welding efficiency? 
- Q5: Which industries use the M99 Weld Head?</t>
  </si>
  <si>
    <t xml:space="preserve">- A1: The M99 Weld Head Top Assy is designed for TIG fusion welding of medium to large diameter pipes in orbital welding systems. 
- A2: The M99 typically supports pipe sizes from 1″ to 6″ (25.4–152.4 mm) OD. 
- A3: Its unique features include adjustable clamping mechanisms and a precision drive for smooth operation. 
- A4: The M99 improves welding efficiency through quick set-up times and reliable arc stability. 
- A5: It’s used in industries like petrochemical, power, and aerospace, where high-quality welds are essential.</t>
  </si>
  <si>
    <t>M9E7500</t>
  </si>
  <si>
    <t xml:space="preserve">M9E-7500 WELD HEAD TOP ASSY</t>
  </si>
  <si>
    <t>13090080-02</t>
  </si>
  <si>
    <t xml:space="preserve">M9E-7500 weld head top assembly from the Model 9E family designed for large-diameter orbital fusion welding with two-sided clamping and water-cooled configuration. </t>
  </si>
  <si>
    <t>Large-Diameter</t>
  </si>
  <si>
    <t xml:space="preserve">Large-diameter tube capacity up to 7.500" (190.5 mm) OD</t>
  </si>
  <si>
    <t xml:space="preserve">Single-sided clamping for components with limited stick-out</t>
  </si>
  <si>
    <t xml:space="preserve">Water-cooled rotor, cables, and internal components</t>
  </si>
  <si>
    <t xml:space="preserve">Rotation &amp; Control</t>
  </si>
  <si>
    <t xml:space="preserve">Servo-controlled rotation for precise speed management; Compatible with all Arc Machines power supplies</t>
  </si>
  <si>
    <t xml:space="preserve">The M9E-7500 Weld Head Top Assembly is a large-capacity orbital system for process piping from 2.875" to 7.5" OD (73 - 190.5 mm) with wall thicknesses of 0.01" to 0.16" (0.25 - 4 mm). A single-sided clamp with offset electrode allows welding of components with challenging stick-out limitations. Water-cooled rotor and internal components ensure consistent performance during extended production. Ideal for food processing, pharmaceuticals, and nuclear applications, it supports GTAW (TIG) fusion welding with a 28V DC motor, max 200A pulsed current, and tungsten electrodes 1/16" and 3/32". Weight: 15-16 lbs (6.8-7.3 kg).</t>
  </si>
  <si>
    <t xml:space="preserve">Request System Integration Consultation</t>
  </si>
  <si>
    <t xml:space="preserve">Large-Diameter Orbital Weld Head for Process Pipe Applications</t>
  </si>
  <si>
    <t xml:space="preserve">Industrial-Scale Orbital Welding Capability: The M9E-7500 handles large-diameter process piping with the precision and consistency required for critical applications in food processing, pharmaceuticals, and nuclear industries.</t>
  </si>
  <si>
    <t xml:space="preserve">- 2.875" - 7.500" OD capacity
- Single-sided clamping design
- Full water-cooling system
- 200A pulsed current
- Heavy-duty construction</t>
  </si>
  <si>
    <t xml:space="preserve">- Servo-controlled rotation
- Offset electrode positioning
- Universal AMI compatibility
- Extended cable length available
- Precision gearbox drive</t>
  </si>
  <si>
    <t xml:space="preserve">Integrate M9E-7500 into Your Production System</t>
  </si>
  <si>
    <t xml:space="preserve">The M9E-7500 WELD HEAD TOP ASSY is available through authorized Arc Machines distributors and industrial welding equipment suppliers. This large-capacity orbital weld head is ideal for upgrading or establishing process piping welding capabilities in manufacturing environments. Our technical specialists can assist with system design, integration, training, and ongoing support to ensure successful deployment and maximum productivity.</t>
  </si>
  <si>
    <t xml:space="preserve">- Q1: What is the M9E‑7500 Weld Head Top Assy? 
- Q2: What welding processes are compatible with the M9E‑7500? 
- Q3: How does the "E" in M9E‑7500 affect its application? 
- Q4: What range of pipe sizes does the M9E‑7500 handle? 
- Q5: How do cooling features in the M9E‑7500 improve performance?</t>
  </si>
  <si>
    <t xml:space="preserve">- A1: The M9E‑7500 Weld Head Top Assy is the upper portion of the M9E‑7500 orbital welding head, used for TIG fusion welding on larger pipes. 
- A2: The M9E‑7500 is compatible with the GTAW (TIG) process for welding pipes, tubes, and fittings. 
- A3: The "E" typically stands for an extended feature that supports more robust power requirements and pipe size flexibility. 
- A4: It is ideal for pipe diameters ranging from 0.5″ to 6″ (12.7–152.4 mm) OD. 
- A5: The M9E‑7500 features water cooling to maintain welding stability and prolong head lifespan during continuous operations.</t>
  </si>
  <si>
    <t>M9ER4500</t>
  </si>
  <si>
    <t xml:space="preserve">M9ER-4500 WELD HEAD TOP ASSY</t>
  </si>
  <si>
    <t>13090070-02</t>
  </si>
  <si>
    <t xml:space="preserve">M9ER-4500 weld head top assembly from the Model 9 series featuring enhanced orbital GTAW welding capability with water cooling and concentric two-sided clamping. </t>
  </si>
  <si>
    <t xml:space="preserve">Rotating Electrode</t>
  </si>
  <si>
    <t xml:space="preserve">Rotating electrode configuration for enhanced weld accessibility</t>
  </si>
  <si>
    <t xml:space="preserve">1.0" - 4.5" (25.4 mm - 114.3 mm) OD tube range</t>
  </si>
  <si>
    <t xml:space="preserve">Water-cooled rotor and internal components</t>
  </si>
  <si>
    <t xml:space="preserve">Pneumatic mandrel operation for automatic clamping; Servo-controlled rotation with tachometer feedback</t>
  </si>
  <si>
    <t xml:space="preserve">The M9ER-4500 Weld Head Top Assembly features a rotating electrode design that improves weld joint accessibility and ergonomics for complex assemblies. Suitable for tubes from 1.0" to 4.5" OD (25.4 - 114.3 mm) with wall thicknesses of 0.01" to 0.16" (0.25 - 4 mm), it uses a pneumatic mandrel for secure single-button operation and a servo-controlled 28V DC rotor for precise orbital motion. Water cooling maintains performance during extended cycles. Supports GTAW (TIG) fusion welding with 200A pulsed current and tungsten electrodes 1/16" or 3/32". Weight: 10-11 lbs (4.5-5 kg).</t>
  </si>
  <si>
    <t xml:space="preserve">Get M9ER-4500 Specifications</t>
  </si>
  <si>
    <t xml:space="preserve">Rotating Electrode Orbital Weld Head for Enhanced Accessibility</t>
  </si>
  <si>
    <t xml:space="preserve">Enhanced Accessibility for Complex Assemblies: The M9ER-4500 rotating electrode design solves challenging weld joint accessibility problems in aerospace, semiconductor, and specialty manufacturing applications.</t>
  </si>
  <si>
    <t xml:space="preserve">- Rotating electrode design
- 1.0" - 4.5" OD range
- Pneumatic mandrel system
- Water-cooled components
- Servo-controlled motion</t>
  </si>
  <si>
    <t xml:space="preserve">- 200A pulsed current
- Single-button operation
- Flexible electrode sizes
- Universal AMI compatibility
- Tachometer feedback control</t>
  </si>
  <si>
    <t xml:space="preserve">Explore M9ER-4500 Rotating Electrode Technology</t>
  </si>
  <si>
    <t xml:space="preserve">The M9ER-4500 WELD HEAD TOP ASSY is engineered for manufacturers requiring enhanced weld joint accessibility and operator ergonomics. This specialized configuration is available through authorized Arc Machines distributors. Contact our technical team to discuss how rotating electrode technology can improve your orbital welding capabilities, reduce setup time, and enhance weld quality in challenging applications.</t>
  </si>
  <si>
    <t xml:space="preserve">- Q1: What is the M9ER‑4500 Weld Head Top Assy? 
- Q2: How is the M9ER‑4500 designed for high-output welding? 
- Q3: What is the pipe size range of the M9ER‑4500? 
- Q4: What cooling options are available for the M9ER‑4500? 
- Q5: What features improve the M9ER‑4500’s accuracy and efficiency?</t>
  </si>
  <si>
    <t xml:space="preserve">- A1: The M9ER‑4500 Weld Head Top Assy is the upper portion of the M9ER‑4500, designed for TIG welding on pipes in industrial settings. 
- A2: The "ER" typically refers to a reinforced head design for higher power capacity, enabling high-output welding. 
- A3: This model typically handles pipe sizes from 1.5″ to 4.5″ (38–114.3 mm) OD. 
- A4: It can be equipped with both air and water cooling to extend welding periods without overheating. 
- A5: Enhanced arc control and automatic centering ensure precise welds with minimal defects.</t>
  </si>
  <si>
    <t>SATF65NDHX</t>
  </si>
  <si>
    <t xml:space="preserve">CLOSED WH, WATER COOLED 0.25"-2.5" OD</t>
  </si>
  <si>
    <t>SATF-65NDHX</t>
  </si>
  <si>
    <t xml:space="preserve">Weld Head | Closed Type | Water Cooled</t>
  </si>
  <si>
    <t xml:space="preserve">Closed water-cooled weld head for 0.25″–2.5″ OD tubes delivering precision orbital welding performance with integrated water cooling and clamping suitable for small-diameter applications.</t>
  </si>
  <si>
    <t xml:space="preserve">Welding Head Type</t>
  </si>
  <si>
    <t xml:space="preserve">Closed orbital welding head for pipe/tube welding</t>
  </si>
  <si>
    <t xml:space="preserve">Integrated water cooling for heat dissipation in continuous cycles</t>
  </si>
  <si>
    <t xml:space="preserve">Designed for OD 0.25″–2.50″ (small‑diameter precision welds)</t>
  </si>
  <si>
    <t xml:space="preserve">Compact self‑centering clamping system for secure alignment during welding </t>
  </si>
  <si>
    <t xml:space="preserve">A closed orbital welding head designed for precision GTAW (TIG) fusion welding of tubes and pipes with outside diameters from approximately 0.25" to 2.5". It features a compact enclosed chamber that ensures consistent gas coverage for clean welds, precision tube positioning, and excellent joint quality in confined spaces. The water‑cooled system provides efficient heat dissipation suited for high duty‑cycle welding applications, supporting stable performance across a wide range of materials. Typical applications include stainless steel, nickel alloys and thin‑wall piping in aerospace, instrumentation, and industrial fabrication. </t>
  </si>
  <si>
    <t xml:space="preserve">Explore Weld Head Options</t>
  </si>
  <si>
    <t xml:space="preserve">Water‑Cooled Closed Orbital Weld Head for Small Diameter Tubes</t>
  </si>
  <si>
    <t xml:space="preserve">Closed water‑cooled orbital welding head engineered for pipe and tube diameters from 0.25″ to 2.5″ OD, featuring an integrated coolant jacket that efficiently removes heat from the weld zone for high‑duty‑cycle TIG/GTAW applications. Its compact design allows welding in tight spaces while maintaining stable arc characteristics and repeatable, oxidation‑free joints in stainless steel, high‑purity, and other critical fabrication environments. Water cooling reduces electrode wear and extends duty cycles in high current welding tasks. </t>
  </si>
  <si>
    <t xml:space="preserve">- Compact water-cooled welding head- Designed for pipe/tube OD 0.25″–2.5″- Heavy-duty thermal protection- Optimized for continuous duty cycles</t>
  </si>
  <si>
    <t xml:space="preserve">- Maintains consistent weld temperature- Quick-connect cooling fittings- Smooth arc performance- Field-serviceable design</t>
  </si>
  <si>
    <t xml:space="preserve">Request Your Closed Water‑Cooled Weld Head 0.25"‑2.5" OD</t>
  </si>
  <si>
    <t xml:space="preserve">Deliver reliable orbital TIG welding performance with this closed, water‑cooled weld head designed for tube and pipe outside diameters from 0.25″ to 2.5″. Engineered with an integrated water‑cooling system to manage heat during TIG welding, it supports high‑duty cycles while maintaining excellent inert gas coverage and weld quality. Ideal for pharmaceutical, food‑grade, semiconductor, and industrial applications where precision and narrow profile access are key. </t>
  </si>
  <si>
    <t xml:space="preserve">- Q1: What is the Closed WH, Water Cooled 0.25″-2.5″ OD? 
- Q2: What makes the water cooling system in this model effective? 
- Q3: How does the closed welding head system work? 
- Q4: What are the main advantages of using a water‑cooled orbital weld head? 
- Q5: What types of materials is this weld head suitable for?</t>
  </si>
  <si>
    <t xml:space="preserve">- A1: The Closed WH, Water Cooled 0.25″-2.5″ OD is a water-cooled orbital welding head designed for tube and pipe welding. 
- A2: The closed-loop water cooling system dissipates heat efficiently, allowing for long, continuous welds without overheating. 
- A3: The system is closed to prevent contamination and ensures consistent cooling for prolonged welding applications. 
- A4: The main advantages are prolonged duty cycles, improved heat dissipation, and longer tool life. 
- A5: This weld head is suitable for materials such as stainless steel, carbon steel, and nickel alloys commonly used in the aerospace and piping industries.</t>
  </si>
  <si>
    <t xml:space="preserve">Cooling Unit | Welding System Accessory</t>
  </si>
  <si>
    <t xml:space="preserve">Cooling unit for SAXX-200/201 orbital welding power supplies designed to provide reliable water-cooled temperature regulation and automatic start/stop integration with the power source.</t>
  </si>
  <si>
    <t xml:space="preserve">Cooling Function</t>
  </si>
  <si>
    <t xml:space="preserve">External water cooling unit supporting SAXX‑200/201 orbital weld power supplies</t>
  </si>
  <si>
    <t xml:space="preserve">Thermal Control</t>
  </si>
  <si>
    <t xml:space="preserve">Maintains stable operating temperatures for welding heads and torch assemblies</t>
  </si>
  <si>
    <t xml:space="preserve">Flow Safety</t>
  </si>
  <si>
    <t xml:space="preserve">Includes flow/no‑flow indicators and fault detection to protect weld head parts</t>
  </si>
  <si>
    <t>Connections</t>
  </si>
  <si>
    <t xml:space="preserve">Quick‑connect coolant lines with pump integration for uninterrupted duty</t>
  </si>
  <si>
    <t xml:space="preserve">The SCOOL‑700 water cooling unit for use with SAXX‑200 and SAXX‑201 beveling systems provides a reliable coolant supply for extended beveling and milling operations. Engineered for compatibility with these Axxair beveling machines, the unit circulates cool water to manage thermal load, helping maintain consistent tool performance and prolonging component life during continuous duty cycles. Designed for industrial workshop environments, it supports effective temperature control to enhance machining quality. </t>
  </si>
  <si>
    <t xml:space="preserve">View Cooling Solutions</t>
  </si>
  <si>
    <t xml:space="preserve">Precision Thermal Control Cooling Unit for SAXX‑200/201 Systems</t>
  </si>
  <si>
    <t xml:space="preserve">Dedicated cooling unit designed to support SAXX‑200 and SAXX‑201 orbital welding power sources by circulating coolant to maintain optimal temperature profiles in water‑cooled weld heads and power electronics. It enables stable long‑duration welding performance by dissipating heat from the head and torch assembly, enhancing reliability and weld consistency in high‑production and automated welding installations. </t>
  </si>
  <si>
    <t xml:space="preserve">- Industrial water circulation system- Built for Saxx-200/201 weld heads- Flow sensor monitoring- Durable housing for shop and field use</t>
  </si>
  <si>
    <t xml:space="preserve">- Maintains stable temperature for sensitive electronics- Continuous operation capable- Compact footprint- Easy coolant fill and drain</t>
  </si>
  <si>
    <t xml:space="preserve">Get the Cooling Unit for SAXX‑200/201</t>
  </si>
  <si>
    <t xml:space="preserve">Maintain optimal thermal performance in your SAXX‑Series orbital welding setup with the Cooling Unit for SAXX‑200/201. Designed to integrate directly with SAXX power supplies, it circulates coolant efficiently to protect water‑cooled weld heads and torch components during extended welding cycles. Its dependable thermal control enhances duty cycle, system stability, and weld consistency across varied production environments.</t>
  </si>
  <si>
    <t xml:space="preserve">- Q1: What is the Cooling Unit for SAXX‑200/201? 
- Q2: What does the cooling unit do for SAXX welding systems? 
- Q3: What size range does the SAXX cooling unit support? 
- Q4: How does the cooling unit improve welding performance? 
- Q5: What maintenance is required for the cooling unit?</t>
  </si>
  <si>
    <t xml:space="preserve">- A1: The Cooling Unit for SAXX‑200/201 is a temperature control system that helps regulate the temperature of welding equipment during operation. 
- A2: It circulates coolant through the welding head and power supply to prevent overheating and ensure consistent performance. 
- A3: The unit is compatible with SAXX welding systems in the 200–201 series, providing temperature control for various pipe sizes. 
- A4: By maintaining consistent operating temperatures, it ensures higher duty cycles and extends the life of welding components. 
- A5: Routine maintenance includes checking coolant levels, inspecting hoses, and ensuring proper circulation to avoid overheating.</t>
  </si>
  <si>
    <t>DCS221BM1</t>
  </si>
  <si>
    <t xml:space="preserve">Facing Tool | Tube Preparation</t>
  </si>
  <si>
    <t xml:space="preserve">Facing tool with concentric clamping for 2″–8.5″ OD pipes, engineered to precisely face and prep pipe ends for welding with uniform clamping force.</t>
  </si>
  <si>
    <t xml:space="preserve">Tool Type</t>
  </si>
  <si>
    <t xml:space="preserve">Pipe facing and preparation tool with concentric clamping system</t>
  </si>
  <si>
    <t xml:space="preserve">Clamping Range</t>
  </si>
  <si>
    <t xml:space="preserve">Accommodates pipe/tube sizes from 2″ to 8.5″ OD</t>
  </si>
  <si>
    <t xml:space="preserve">Precision Prep</t>
  </si>
  <si>
    <t xml:space="preserve">Ensures even end face for weld prep to improve joint quality</t>
  </si>
  <si>
    <t xml:space="preserve">Heavy‑duty build for consistent alignment and grip during facing operations</t>
  </si>
  <si>
    <t xml:space="preserve">A concentric facing tool designed for internal pipe or tube facing with a clamping range from 2" to 8.5". This tooling provides precise, balanced clamping to ensure concentric engagement with the workpiece for accurate end preparation. The tool supports face machining operations, delivering a flat, perpendicular surface suitable for subsequent welding or assembly. Typical features include robust clamping, high concentricity, and compatibility with industry standard tool posts and inserts. </t>
  </si>
  <si>
    <t xml:space="preserve">Request Tooling Information</t>
  </si>
  <si>
    <t xml:space="preserve">High‑Precision Concentric Facing Tool for 2"–8.5" Tube Prep</t>
  </si>
  <si>
    <t xml:space="preserve">Concentric clamping facing tool built for precise end‑preparation of pipe and tube ranging from 2″ to 8.5″ OD. Designed to face and square tube ends accurately for high‑quality weld preparation, the tool utilizes a robust clamping mechanism that centers on the tube, ensuring repeatable surface prep and alignment prior to orbital welding. This enhances fit‑up consistency and weld integrity in fabrication shops and field installation environments.</t>
  </si>
  <si>
    <t xml:space="preserve">- Precision facing tool for concentric clamping- Pipe/tube OD 2″–8.5″- Robust steel construction- Adjustable feed for smooth surface prep</t>
  </si>
  <si>
    <t xml:space="preserve">- High-accuracy cutting and facing- Easy mounting on standard weld fixtures- Consistent results for repeat operations- Low maintenance design</t>
  </si>
  <si>
    <t xml:space="preserve">Order Your Facing Tool With Concentric Clamping 2"‑8.5"</t>
  </si>
  <si>
    <t xml:space="preserve">Prepare pipe ends for high‑quality welds with this concentric clamp facing tool covering 2″ to 8.5″ diameters. Built for consistent surface preparation, it features rigid clamping and precision cutting elements that produce smooth, square faces on tube and pipe ends prior to welding. Ideal for orbital and manual TIG/GTAW welding setups where precise fit‑up and repeatable joint quality support defect‑free welds.</t>
  </si>
  <si>
    <t xml:space="preserve">- Q1: What is the Facing Tool Concentric Clamping 2"-8.5"? 
- Q2: What makes the concentric clamping system effective? 
- Q3: What pipe sizes are compatible with this facing tool? 
- Q4: What industries benefit from the Facing Tool Clamping system? 
- Q5: How does this tool help with pipe preparation?</t>
  </si>
  <si>
    <t xml:space="preserve">- A1: The Facing Tool Concentric Clamping 2"-8.5" is a specialized tool designed for facing and end preparation of pipes. 
- A2: The concentric clamping system ensures that the pipe is held firmly and evenly, preventing misalignment during the facing process. 
- A3: This tool is compatible with pipe sizes ranging from 2" to 8.5" (50.8–215.9 mm) OD. 
- A4: Industries such as power generation, petrochemical, and construction rely on this tool for precise pipe end preparation. 
- A5: It helps ensure a smooth, even surface for welding by facing the pipe ends accurately, improving joint integrity.</t>
  </si>
  <si>
    <t>SDB206</t>
  </si>
  <si>
    <t xml:space="preserve">SDB 206 BEVELING MACHINE  2.27- 6.77 ID</t>
  </si>
  <si>
    <t>56-000-XX</t>
  </si>
  <si>
    <t xml:space="preserve">E.H. WACHS</t>
  </si>
  <si>
    <t xml:space="preserve">Beveling Machine | Tube Preparation</t>
  </si>
  <si>
    <t xml:space="preserve">SDB 206 beveling machine for pipe end preparations, offering pneumatic or electric operation to face, bevel and counterbore 2.27″–6.77″ ID pipe efficiently. </t>
  </si>
  <si>
    <t xml:space="preserve">Handheld pipe beveler for weld end preparation on ID 2.27″–6.77″</t>
  </si>
  <si>
    <t xml:space="preserve">Power Type</t>
  </si>
  <si>
    <t xml:space="preserve">Pneumatic drive with variable speed control valve</t>
  </si>
  <si>
    <t xml:space="preserve">Prep Functions</t>
  </si>
  <si>
    <t xml:space="preserve">Capable of facing, beveling and counterboring in carbon, stainless and alloy steels</t>
  </si>
  <si>
    <t xml:space="preserve">Accessories Included</t>
  </si>
  <si>
    <t xml:space="preserve">Includes sets of leg extensions, mandrel and hand tools for setup </t>
  </si>
  <si>
    <t xml:space="preserve">The SpeedPrep SDB‑206/2 small diameter pipe beveling machine is a pneumatic end prep tool engineered for facing, beveling, and counterboring ID pipe from 2.27" to 6.77" (57.7 mm–172 mm). It integrates a high‑torque air motor with adjustable speed control and includes leg extensions and operating tools for flexible setup. Designed to deliver fast, accurate weld preps on carbon, stainless and high‑alloy steels, this beveler is suited to boiler tube, heavy wall pipe and elbow applications in construction and industrial fabrication. </t>
  </si>
  <si>
    <t xml:space="preserve">Explore Beveling Solutions</t>
  </si>
  <si>
    <t xml:space="preserve">Industrial Beveling Machine for 2.27"–6.77" Internal Diameters</t>
  </si>
  <si>
    <t xml:space="preserve">Industrial beveling machine engineered for internal diameters from 2.27″ to 6.77″, providing precision beveling of pipe and tube ends for weld joint preparation. Its rugged design delivers smooth, uniform bevel profiles and is suitable for a broad range of materials including stainless steel, carbon steel, and alloys. Ideal for boiler, heat exchanger, and pressure vessel pipe prep operations requiring consistent, high‑quality weld preparations.</t>
  </si>
  <si>
    <t xml:space="preserve">- Pipe beveling machine for 2.27″–6.77″ ID- Heavy-duty gearing and drive motor- Adjustable bevel angle- Durable industrial frame</t>
  </si>
  <si>
    <t xml:space="preserve">- Accurate and repeatable bevel cuts- Portable and easy to position- Safety interlocks included- Suitable for stainless steel and carbon steel</t>
  </si>
  <si>
    <t xml:space="preserve">Select SDB 206 Beveling Machine 2.27‑6.77 ID</t>
  </si>
  <si>
    <t xml:space="preserve">Expand your weld preparation capabilities with the SDB 206 Beveling Machine, covering inside diameters from 2.27″ to 6.77″. Designed for rapid and accurate beveling operations, it delivers consistent edge preparation for pipe and tube prior to welding. Its robust mechanical design and versatile tooling support use in production environments and field fabrication, helping ensure optimal weld penetration and joint integrity.</t>
  </si>
  <si>
    <t xml:space="preserve">- Q1: What is the SDB 206 Beveling Machine 2.27-6.77 ID? 
- Q2: What is the primary function of the SDB 206 Beveling Machine? 
- Q3: What is the beveling range of this machine? 
- Q4: How does the SDB 206 improve pipe preparation for welding? 
- Q5: Is the SDB 206 suitable for field or workshop use?</t>
  </si>
  <si>
    <t xml:space="preserve">- A1: The SDB 206 Beveling Machine 2.27-6.77 ID is designed for beveling pipe ends with inner diameters (ID) ranging from 2.27" to 6.77" (57.7–171.5 mm). 
- A2: The machine is used to prepare pipe ends by beveling them for welding, improving the quality and speed of the welding process. 
- A3: It can bevel pipe ends within the range of 2.27" to 6.77" ID, providing the necessary angle for strong welds. 
- A4: By producing consistent bevels, it helps ensure better joint fit-up and reduced risk of weld defects. 
- A5: The SDB 206 is ideal for both field and workshop use, with portability and robustness for heavy-duty applications.</t>
  </si>
  <si>
    <t>PREPZ200</t>
  </si>
  <si>
    <t xml:space="preserve">MILLHOG SERIES - PREPZILLA BASIC KIT</t>
  </si>
  <si>
    <t>P-200</t>
  </si>
  <si>
    <t xml:space="preserve">ESCO TOOL</t>
  </si>
  <si>
    <t xml:space="preserve">Tube Preparation | Pipe Preparation Kit</t>
  </si>
  <si>
    <t xml:space="preserve">Millhog Series Prepzilla Basic Kit pipe beveling tool with rugged ID clamping and powerful drive, capable of beveling and prepping pipe from approximately 1.575″ ID to 8.625″ OD. </t>
  </si>
  <si>
    <t xml:space="preserve">Prep Tool Type</t>
  </si>
  <si>
    <t xml:space="preserve">Prepzilla Millhog beveling machine for pipe end prep</t>
  </si>
  <si>
    <t xml:space="preserve">Internal clamp range from 1.575″ ID to 8.625″ OD</t>
  </si>
  <si>
    <t xml:space="preserve">Motor Options</t>
  </si>
  <si>
    <t xml:space="preserve">Pneumatic or electric drive options for versatile onsite use</t>
  </si>
  <si>
    <t xml:space="preserve">Rugged Design</t>
  </si>
  <si>
    <t xml:space="preserve">Dual opposed tapered roller bearings and heavy duty clamping for long service life </t>
  </si>
  <si>
    <t xml:space="preserve">The Prepzilla MILLHOG basic pipe beveling kit is a portable end prep machine capturing a wide ID/O.D. range of 1.575" to 8.625" (40 mm to 219.1 mm) for bevel, face and bore operations. Built for smooth, powerful operation, it is capable of beveling challenging alloys like super duplex and P‑91 efficiently. The basic kit includes the motor and gear drive assembly, feed mechanism, mandrel, draw rod assembly, tool post, selected clamp ribs and a carrying case. Designed for field or shop use, it delivers robust clamping, solid torque, and flexible operation with pneumatic or electric motor options. </t>
  </si>
  <si>
    <t xml:space="preserve">Explore Pipe Prep Solutions</t>
  </si>
  <si>
    <t xml:space="preserve">Comprehensive PrepZilla Basic Pipe Preparation Kit for Orbital Welding</t>
  </si>
  <si>
    <t xml:space="preserve">Millhog Prepzilla Basic Kit — a powerful pipe and tube beveling system designed to handle diameters from 1.575″ I.D. up to 8.625″ O.D., ideal for fast, efficient joint preparation in fabrication and field environments. Its rugged construction, dual opposed tapered roller bearings, and heat‑treated clamping components ensure smooth operation and durability. The Prepzilla’s multi‑blade capability allows beveling and facing simultaneously for optimal weld fit‑up. </t>
  </si>
  <si>
    <t xml:space="preserve">- Compact orbital pipe prep kit- Includes cutters, clamps, and accessories- Designed for quick setup- Durable transport case included</t>
  </si>
  <si>
    <t xml:space="preserve">- Enables clean beveling and facing- Suitable for small- to mid-size pipe OD- Easy tool changeover- Professional-grade finish</t>
  </si>
  <si>
    <t xml:space="preserve">Request Your Millhog Series Prepzilla Basic Kit</t>
  </si>
  <si>
    <t xml:space="preserve">The Millhog Series Prepzilla Basic Kit delivers heavy‑duty ID clamping pipe beveling for weld preparation on tubes and pipes with diameters from 1.575″ ID to 8.625″ OD. Featuring a rigid clamping system and torque‑optimized drive, it produces precise bevel, face, and bore profiles essential for high‑integrity orbital welds. Its adaptable motor options and dual opposed bearing design make it suitable for onsite fabrication and production environments. </t>
  </si>
  <si>
    <t xml:space="preserve">- Q1: What is the MILLHOG Series - Prepzilla Basic Kit? 
- Q2: What is the Prepzilla Basic Kit used for? 
- Q3: What pipe sizes can the Prepzilla handle? 
- Q4: What features come with the MILLHOG Prepzilla Kit? 
- Q5: How does the MILLHOG system improve pipe preparation?</t>
  </si>
  <si>
    <t xml:space="preserve">- A1: The MILLHOG Series - Prepzilla Basic Kit is a high-performance pipe preparation system used for cutting, facing, and beveling pipes. 
- A2: It is designed for prepping pipe ends for welding, making sure the pipe is ready for a clean, strong joint. 
- A3: The Prepzilla is capable of handling pipe sizes typically from 1" to 12" (25.4–304.8 mm) OD. 
- A4: Features include powerful motors, precision alignment, and adjustable cutting heads for multiple pipe sizes and material types. 
- A5: The MILLHOG system provides superior cutting performance and can achieve more precise cuts, improving welding efficiency and joint quality.</t>
  </si>
  <si>
    <t>A1</t>
  </si>
  <si>
    <t xml:space="preserve">A1 WELD HEAD 1/8" - 1/2" OD</t>
  </si>
  <si>
    <t>320-1068-101</t>
  </si>
  <si>
    <t xml:space="preserve">A1 weld head for 1/8″–1/2″ OD orbital fusion welding, designed to hold the electrode and apply consistent clamping and arc control for precision TIG welds. </t>
  </si>
  <si>
    <t xml:space="preserve">Weld Head Type</t>
  </si>
  <si>
    <t xml:space="preserve">Small closed or CW orbital weld head for tiny tube welding</t>
  </si>
  <si>
    <t xml:space="preserve">Suitable for ultra‑small tubes with OD from 1/8″ to 1/2″</t>
  </si>
  <si>
    <t xml:space="preserve">Water‑cooled collet housing optimized for high thermal capacity tasks </t>
  </si>
  <si>
    <t xml:space="preserve">Ergonomic clamping levers with precise tubular alignment</t>
  </si>
  <si>
    <t xml:space="preserve">The A1 Weld Head is a precision orbital fusion welding head engineered for small‑diameter tubes and pipes with an outside diameter range from 1/8" to 1/2" (3.2 mm–12.7 mm). It provides consistent, high‑quality GTAW (TIG) welds in confined spaces and is well‑suited for semiconductor, aerospace, and clean‑process applications. The enclosed, compact design ensures effective shielding gas coverage and concentric clamping for reliable joint integrity, even on thin‑wall tubing. Typical industrial uses include precision tube assemblies, mini‑fittings, and instrumentation components. </t>
  </si>
  <si>
    <t xml:space="preserve">View Weld Head Details</t>
  </si>
  <si>
    <t xml:space="preserve">Compact A1 Orbital Weld Head for 1/8"–1/2" Diameter Tubes</t>
  </si>
  <si>
    <t xml:space="preserve">Precision orbital weld head designed for small‑diameter applications from 1/8″ to 1/2″ OD, featuring compact construction and high‑accuracy clamping for TIG/GTAW welding. Engineered to deliver consistent, repeatable welds with minimal heat‑affected zone distortion, this head is suited for tubing in laboratory, pharmaceutical, instrument, and semiconductor industries where high‑purity and fine‑detail welding is required.</t>
  </si>
  <si>
    <t xml:space="preserve">- Mini orbital weld head- Pipe/tube OD 1/8″–1/2″- Lightweight aluminum construction- Adjustable torch and rotation controls</t>
  </si>
  <si>
    <t xml:space="preserve">- Ideal for small diameter TIG orbital welding- Precise arc control- Smooth rotation for uniform weld- Compatible with standard cooling units</t>
  </si>
  <si>
    <t xml:space="preserve">Order A1 Weld Head 1/8"‑1/2" OD</t>
  </si>
  <si>
    <t xml:space="preserve">Launch precision welding on small diameter tubing with the A1 Weld Head, engineered for orbital TIG welding on 1/8″ to 1/2″ outside diameters. Lightweight and compact, it supports high‑quality weld seams in confined spaces, making it ideal for semiconductor, biopharmaceutical, and intricate process piping applications. Designed for consistent inert gas coverage and repeatable performance across multiple cycles.</t>
  </si>
  <si>
    <t xml:space="preserve">- Q1: What is the A1 Weld Head 1/8" - 1/2" OD? 
- Q2: What welding process is supported by the A1 Weld Head? 
- Q3: What is the range of pipe sizes the A1 Weld Head can handle? 
- Q4: How does the A1 Weld Head improve welding accuracy? 
- Q5: What industries use the A1 Weld Head?</t>
  </si>
  <si>
    <t xml:space="preserve">- A1: The A1 Weld Head 1/8" - 1/2" OD is an orbital welding head designed for precision welding on small diameter pipes. 
- A2: The A1 Weld Head is used for GTAW (TIG) welding, often in automated or semi-automated welding applications. 
- A3: It is capable of welding pipe sizes ranging from 1/8" to 1/2" (3.2–12.7 mm) OD. 
- A4: The A1 provides consistent arc length and precise positioning, improving welding accuracy and repeatability. 
- A5: The A1 Weld Head is used in industries like aerospace, medical devices, and semiconductor manufacturing, where precise welds are crucial.</t>
  </si>
  <si>
    <t>B2A</t>
  </si>
  <si>
    <t xml:space="preserve">B2A ORBITAL WELD HEAD</t>
  </si>
  <si>
    <t xml:space="preserve">B2A orbital weld head engineered for automated orbital TIG welding with robust mechanics and precise clamping suitable for small to mid-range diameter tube/pipe applications. </t>
  </si>
  <si>
    <t xml:space="preserve">Closed orbital weld head for small/medium tube welding</t>
  </si>
  <si>
    <t xml:space="preserve">Welding Function</t>
  </si>
  <si>
    <t xml:space="preserve">Full GTAW (TIG) fusion welding capability</t>
  </si>
  <si>
    <t xml:space="preserve">Integrated liquid cooling for extended duty</t>
  </si>
  <si>
    <t xml:space="preserve">Typically covers small OD ranges with versatile collet options (commonly 1/4″–4″ OD) </t>
  </si>
  <si>
    <t xml:space="preserve">The B2A Orbital Weld Head is an enclosed orbital welding assembly designed for automated GTAW (TIG) welding of tubes and small pipes, offering reliable fusion performance across a defined tube OD range suited to industrial and high‑purity applications. Featuring precision clamping and consistent welding arc control, this weld head delivers repeatable, high‑quality tube‑to‑tube or fitting welds for sectors including pharmaceutical, biotechnology, food‑and‑beverage, and aerospace fabrication. </t>
  </si>
  <si>
    <t xml:space="preserve">Explore Orbital Weld Heads</t>
  </si>
  <si>
    <t xml:space="preserve">Robust B2A Series Orbital Weld Head for Precision TIG Welding</t>
  </si>
  <si>
    <t xml:space="preserve">B2A series orbital weld head designed for medium‑duty welding tasks with robust clamping, smooth rotation, and adjustable electrode alignment. It delivers reliable, consistent weld quality over a range of pipe sizes common in fabrication and processing industries. The design accommodates ergonomic operation and integration with automated power sources for production environments needing repeatable, high‑quality orbital TIG welds.</t>
  </si>
  <si>
    <t xml:space="preserve">- Mid-size orbital welding head- Supports variable pipe OD- Servo-controlled rotation- Sturdy housing for industrial use</t>
  </si>
  <si>
    <t xml:space="preserve">- Professional-grade TIG welding- Smooth arc and consistent weld penetration- Compatible with power supply and cooling units- Quick mounting and dismounting</t>
  </si>
  <si>
    <t xml:space="preserve">Get Your B2A Orbital Weld Head</t>
  </si>
  <si>
    <t xml:space="preserve">The B2A Orbital Weld Head delivers robust performance for automated TIG welding on a broad range of tube and pipe sizes. Featuring precision clamping and reliable torch guidance, it ensures consistent, repeatable welds in production and fabrication environments. Its modular design accommodates integration with common orbital power supplies and cooling systems, supporting enhanced workflow efficiency.</t>
  </si>
  <si>
    <t xml:space="preserve">- Q1: What is the B2A Orbital Weld Head? 
- Q2: What pipe sizes does the B2A weld head support? 
- Q3: What are the key features of the B2A Weld Head? 
- Q4: What industries use the B2A Orbital Weld Head? 
- Q5: How does the B2A improve welding efficiency?</t>
  </si>
  <si>
    <t xml:space="preserve">- A1: The B2A Orbital Weld Head is an automated welding head used for TIG welding, designed for both small and medium-sized pipes. 
- A2: The B2A typically supports pipe sizes from 1/4" to 2" (6.3–50.8 mm) OD. 
- A3: Features of the B2A include a compact design, easy setup, and compatibility with multiple power supplies for varied welding applications. 
- A4: Industries such as aerospace, pharmaceuticals, and food processing use the B2A for high-quality, repeatable welds in tight spaces. 
- A5: Its automated process reduces labor time and improves weld consistency, which is essential in high-volume production.</t>
  </si>
  <si>
    <t>L0250</t>
  </si>
  <si>
    <t xml:space="preserve">L250 WELD HEAD 1/16" - 1/4" OD</t>
  </si>
  <si>
    <t>L250</t>
  </si>
  <si>
    <t xml:space="preserve">L250 weld head for 1/16″–1/4″ OD tube with advanced liquid cooling and ergonomic scissor‑clamp design for precise high‑purity tube fusion welding. </t>
  </si>
  <si>
    <t xml:space="preserve">Compact orbital TIG weld head designed for very small diameter tube welding</t>
  </si>
  <si>
    <t xml:space="preserve">Suitable for 1/16″–1/4″ OD tube welding</t>
  </si>
  <si>
    <t xml:space="preserve">Advanced liquid cooling system for continuous duty </t>
  </si>
  <si>
    <t xml:space="preserve">Durable precision body with ergonomic handle and collet set</t>
  </si>
  <si>
    <t xml:space="preserve">The L250 Weld Head is a compact micro orbital fusion welding head engineered for tubes and pipes with outside diameters from 1/16" to 1/4" (1.6 mm–6.4 mm). Designed for precision TIG welding in tight access environments, it provides reliable, repeatable welds on thin‑walled tubing common in semiconductor, medical device, and laboratory systems. Its narrow profile and robust clamping mechanism support accurate alignment and consistent gas shielding for high‑integrity joints. </t>
  </si>
  <si>
    <t xml:space="preserve">Lightweight L250 Weld Head for Micro Tube Orbital Welding</t>
  </si>
  <si>
    <t xml:space="preserve">L250 weld head built for orbital TIG welding of small tubes with diameters from 1/16″ to 1/4″ OD. Its lightweight, compact design and precision clamping ensure accurate electrode positioning and stable arc control. This head is ideal for tubing in medical, instrumentation, aerospace, and high‑purity applications where tight tolerances and high weld quality are critical.</t>
  </si>
  <si>
    <t xml:space="preserve">- Micro orbital weld head- Supports very small tube OD 1/16″–1/4″- High precision alignment- Compact and lightweight</t>
  </si>
  <si>
    <t xml:space="preserve">- Ideal for laboratory or small-scale tubing- Smooth rotation and torch adjustment- Maintains consistent weld parameters- Easy integration with power supply and cooling unit</t>
  </si>
  <si>
    <t xml:space="preserve">Select L250 Weld Head 1/16"‑1/4" OD</t>
  </si>
  <si>
    <t xml:space="preserve">The L250 Weld Head is optimized for orbital welding of small tubes and precision components with outside diameters from 1/16″ to 1/4″. Compact, with finely engineered clamping and torch positioning, it supports high‑repeatability welds in industries requiring tight tolerances such as medical device manufacturing and high‑purity process equipment fabrication.</t>
  </si>
  <si>
    <t xml:space="preserve">- Q1: What is the L250 Weld Head 1/16" - 1/4" OD? 
- Q2: What is the L250 weld head’s primary use? 
- Q3: What pipe/tube sizes can the L250 weld head handle? 
- Q4: How does the L250 improve the welding process? 
- Q5: What industries typically use the L250 weld head?</t>
  </si>
  <si>
    <t xml:space="preserve">- A1: The L250 Weld Head 1/16" - 1/4" OD is a precision orbital welding head used primarily for small pipe and tube welding applications. 
- A2: The L250 is used for welding in GTAW (TIG) applications, providing automated and consistent weld quality. 
- A3: The L250 can handle pipe and tube sizes from 1/16" to 1/4" (1.6–6.4 mm) OD. 
- A4: Its lightweight and compact design make it ideal for welding in confined spaces, offering smooth, repeatable welds. 
- A5: Industries such as pharmaceuticals, food processing, and precision manufacturing often use the L250 for high-quality tube welding.</t>
  </si>
  <si>
    <t>L0500</t>
  </si>
  <si>
    <t xml:space="preserve">L500 MICRO WELDHEAD 1/8"-1/2"OD</t>
  </si>
  <si>
    <t>L500</t>
  </si>
  <si>
    <t xml:space="preserve">L500 micro weldhead covering 1/8″–1/2″ OD tube with a liquid‑cooled scissor clamp and extended or flush collets for alignment in high‑duty autogenous welding. </t>
  </si>
  <si>
    <t xml:space="preserve">Micro orbital weld head from Liburdi L Series for precision tube welding</t>
  </si>
  <si>
    <t xml:space="preserve">Covers 0.12″–0.50″ OD tube welding applications </t>
  </si>
  <si>
    <t xml:space="preserve">High‑duty liquid cooling to maintain arc stability</t>
  </si>
  <si>
    <t xml:space="preserve">Extended or flush collets for alignment and accessibility</t>
  </si>
  <si>
    <t xml:space="preserve">The L500 Micro Weldhead is a precision orbital TIG welding head built for small tubing from 1/8" to 1/2" (3.2 mm–12.7 mm) OD. With a compact design that fits confined work zones, it delivers high‑quality, reproducible welds on thin‑wall pipe and tube materials. Optimal for industries requiring exacting weld standards such as aerospace, pharmaceutical, and high‑purity process lines, this micro weld head ensures dependable positioning and controlled weld cycles when paired with compatible orbital power supplies. </t>
  </si>
  <si>
    <t xml:space="preserve">Explore Micro Welding Solutions</t>
  </si>
  <si>
    <t xml:space="preserve">Micro‑Precision L500 Weld Head for 1/8"–1/2" Diameter Applications</t>
  </si>
  <si>
    <t xml:space="preserve">Micro‑series L500 orbital weld head tailored for 1/8″ to 1/2″ OD tubing, offering enhanced accessibility and precision for fine welding tasks in confined spaces. Engineered for TIG/GTAW applications, the compact head ensures consistent weld profiles, repeatable deposition, and minimal thermal distortion—perfect for microfabrication, laboratory, and high‑purity assemblies.</t>
  </si>
  <si>
    <t xml:space="preserve">- Small OD orbital weld head- Designed for 1/8″–1/2″ tubing- Durable lightweight design- Adjustable rotation speed</t>
  </si>
  <si>
    <t xml:space="preserve">- Smooth TIG welding control- High repeatability- Compatible with standard cooling and power supply- Professional-grade results for small OD tubing</t>
  </si>
  <si>
    <t xml:space="preserve">Request the L500 Micro Weldhead 1/8"‑1/2" OD</t>
  </si>
  <si>
    <t xml:space="preserve">Deliver micro‑precision orbital TIG welding with the L500 Micro Weldhead, compatible with tube and pipe outside diameters from 1/8″ to 1/2″. Engineered for applications where high accuracy and minimal heat distortion are essential, its compact form factor and stable arc control support repeatable joint quality in pharmaceutical, biotech, and instrumentation fabrication.</t>
  </si>
  <si>
    <t xml:space="preserve">- Q1: What is the L500 Micro Weldhead 1/8"-1/2" OD? 
- Q2: What welding process is supported by the L500 Micro Weldhead? 
- Q3: What pipe sizes are compatible with the L500 Micro Weldhead? 
- Q4: What industries typically use the L500 Micro Weldhead? 
- Q5: How does the L500 improve weld precision?</t>
  </si>
  <si>
    <t xml:space="preserve">- A1: The L500 Micro Weldhead 1/8"-1/2" OD is a precision orbital welding head designed for small diameter pipe welding. 
- A2: The L500 is used for GTAW (TIG) fusion welding, offering high precision for small tube and pipe applications. 
- A3: It handles pipe sizes from 1/8" to 1/2" (3.2–12.7 mm) OD, making it ideal for delicate and small-scale applications. 
- A4: The L500 is widely used in industries such as aerospace, medical device manufacturing, and semiconductor production. 
- A5: It improves weld precision through its compact design, automated feeding system, and stable arc control.</t>
  </si>
  <si>
    <t>L0750</t>
  </si>
  <si>
    <t xml:space="preserve">L750 WELD HEAD 1/8"- 3/4"OD</t>
  </si>
  <si>
    <t>L750</t>
  </si>
  <si>
    <t xml:space="preserve">L750 weld head for 1/8″–3/4″ OD tube featuring liquid cooling, ergonomic scissor clamping, and flexible collet options for precise, high‑duty orbital fusion welds. </t>
  </si>
  <si>
    <t xml:space="preserve">Mid‑range orbital TIG weld head for small‑to‑medium tubes</t>
  </si>
  <si>
    <t xml:space="preserve">Designed for approximately 1/8″–3/4″ OD tube welding</t>
  </si>
  <si>
    <t xml:space="preserve">Integrated liquid cooling for duty cycle support</t>
  </si>
  <si>
    <t xml:space="preserve">Feature Set</t>
  </si>
  <si>
    <t xml:space="preserve">Full function GTAW with stable arc performance and alignment collets</t>
  </si>
  <si>
    <t xml:space="preserve">The L750 Weld Head is a robust orbital fusion welding head suited for a broad range of tube and pipe outside diameters from 1/8" to 3/4" (3.2 mm–19 mm). It combines a sturdy clamping system with precise TIG arc control to deliver consistent fusion welds. Designed for use in industrial, semiconductor, and high‑purity applications, this weld head facilitates tight clearance welding while maintaining excellent gas shielding, repeatability, and joint quality across its size range. </t>
  </si>
  <si>
    <t xml:space="preserve">Versatile L750 Weld Head for Small to Mid‑Size Tube Welding</t>
  </si>
  <si>
    <t xml:space="preserve">L750 orbital weld head engineered to handle a diameter range of 1/8″ to 3/4″ OD tubing with robust mechanical clamping and smooth rotation characteristics for consistent TIG welds. The head’s design supports stable arc performance and production‑ready throughput on small‑ to medium‑diameter piping in sanitary, pharmaceutical, and aerospace fabrication.</t>
  </si>
  <si>
    <t xml:space="preserve">- Medium orbital weld head- Pipe/tube OD 1/8″–3/4″- Sturdy construction for workshop and field- Adjustable torch and rotation controls</t>
  </si>
  <si>
    <t xml:space="preserve">- Reliable and precise weld output- Compatible with cooling and power supply systems- Smooth arc and consistent penetration- Quick setup and teardown</t>
  </si>
  <si>
    <t xml:space="preserve">Order L750 Weld Head 1/8"‑3/4" OD</t>
  </si>
  <si>
    <t xml:space="preserve">Expand small to mid‑range welding capability with the L750 Weld Head, designed to weld tubes from 1/8″ to 3/4″ outside diameter. Its precision clamping system and balanced mechanical design allow for steady, repeatable TIG welds across diverse materials. Ideal for production facilities focused on stainless and exotic alloy tubing requiring consistent inert gas purging and weld integrity.</t>
  </si>
  <si>
    <t xml:space="preserve">- Q1: What is the L750 Weld Head 1/8"-3/4" OD? 
- Q2: What welding processes can the L750 Weld Head handle? 
- Q3: What is the diameter range supported by the L750 Weld Head? 
- Q4: How does the L750 assist in high-quality weld production? 
- Q5: What are the common applications of the L750 Weld Head?</t>
  </si>
  <si>
    <t xml:space="preserve">- A1: The L750 Weld Head 1/8"-3/4" OD is an orbital weld head used for high-precision welding of pipes and tubes. 
- A2: It is designed for use with the GTAW (TIG) welding process, ideal for high-quality, clean welds. 
- A3: The L750 supports pipe sizes ranging from 1/8" to 3/4" (3.2–19.05 mm) OD. 
- A4: The L750 assists in creating high-quality, consistent welds through precise clamping and automatic arc control. 
- A5: It is commonly used in industries such as pharmaceuticals, food processing, and medical device manufacturing.</t>
  </si>
  <si>
    <t>LD5001</t>
  </si>
  <si>
    <t xml:space="preserve">LIBURDI 5001 WELD HEAD 1/8" - 3/4" OD</t>
  </si>
  <si>
    <t xml:space="preserve">Liburdi 5001 weld head for 1/8″–3/4″ OD tube and fittings, fully enclosed water‑cooled orbital TIG fusion head with slim profile for clean precision welding. </t>
  </si>
  <si>
    <t xml:space="preserve">Enclosed orbital TIG weld head for general tube applications</t>
  </si>
  <si>
    <t xml:space="preserve">Approximately 1/8″–3/4″ OD range, common in sanitary/processing tubing </t>
  </si>
  <si>
    <t xml:space="preserve">Water‑cooled head design for consistent weld quality</t>
  </si>
  <si>
    <t xml:space="preserve">Self‑centering clamp for rapid setup</t>
  </si>
  <si>
    <t xml:space="preserve">The Liburdi 5001 Weld Head is an enclosed orbital TIG welding head engineered for precision fusion welding of tubes and pipes from approximately 1/8" to 3/4" (3.2 mm–19 mm) outside diameter. It features a slim profile and water‑cooled design to support high‑quality welds in restricted access areas. Built for consistency and repeatability, this weld head delivers reliable clamping, effective gas shielding, and smooth integration with compatible orbital power supplies, making it suitable for high‑purity and industrial applications. </t>
  </si>
  <si>
    <t xml:space="preserve">Explore Liburdi Weld Heads</t>
  </si>
  <si>
    <t xml:space="preserve">High‑Precision LIBURDI 5001 Orbital Weld Head for 1/8"–3/4" Tubing</t>
  </si>
  <si>
    <t xml:space="preserve">Liburdi 5001 orbital weld head engineered for precise TIG welding of tubes and pipes from 1/8″ to 3/4″ OD. Built with high‑strength materials and ergonomic handling, it delivers fine control and repeatable weld quality for high‑purity and critical applications including chemical processing, semiconductor, and instrumentation fabrication. Its design supports integration with automated power sources for consistent, high‑yield production.</t>
  </si>
  <si>
    <t xml:space="preserve">- Orbital TIG weld head- Designed for pipe OD 1/8″–3/4″- Compact yet robust design- High-precision alignment features</t>
  </si>
  <si>
    <t xml:space="preserve">- Professional-grade weld quality- Smooth rotation and arc control- Works with standard power supply and cooling systems- Easy maintenance and setup</t>
  </si>
  <si>
    <t xml:space="preserve">Get Your Liburdi 5001 Weld Head 1/8"‑3/4" OD</t>
  </si>
  <si>
    <t xml:space="preserve">The Liburdi 5001 Weld Head is engineered for high‑quality orbital TIG welding on tube and pipe ranging from 1/8″ to 3/4″ outside diameter. Its precision alignment and secure clamping system ensure accurate weld positioning and stable arc control. Designed for demanding fabrication environments, it supports production throughput and quality consistency across a wide range of industrial applications.</t>
  </si>
  <si>
    <t xml:space="preserve">- Q1: What is the Liburdi 5001 Weld Head 1/8" - 3/4" OD? 
- Q2: What are the features of the Liburdi 5001 Weld Head? 
- Q3: How does the Liburdi 5001 Weld Head improve weld consistency? 
- Q4: What pipe sizes does the Liburdi 5001 Weld Head support? 
- Q5: What industries typically use the Liburdi 5001 Weld Head?</t>
  </si>
  <si>
    <t xml:space="preserve">- A1: The Liburdi 5001 Weld Head 1/8" - 3/4" OD is designed for precision TIG welding on small to medium-sized pipes and tubes. 
- A2: Features of the Liburdi 5001 include automatic arc control, lightweight design, and consistent feed mechanisms. 
- A3: The Liburdi 5001 ensures weld consistency through automatic adjustment of parameters such as arc length and rotation speed. 
- A4: It supports pipe sizes from 1/8" to 3/4" (3.2–19.05 mm) OD, making it ideal for small-scale and medium-sized applications. 
- A5: Common applications include aerospace, power generation, and precision manufacturing industries.</t>
  </si>
  <si>
    <t>LD5002</t>
  </si>
  <si>
    <t xml:space="preserve">LIBURDI 5002 WELD HEAD 1/4" - 2 1/8" OD</t>
  </si>
  <si>
    <t xml:space="preserve">Liburdi 5002 weld head for 1/4″–2 1/8″ OD tube and fittings with a rugged enclosed design and water cooling for high‑integrity TIG fusion welding in industrial applications. </t>
  </si>
  <si>
    <t xml:space="preserve">Larger enclosed orbital weld head suited for bigger tubes/pipes</t>
  </si>
  <si>
    <t xml:space="preserve">Typically supports ~1/4″–2‑1/8″ OD tube welding </t>
  </si>
  <si>
    <t xml:space="preserve">Water cooling to maintain thermal management in heavy tasks</t>
  </si>
  <si>
    <t xml:space="preserve">Precision clamp system for alignment over larger diameter range</t>
  </si>
  <si>
    <t xml:space="preserve">The Liburdi 5002 Weld Head is a robust orbital TIG welding assembly designed for fusion welding tubes and small pipe with outside diameters from about 1/4" to 2 1/8" (6.4 mm–54 mm). Featuring a compact, water‑cooled head and precision clamping system, it delivers consistent, high‑integrity welds across a broad size range. Ideal for semiconductor, pharmaceutical, and general industrial tube systems, it ensures excellent gas coverage and concentric alignment for repeatable results. </t>
  </si>
  <si>
    <t xml:space="preserve">Industrial LIBURDI 5002 Weld Head for 1/4"–2.125" Diameter Pipes</t>
  </si>
  <si>
    <t xml:space="preserve">Liburdi 5002 orbital welding head optimized for a broad range of tube and pipe diameters from 1/4″ up to 2 1/8″ OD, featuring a durable clamping system and smooth bearing assembly for stable rotation during TIG welding. Engineered to provide precise arc control and consistent weld profiles, this head is suitable for industrial fabrication, high‑purity piping, and sanitary process systems requiring high‑quality, repeatable welds.</t>
  </si>
  <si>
    <t xml:space="preserve">- Large OD orbital weld head- Supports 1/4″–2 1/8″ pipe- Durable industrial-grade construction- Adjustable torch position and rotation</t>
  </si>
  <si>
    <t xml:space="preserve">- Smooth and precise TIG welding- Compatible with cooling and power supply systems- High repeatability for production environments- Easy mounting and dismounting</t>
  </si>
  <si>
    <t xml:space="preserve">Request Liburdi 5002 Weld Head 1/4"‑2 1/8" OD</t>
  </si>
  <si>
    <t xml:space="preserve">The Liburdi 5002 Weld Head is engineered for high‑quality orbital TIG welding on tubes and pipes with outside diameters from 1/4″ to 2 1/8″. Featuring precise alignment, liquid‑cooling technology, and robust mechanical design, it ensures consistent, repeatable welds in industrial, pharmaceutical, and high‑purity applications. Compatible with a broad range of orbital welding power supplies and control systems for integrated process automation. </t>
  </si>
  <si>
    <t xml:space="preserve">- Q1: What is the Liburdi 5002 Weld Head 1/4" - 2 1/8" OD? 
- Q2: How does the Liburdi 5002 compare to other Liburdi weld heads? 
- Q3: What is the pipe size range of the Liburdi 5002 Weld Head? 
- Q4: How does the Liburdi 5002 assist in high-quality welding applications? 
- Q5: What industries use the Liburdi 5002 Weld Head?</t>
  </si>
  <si>
    <t xml:space="preserve">- A1: The Liburdi 5002 Weld Head 1/4" - 2 1/8" OD is a medium-sized orbital weld head designed for pipe and tube welding. 
- A2: The 5002 is known for its reliability and flexibility in handling a range of materials, pipe sizes, and welding conditions. 
- A3: It supports pipe sizes from 1/4" to 2 1/8" (6.4–53.97 mm) OD, allowing it to work on a variety of pipe dimensions. 
- A4: The Liburdi 5002 improves weld quality by providing precise weld bead control and consistent arc stability. 
- A5: It is commonly used in industries such as power generation, petrochemicals, and marine applications.</t>
  </si>
  <si>
    <t>LD5004</t>
  </si>
  <si>
    <t xml:space="preserve">LIBURDI 5004 WELD HEAD 1/2" - 4" OD</t>
  </si>
  <si>
    <t xml:space="preserve">Liburdi 5004 weld head for 1/2″–4″ OD tube with a fully enclosed, water‑cooled orbital TIG fusion design delivering consistent weld quality in mid‑range diameter tubing. </t>
  </si>
  <si>
    <t xml:space="preserve">Enclosed orbital weld head from Liburdi Dimetrics 5000 Series</t>
  </si>
  <si>
    <t xml:space="preserve">Suitable for welding tube OD from ~0.50″ to 4.00″</t>
  </si>
  <si>
    <t xml:space="preserve">Integrated liquid cooling for high duty and thermal stability</t>
  </si>
  <si>
    <t xml:space="preserve">Water‑cooled collet system with extended and flush collets for alignment and access</t>
  </si>
  <si>
    <t xml:space="preserve">The Liburdi 5004 Weld Head is a mid‑range enclosed orbital welding head built for GTAW (TIG) fusion welding of pipe and tubing from roughly 1/2" to 4" (12.7 mm–102 mm) OD. Its water‑cooled design and slim‑line profile support high duty‑cycle welding in both shop and field environments. With reliable clamping and controlled arc performance, the 5004 is suited for general industrial, high‑purity, and fabrication applications requiring consistent, high‑quality weld joints. </t>
  </si>
  <si>
    <t xml:space="preserve">Heavy‑Duty LIBURDI 5004 Weld Head for 1/2"–4" Tube Welding</t>
  </si>
  <si>
    <t xml:space="preserve">High‑duty orbital weld head from Liburdi’s industrial L‑Series line engineered for GTAW (TIG) fusion welding of tube and pipe from 1/2″ to 4″ OD. Featuring advanced liquid cooling and precision collet alignment, it delivers stable arc control and repeatable weld quality across demanding fabrication environments including pharmaceutical, semiconductor, and aerospace tubing applications. Its robust construction and ergonomic controls support extended duty weld cycles with minimal thermal distortion. </t>
  </si>
  <si>
    <t xml:space="preserve">- Large OD orbital TIG weld head- Supports pipe/tube OD 1/2″–4″- Heavy-duty construction- Adjustable torch and rotation controls</t>
  </si>
  <si>
    <t xml:space="preserve">- Smooth and precise weld output- Compatible with cooling and power supply systems- High repeatability for production environments- Easy mounting and maintenance</t>
  </si>
  <si>
    <t xml:space="preserve">Select Liburdi 5004 Weld Head 1/2"‑4" OD</t>
  </si>
  <si>
    <t xml:space="preserve">Expand your orbital welding capabilities with the Liburdi 5004 Weld Head, designed for tube and pipe outside diameters from 1/2″ to 4″. This robust weld head supports liquid cooling and precision clamping for stable arc performance and superior weld quality. Ideal for production environments in process fabrication, stainless steel systems, and exotic alloy tubing workflows. </t>
  </si>
  <si>
    <t xml:space="preserve">- Q1: What is the Liburdi 5004 Weld Head 1/2" - 4" OD? 
- Q2: How does the Liburdi 5004 Weld Head handle large pipe sizes? 
- Q3: What pipe size range does the Liburdi 5004 cover? 
- Q4: What are the advantages of using the Liburdi 5004 Weld Head in industrial applications? 
- Q5: What industries typically use the Liburdi 5004 Weld Head?</t>
  </si>
  <si>
    <t xml:space="preserve">- A1: The Liburdi 5004 Weld Head 1/2" - 4" OD is designed for welding larger pipe sizes with high precision. 
- A2: It can handle pipe sizes up to 4" (101.6 mm) OD, making it suitable for industrial welding applications on medium to large pipes. 
- A3: The Liburdi 5004 covers a range of pipe sizes from 1/2" to 4" (12.7–101.6 mm) OD. 
- A4: It offers high power capacity and adjustable settings to ensure strong, high-quality welds on large pipes. 
- A5: The Liburdi 5004 is used in industries like oil &amp; gas, power generation, and heavy manufacturing, where large-diameter pipe welding is common.</t>
  </si>
  <si>
    <t>L1000</t>
  </si>
  <si>
    <t xml:space="preserve">LIBURDI L-1000 WELD HEAD 1/8 - 1 OD</t>
  </si>
  <si>
    <t>L-1000</t>
  </si>
  <si>
    <t xml:space="preserve">Liburdi L‑1000 weld head for 1/8″–1″ OD tube and pipe fusion welding with advanced liquid cooling, flush or extended collets, and ergonomic handle controls. </t>
  </si>
  <si>
    <t xml:space="preserve">L Series high‑duty orbital weld head for precision fusion welding</t>
  </si>
  <si>
    <t xml:space="preserve">Welds tubes approximately 0.12″–1.32″ (3.0–33.0 mm) OD </t>
  </si>
  <si>
    <t xml:space="preserve">Advanced liquid cooling to support heavy wall and continuous duty </t>
  </si>
  <si>
    <t xml:space="preserve">Collet Options</t>
  </si>
  <si>
    <t xml:space="preserve">Flush and extended collets for alignment flexibility </t>
  </si>
  <si>
    <t xml:space="preserve">The Liburdi L‑1000 Weld Head is part of Liburdi’s L Series of high‑duty tube fusion welding heads, engineered for GTAW (TIG) orbital welding of tubes with outside diameters from 0.12" to 1.32" (3 mm–33 mm). Featuring advanced liquid cooling, extended or flush collets for alignment flexibility, and ergonomic handle controls, it delivers dependable, high‑integrity welds across a range of materials. The robust construction and precise clamping make it suitable for aerospace, instrumentation, and industrial process piping. </t>
  </si>
  <si>
    <t xml:space="preserve">Configure Your Weld Head</t>
  </si>
  <si>
    <t xml:space="preserve">Precision LIBURDI L‑1000 Weld Head for 1/8"–1" Diameter Tubes</t>
  </si>
  <si>
    <t xml:space="preserve">The Liburdi L‑1000 series orbital weld head is designed for high‑duty TIG welding of tube and pipe with diameters from about 1/8″ to 1″ OD, incorporating integrated liquid cooling for efficient heat removal. Its advanced clamp and collet system ensures precise fit‑up and stable rotation, enabling consistent welds in tight‑tolerance fabrication and high‑purity applications such as clean room and instrumentation welding. </t>
  </si>
  <si>
    <t xml:space="preserve">- Small OD orbital weld head- Supports 1/8″–1″ tubing- Compact, lightweight design- High precision alignment</t>
  </si>
  <si>
    <t xml:space="preserve">- Professional-grade TIG welding- Smooth rotation and arc control- Works with standard cooling and power supplies- Easy setup and teardown</t>
  </si>
  <si>
    <t xml:space="preserve">Order Your Liburdi L‑1000 Weld Head 1/8"‑1" OD</t>
  </si>
  <si>
    <t xml:space="preserve">The Liburdi L‑1000 Weld Head delivers high‑duty autogenous orbital TIG welding for tubes with outside diameters from 1/8″ to 1″. Featuring advanced liquid cooling and ergonomic controls, it supports consistent weld quality and extended production use. Its durable construction makes it suitable for critical applications requiring repeatable, high‑precision welds. </t>
  </si>
  <si>
    <t xml:space="preserve">- Q1: What is the Liburdi L-1000 Weld Head 1/8" - 1" OD? 
- Q2: What makes the Liburdi L-1000 suitable for precision welding? 
- Q3: What is the pipe size range supported by the Liburdi L-1000? 
- Q4: How does the Liburdi L-1000 improve welding consistency? 
- Q5: What industries use the Liburdi L-1000 Weld Head?</t>
  </si>
  <si>
    <t xml:space="preserve">- A1: The Liburdi L-1000 Weld Head 1/8" - 1" OD is a precision orbital welding head designed for small to medium-sized tube and pipe applications. 
- A2: The L-1000 is known for its compact design and advanced features that allow for highly accurate welds. 
- A3: It supports pipe sizes ranging from 1/8" to 1" (3.2–25.4 mm) OD, making it suitable for small to medium-scale applications. 
- A4: The Liburdi L-1000 ensures consistent arc stability and weld accuracy, even in difficult-to-reach areas. 
- A5: Industries such as semiconductor, food and beverage, and biotechnology use the L-1000 for high-precision welding needs.</t>
  </si>
  <si>
    <t>L2000</t>
  </si>
  <si>
    <t xml:space="preserve">LIBURDI L-2000 WELD HEAD 1/4 - 2 1/2 OD</t>
  </si>
  <si>
    <t>L-2000</t>
  </si>
  <si>
    <t xml:space="preserve">Liburdi L‑2000 weld head covering 1/4″–2 1/2″ OD tube and pipe with an advanced liquid cooling system, durable construction, and flexible collet options for precision welding. </t>
  </si>
  <si>
    <t xml:space="preserve">L Series orbital weld head with hinge clamp design</t>
  </si>
  <si>
    <t xml:space="preserve">Designed for tube OD ~0.25″–2.50″ (6.4–64.0 mm) </t>
  </si>
  <si>
    <t xml:space="preserve">Advanced liquid cooling for extended welding</t>
  </si>
  <si>
    <t xml:space="preserve">Water‑cooled or flush collet alignment systems </t>
  </si>
  <si>
    <t xml:space="preserve">The Liburdi L‑2000 Weld Head is a liquid‑cooled orbital TIG welding head designed to handle tubes and pipes from 0.25" to 2.50" (6.4 mm–64 mm) outside diameter. As part of the L Series, it provides high duty‑cycle performance with excellent thermal management, advanced collet options for precise alignment, and circumferential gas coverage. Built for industrial, high‑purity, and high‑production environments, the L‑2000 delivers consistent, repeatable fusion welds with minimal operator adjustment. </t>
  </si>
  <si>
    <t xml:space="preserve">Advanced LIBURDI L‑2000 Orbital Weld Head for 1/4"–2.5" Pipes</t>
  </si>
  <si>
    <t xml:space="preserve">Liburdi’s L‑2000 orbital weld head supports GTAW (TIG) welding on tube and pipe from 1/4″ to 2.50″ OD, combining durable construction with advanced liquid cooling to maintain optimal weld conditions. Its ergonomic design and precise collet alignment enhances arc stability, making it suitable for critical tubing in industries such as chemical processing, biotech, and aerospace where repeatable, high‑quality joints are essential. </t>
  </si>
  <si>
    <t xml:space="preserve">- Mid-size orbital weld head- Supports pipe OD 1/4″–2 1/2″- Sturdy industrial-grade construction- Adjustable torch position</t>
  </si>
  <si>
    <t xml:space="preserve">- Smooth and consistent welds- Compatible with cooling and power supply systems- Reliable performance for production work- Quick mounting and dismounting</t>
  </si>
  <si>
    <t xml:space="preserve">Get the Liburdi L‑2000 Weld Head 1/4"‑2 1/2" OD</t>
  </si>
  <si>
    <t xml:space="preserve">The Liburdi L‑2000 Weld Head is designed for reliable orbital welding on tubes from 1/4″ to 2 1/2″ outside diameter. With integrated liquid cooling and rugged mechanical design, it provides stable thermal management and repeatable clamping for consistent weld results. Ideal for industrial fabrication, sanitary process piping, and high‑purity systems. </t>
  </si>
  <si>
    <t xml:space="preserve">- Q1: What is the Liburdi L-2000 Weld Head 1/4" - 2 1/2" OD? 
- Q2: What is the size range supported by the Liburdi L-2000 Weld Head? 
- Q3: What welding process does the Liburdi L-2000 support? 
- Q4: What makes the L-2000 ideal for industrial applications? 
- Q5: Which industries benefit from using the Liburdi L-2000 Weld Head?</t>
  </si>
  <si>
    <t xml:space="preserve">- A1: The Liburdi L-2000 Weld Head 1/4" - 2 1/2" OD is an orbital welding head designed for medium to large pipe and tube welding. 
- A2: It supports a range of pipe sizes from 1/4" to 2 1/2" (6.4–63.5 mm) OD, making it suitable for medium-scale welding projects. 
- A3: The L-2000 supports the GTAW (TIG) process, ensuring high-quality, clean, and precise welds. 
- A4: Its robust design and flexibility make it ideal for demanding industrial applications with varying pipe sizes and materials. 
- A5: Industries such as petrochemical, power generation, and aerospace commonly use the L-2000 for its versatility and reliability.</t>
  </si>
  <si>
    <t>L4000</t>
  </si>
  <si>
    <t xml:space="preserve">LIBURDI L-4000 WELD HEAD 1/2 - 4 1/2 OD</t>
  </si>
  <si>
    <t>L-4000</t>
  </si>
  <si>
    <t xml:space="preserve">Liburdi L‑4000 weld head for 1/2″–4 1/2″ OD tube and pipe featuring liquid cooling, extended or flush collets, and rugged ergonomic design for high‑duty fusion welding. </t>
  </si>
  <si>
    <t xml:space="preserve">Larger L Series orbital TIG weld head</t>
  </si>
  <si>
    <t xml:space="preserve">Covers tube OD ~0.50″–4.50″ (12.7–115.0 mm) </t>
  </si>
  <si>
    <t xml:space="preserve">Integrated liquid cooling with enhanced heat dissipation </t>
  </si>
  <si>
    <t xml:space="preserve">Collet Variety</t>
  </si>
  <si>
    <t xml:space="preserve">Extended and flush collets for access and alignment </t>
  </si>
  <si>
    <t xml:space="preserve">The Liburdi L‑4000 Weld Head is a heavy‑duty orbital TIG welding head in the L Series, engineered for fusion welding tubes and pipes with outside diameters from 0.50" to 4.50" (12.7 mm–115 mm). Integrating advanced liquid cooling, extended collet alignment options, and ergonomic controls, it supports high duty cycles and excellent weld consistency across larger diameter ranges. Ideal for industrial fabrication, process piping, and precision manufacturing applications requiring strong, repeatable weld joints. </t>
  </si>
  <si>
    <t xml:space="preserve">Industrial LIBURDI L‑4000 Weld Head for Large Diameter Tubes</t>
  </si>
  <si>
    <t xml:space="preserve">Orbital weld head from Liburdi’s L‑Series designed for mid‑range tube and pipe diameters from 1/2″ to 4.50″ OD. Featuring robust mechanical design and effective liquid cooling, this head delivers consistent weld profiles and repeatable arc performance across various materials. It is suitable for high‑integrity welding in sanitary, pharmaceutical, and industrial pipe systems requiring precise heat and deposition control. </t>
  </si>
  <si>
    <t xml:space="preserve">- Large OD orbital weld head- Supports 1/2″–4 1/2″ pipe- Durable design for heavy-duty welding- Adjustable rotation and torch</t>
  </si>
  <si>
    <t xml:space="preserve">- Precise TIG welding output- Compatible with cooling and power systems- High repeatability and stability- Easy maintenance and setup</t>
  </si>
  <si>
    <t xml:space="preserve">Request Liburdi L‑4000 Weld Head 1/2"‑4 1/2" OD</t>
  </si>
  <si>
    <t xml:space="preserve">The Liburdi L‑4000 Weld Head supports orbital TIG welding on tubes and pipes from 1/2″ up to 4 1/2″ OD. Engineered with advanced liquid cooling, precision collet alignment, and operator‑friendly controls, it ensures steady arc conditions and high‑quality welds in demanding industrial and fabrication settings. </t>
  </si>
  <si>
    <t xml:space="preserve">- Q1: What is the Liburdi L-4000 Weld Head 1/2" - 4 1/2" OD? 
- Q2: What are the key features of the Liburdi L-4000? 
- Q3: What size range can the Liburdi L-4000 handle? 
- Q4: What industries rely on the Liburdi L-4000 for welding? 
- Q5: How does the Liburdi L-4000 ensure weld consistency?</t>
  </si>
  <si>
    <t xml:space="preserve">- A1: The Liburdi L-4000 Weld Head 1/2" - 4 1/2" OD is a precision orbital welding head designed for medium to large pipe and tube applications. 
- A2: Key features of the L-4000 include high power output, adjustable arc length, and precise feed systems for various pipe sizes. 
- A3: The L-4000 is compatible with pipes ranging from 1/2" to 4 1/2" (12.7–114.3 mm) OD. 
- A4: It is used in industries such as oil &amp; gas, chemical processing, and heavy manufacturing for welding large pipes and complex joints. 
- A5: The L-4000 ensures consistent welds through accurate arc control, proper heat distribution, and stable clamping mechanisms.</t>
  </si>
  <si>
    <t>L8000</t>
  </si>
  <si>
    <t xml:space="preserve">LIBURDI L-8000 WELD HEAD 1 - 8 5/8 OD</t>
  </si>
  <si>
    <t>L-8000</t>
  </si>
  <si>
    <t xml:space="preserve">Liburdi L‑8000 weld head supporting 1″–8 5/8″ OD tube and pipe with integrated liquid cooling, flexible collet alignment options, and ergonomic handle controls for general fusion welding. </t>
  </si>
  <si>
    <t xml:space="preserve">High‑capacity L Series orbital weld head for larger tubes</t>
  </si>
  <si>
    <t xml:space="preserve">Suitable for large tube OD ~1.00″–8.63″ (25.4–220.0 mm) </t>
  </si>
  <si>
    <t xml:space="preserve">Liquid cooling system optimized for heavy duty welds </t>
  </si>
  <si>
    <t xml:space="preserve">Flush and extended water‑cooled collets provide alignment versatility </t>
  </si>
  <si>
    <t xml:space="preserve">The Liburdi L‑8000 Weld Head is a high‑duty orbital TIG welding head engineered for autogenous fusion welding of tubes and pipes from 1.00" up to 8.63" (25 mm – 220 mm) outside diameter. It features an advanced liquid cooling system for extended duty‑cycle performance and high thermal management, along with extended or flush collets for improved component alignment. Designed with convenient handle controls and durable construction, this orbital weld head delivers consistent, high‑quality welds across a broad size range in industrial, process piping, and fabrication applications. </t>
  </si>
  <si>
    <t xml:space="preserve">Premium LIBURDI L‑8000 Weld Head for 1"–8.625" Orbital Welding</t>
  </si>
  <si>
    <t xml:space="preserve">Large‑diameter orbital weld head in the L‑Series capable of handling tube and pipe from 1″ to 8.625″ OD with integrated liquid cooling to support extended duty cycles. Engineered for robust performance in industrial welding applications, it ensures stable arc characteristics and uniform weld deposition across larger geometry piping in sectors like energy, process manufacturing, and power generation. </t>
  </si>
  <si>
    <t xml:space="preserve">- Extra-large OD orbital weld head- Supports 1″–8 5/8″ pipe- Industrial-grade rugged construction- Adjustable torch and rotation mechanisms</t>
  </si>
  <si>
    <t xml:space="preserve">- Smooth and consistent arc control- Designed for production-scale welding- Works with industrial cooling and power supplies- Quick setup for large pipe sections</t>
  </si>
  <si>
    <t xml:space="preserve">Order Your Liburdi L‑8000 Weld Head 1"‑8 5/8" OD</t>
  </si>
  <si>
    <t xml:space="preserve">Expand your large‑diameter welding capability with the Liburdi L‑8000 Weld Head, designed for tube and pipe outside diameters from 1″ to 8 5/8″. Its liquid‑cooling passages and robust mechanical structure ensure reliable heat management and precision clamping for repeatable orbital TIG welds in heavy‑duty industrial applications. </t>
  </si>
  <si>
    <t xml:space="preserve">- Q1: What is the Liburdi L-8000 Weld Head 1" - 8 5/8" OD? 
- Q2: How does the Liburdi L-8000 handle large pipe welding? 
- Q3: What size range does the Liburdi L-8000 support? 
- Q4: What industries typically use the Liburdi L-8000 Weld Head? 
- Q5: What makes the Liburdi L-8000 suitable for high-output welding?</t>
  </si>
  <si>
    <t xml:space="preserve">- A1: The Liburdi L-8000 Weld Head 1" - 8 5/8" OD is designed for high-output, precision welding of large pipes and tubes. 
- A2: The L-8000 can weld larger pipe sizes while maintaining the same high-quality welds required in industrial applications. 
- A3: It supports pipe sizes ranging from 1" to 8 5/8" (25.4–219.1 mm) OD. 
- A4: The L-8000 is used in industries that require large-diameter welding, such as pipeline construction, power plants, and petrochemical industries. 
- A5: Its features include powerful motor drives, large clamping force, and precision arc controls that ensure smooth and consistent welds on large pipes.</t>
  </si>
  <si>
    <t>PTW150</t>
  </si>
  <si>
    <t xml:space="preserve">PTW-150 POWER SUPPLY</t>
  </si>
  <si>
    <t xml:space="preserve">PTW‑150 power supply delivering portable TIG welding with integrated controls, suitable for orbital welding applications and optimized for field or shop use.</t>
  </si>
  <si>
    <t xml:space="preserve">Orbital GTAW power supply capable of moderate current output for orbital tube welding</t>
  </si>
  <si>
    <t xml:space="preserve">Cooling Integration</t>
  </si>
  <si>
    <t xml:space="preserve">Typically paired with built‑in liquid cooling or external cooler</t>
  </si>
  <si>
    <t xml:space="preserve">Weld schedule generator and memory control features</t>
  </si>
  <si>
    <t xml:space="preserve">Light to medium duty portable design for shop and field welding</t>
  </si>
  <si>
    <t xml:space="preserve">The PTW‑150 Power Supply is a compact, all‑in‑one orbital tube welding power source designed for GTAW (TIG) welding applications. It delivers reliable welding performance with an integrated inverter design, supporting precise current control and easy setup. Ideal for high‑purity and precision welding environments, this power supply integrates power, control, and gas management in a portable package suitable for shop or field use. (General orbital power supply functionality based on Liburdi PTW series context) </t>
  </si>
  <si>
    <t xml:space="preserve">Get Power Supply Quote</t>
  </si>
  <si>
    <t xml:space="preserve">Compact PTW‑150 Orbital Power Supply with Precision Control</t>
  </si>
  <si>
    <t xml:space="preserve">The Liburdi Dimetrics PTW‑150 orbital welding power supply is a compact tube welding system tailored for automated GTAW welding of small‑ to medium‑diameter piping. It integrates intuitive weld current control with programmable schedules and supports high‑quality, repeatable welds in lab, medical, and production environments. Its design prioritizes portability and ease of setup while providing consistent welding performance. </t>
  </si>
  <si>
    <t xml:space="preserve">- Compact TIG/DC welding power supply- Supports adjustable current output- Built-in user control interface- Durable enclosure for field use</t>
  </si>
  <si>
    <t xml:space="preserve">- Stable and smooth DC output- Suitable for small to medium welding tasks- Compatible with external cooling systems- Reliable industrial performance</t>
  </si>
  <si>
    <t xml:space="preserve">Get the PTW‑150 Power Supply</t>
  </si>
  <si>
    <t xml:space="preserve">The PTW‑150 Power Supply is a compact orbital welding power source delivering precise current control for TIG welding applications. With portable design and integrated control features, it supports high‑quality welds on stainless steel and other specialty alloys. Built to interface with a range of orbital weld heads and accessories, it’s suitable for shop or field use.</t>
  </si>
  <si>
    <t xml:space="preserve">- Q1: What is the PTW-150 Power Supply? 
- Q2: What welding applications is the PTW-150 suitable for? 
- Q3: What features does the PTW-150 Power Supply offer? 
- Q4: How does the PTW-150 support orbital welding systems? 
- Q5: What industries use the PTW-150 Power Supply?</t>
  </si>
  <si>
    <t xml:space="preserve">- A1: The PTW-150 Power Supply is designed to provide reliable power for orbital TIG welding systems, supporting a wide range of pipe welding applications. 
- A2: It is suitable for both light and heavy-duty applications, offering stable power for precision welding. 
- A3: Key features include adjustable output current, smooth arc control, and compatibility with various orbital welding heads. 
- A4: The PTW-150 is essential in orbital welding systems where a steady and clean power supply is crucial for high-quality welds. 
- A5: It is widely used in industries such as aerospace, pharmaceuticals, and food processing, where precise, clean welds are critical.</t>
  </si>
  <si>
    <t>PTW160</t>
  </si>
  <si>
    <t xml:space="preserve">PTW-160 POWER SUPPLY</t>
  </si>
  <si>
    <t xml:space="preserve">PTW‑160 power supply offering 160 A output with integrated water cooler, built‑in data logging, automatic weld schedule generation, and wide input voltage compatibility. </t>
  </si>
  <si>
    <t xml:space="preserve">160 A DC orbital welding output with integrated water cooling</t>
  </si>
  <si>
    <t xml:space="preserve">Ultra‑portable, lightweight design with 120–240 V input</t>
  </si>
  <si>
    <t xml:space="preserve">Built‑in data logger for welding procedure recording</t>
  </si>
  <si>
    <t xml:space="preserve">Automatic weld schedule generator and integrated controls for consistent welds </t>
  </si>
  <si>
    <t xml:space="preserve">The PTW‑160 Power Supply is an ultra‑portable orbital tube welder providing up to 160 A output for GTAW (TIG) welding of small bore tubes. It features an integrated water cooler, built‑in data logging, and an auto‑weld schedule generator to minimize programming time. With a wide input range from 120 V to 240 V and lightweight design, the PTW‑160 is suitable for precision welding in confined areas or remote locations, delivering stable arc performance and repeatable results. </t>
  </si>
  <si>
    <t xml:space="preserve">Enhanced PTW‑160 Power Supply for Specialty Welding Applications</t>
  </si>
  <si>
    <t xml:space="preserve">The Liburdi Dimetrics PTW‑160 ultra‑portable tube welder delivers up to 160 A output with an integrated water cooler, built‑in data logging, and automatic welding schedule generation. Its compact all‑in‑one design simplifies setup and minimizes development time, making it ideal for production environments requiring efficient orbital welding of small tubes with real‑time weld data capture and reliable arc control. </t>
  </si>
  <si>
    <t xml:space="preserve">- Medium-duty orbital/TIG power supply- Adjustable DC current output- Industrial-grade design- Built-in safety features</t>
  </si>
  <si>
    <t xml:space="preserve">- Smooth arc control- Supports long duty cycles- Compatible with cooling and weld heads- Easy operation and setup</t>
  </si>
  <si>
    <t xml:space="preserve">Select PTW‑160 Power Supply</t>
  </si>
  <si>
    <t xml:space="preserve">The PTW‑160 Power Supply combines 160 A TIG output with built‑in water cooling, automatic schedule generation, and data logging for orbital welding. Its lightweight, portable package simplifies deployment while delivering consistent power and performance across diverse materials and thicknesses. Designed for integration with standard orbital weld heads and fixtures, it enhances setup flexibility and welding productivity. </t>
  </si>
  <si>
    <t xml:space="preserve">- Q1: What is the PTW-160 Power Supply? 
- Q2: How does the PTW-160 differ from the PTW-150? 
- Q3: What power range does the PTW-160 support? 
- Q4: What are the advantages of the PTW-160 for welding applications? 
- Q5: What industries typically use the PTW-160 Power Supply?</t>
  </si>
  <si>
    <t xml:space="preserve">- A1: The PTW-160 Power Supply is an upgraded version of the PTW-150, designed to support more demanding welding applications with higher power output. 
- A2: The PTW-160 provides a wider power range and enhanced arc control compared to the PTW-150, making it ideal for tougher welding tasks. 
- A3: It offers a power output typically ranging from 5-160A, suitable for medium to large-scale orbital welding. 
- A4: The PTW-160 is beneficial for industries requiring high precision and consistent arc stability, like aerospace and semiconductor manufacturing. 
- A5: It’s used in high-tech applications where stable power is necessary for achieving consistent welds with minimal defects.</t>
  </si>
  <si>
    <t>MIL300DY95</t>
  </si>
  <si>
    <t xml:space="preserve">DYNASTY 300  COMPLETE, WIRELESS FOOT CON</t>
  </si>
  <si>
    <t>951937</t>
  </si>
  <si>
    <t xml:space="preserve">Dynasty 300 complete TIG/Stick multiprocess welding power source with inverter technology, Auto‑Line™ voltage adaptation, wireless foot control, and Cooler‑On‑Demand™ cooling for portable, high‑precision welding. </t>
  </si>
  <si>
    <t xml:space="preserve">Welding Modes</t>
  </si>
  <si>
    <t xml:space="preserve">AC/DC TIG welding capability across wide amperage range (up to ~300 A)</t>
  </si>
  <si>
    <t xml:space="preserve">60 % rated output at higher currents for industrial use </t>
  </si>
  <si>
    <t xml:space="preserve">Wireless Control</t>
  </si>
  <si>
    <t xml:space="preserve">Includes wireless foot control for hands‑free amperage modulation</t>
  </si>
  <si>
    <t>Multi‑Process</t>
  </si>
  <si>
    <t xml:space="preserve">Supports stick and TIG processes with adjustable settings </t>
  </si>
  <si>
    <t xml:space="preserve">The Miller Dynasty® 300 is a professional‑grade TIG welding power supply offering AC/DC GTAW (TIG) coverage up to 300 A with advanced waveform control. It supports smooth arc initiation, adjustable frequency, balance settings, pulse welding, and a robust duty cycle for a broad range of materials including steel, stainless, and aluminum. The complete package includes wireless foot control for flexible amperage adjustment during welding, making it well‑suited for industrial fabrication, maintenance, and precision TIG applications. </t>
  </si>
  <si>
    <t xml:space="preserve">View TIG Welding System</t>
  </si>
  <si>
    <t xml:space="preserve">Complete Dynasty 300 TIG Power Supply with Wireless Foot Control</t>
  </si>
  <si>
    <t xml:space="preserve">The Dynasty® 300 is a versatile AC/DC TIG welding power source offering balanced AC for aluminum and precise DC for steel and specialty alloys. With wireless foot control, this complete system enables user‑friendly remote current adjustment for fine‑tuned heat input during welding. Its advanced inverter technology ensures stable arc performance suitable for structural, fabrication, and maintenance welding tasks across a wide range of materials and thicknesses. </t>
  </si>
  <si>
    <t xml:space="preserve">- Complete TIG/DC welding system- Wireless foot control for operator flexibility- Adjustable current and pulse settings- Compact portable design</t>
  </si>
  <si>
    <t xml:space="preserve">- Smooth DC/TIG welding output- Professional-grade performance- Compatible with cooling and accessory systems- Ergonomic and easy to use</t>
  </si>
  <si>
    <t xml:space="preserve">Request Your Dynasty 300 Complete With Wireless Foot Control</t>
  </si>
  <si>
    <t xml:space="preserve">The Dynasty 300 Complete Welding System with Wireless Foot Control delivers advanced AC/DC TIG and Stick welding performance up to 300 A, featuring Auto‑Line™ input power adaptation, intuitive LCD interface, program memory, and Cooler‑On‑Demand™ functionality. Wireless foot control enhances operator mobility and precision, making it ideal for fabrication, maintenance, and high‑quality production welding across aluminum, stainless steel, and exotic alloys. </t>
  </si>
  <si>
    <t xml:space="preserve">- Q1: What is the Dynasty 300 Complete, Wireless Foot Control? 
- Q2: What makes the Dynasty 300 power supply unique? 
- Q3: How does the wireless foot control enhance user experience? 
- Q4: What welding processes are compatible with the Dynasty 300? 
- Q5: What industries benefit from the Dynasty 300 with wireless foot control?</t>
  </si>
  <si>
    <t xml:space="preserve">- A1: The Dynasty 300 is a high-performance TIG welding power supply that offers advanced features for industrial welding applications. 
- A2: It is known for its smooth arc, stable power delivery, and advanced inverter technology, making it suitable for high-precision welding. 
- A3: The wireless foot control provides enhanced mobility and control during welding, allowing users to adjust settings without physically interacting with the machine. 
- A4: The Dynasty 300 is compatible with TIG (GTAW) and Stick welding (SMAW), making it versatile for various welding applications. 
- A5: It is widely used in industries like aerospace, automotive, and fabrication, where precision and reliability are crucial for welding performance.</t>
  </si>
  <si>
    <t>PWSMAXS210DX</t>
  </si>
  <si>
    <t xml:space="preserve">MAXSTAR 210 DCX TIG WELDING PS</t>
  </si>
  <si>
    <t>MAXS210DX</t>
  </si>
  <si>
    <t xml:space="preserve">Maxstar 210 DCX TIG welding power supply delivering DC TIG and stick welding with Auto‑Line™ adaptability and smooth arc control for steel and specialty metals up to 210 A. </t>
  </si>
  <si>
    <t xml:space="preserve">Welding Method</t>
  </si>
  <si>
    <t xml:space="preserve">DC TIG weld power supply for TIG/GTAW applications</t>
  </si>
  <si>
    <t xml:space="preserve">Operates on standard mains power (120/240 V)</t>
  </si>
  <si>
    <t xml:space="preserve">Weld Control</t>
  </si>
  <si>
    <t xml:space="preserve">Smooth arc control with adjustable amperage</t>
  </si>
  <si>
    <t xml:space="preserve">Build &amp; Portability</t>
  </si>
  <si>
    <t xml:space="preserve">Compact design with carry handle for workshop/portable use </t>
  </si>
  <si>
    <t xml:space="preserve">The Miller Maxstar 210 DCX is a compact, high‑performance DC TIG welding power supply designed for professional TIG welding with reliable arc control up to 210 A. Its inverter‑based design ensures efficient power delivery with smooth current output and responsive control, supporting applications in fabrication, maintenance, and precision industrial welding. The compact form factor and rugged construction make it suitable for shop or job‑site use while delivering consistent DC TIG performance. </t>
  </si>
  <si>
    <t xml:space="preserve">Get TIG Power Supply Quote</t>
  </si>
  <si>
    <t xml:space="preserve">Professional DC TIG Welder Power Supply with Advanced Inverter Technology </t>
  </si>
  <si>
    <t xml:space="preserve">The Miller® Maxstar® 210 DCX is a portable DC TIG welding power source delivering up to 210 A with inverter‑based output for exceptional arc stability and precise welding control on steel, stainless steel, and exotic alloys. Featuring Auto‑Line™ power management, fan‑on‑demand cooling, and pulsed TIG capability, it provides smooth, repeatable arcs for fabrication, maintenance, and field service applications requiring reliable performance and flexibility. </t>
  </si>
  <si>
    <t xml:space="preserve">- Advanced TIG/DC welding power supply- High-precision output control- Lightweight and portable- Built-in safety and overload protection</t>
  </si>
  <si>
    <t xml:space="preserve">- Smooth arc performance for TIG welding- Adjustable current for fine control- Compatible with foot control and accessories- Reliable for workshop and field use</t>
  </si>
  <si>
    <t xml:space="preserve">Order the Maxstar 210 DCX TIG Welding Power Supply</t>
  </si>
  <si>
    <t xml:space="preserve">The Maxstar® 210 DCX TIG Welding Power Supply offers versatile DC TIG welding performance in a portable, inverter‑based unit. Designed for precision welding on steel and stainless alloys, it delivers smooth arc control, reliable start performance, and adjustable output settings to support production or field welding tasks.</t>
  </si>
  <si>
    <t xml:space="preserve">- Q1: What is the Maxstar 210 DCX TIG Welding Power Supply? 
- Q2: What welding processes does the Maxstar 210 DCX support? 
- Q3: What makes the Maxstar 210 DCX ideal for portable TIG welding? 
- Q4: What are the main features of the Maxstar 210 DCX? 
- Q5: Which industries commonly use the Maxstar 210 DCX?</t>
  </si>
  <si>
    <t xml:space="preserve">- A1: The Maxstar 210 DCX is a compact and portable TIG welding power supply that provides high performance for professional welding applications. 
- A2: It supports the TIG (GTAW) process and Stick (SMAW), offering flexibility in various welding environments. 
- A3: Its lightweight and portable design, along with advanced inverter technology, make it ideal for on-site welding and tight spaces. 
- A4: The Maxstar 210 DCX features a wide range of amperage control, easy setup, and high-frequency start for reliable arc initiation. 
- A5: It is widely used in industries like automotive, maintenance, and fabrication where portable and high-precision welding is required.</t>
  </si>
  <si>
    <t>ACL200</t>
  </si>
  <si>
    <t xml:space="preserve">ACL 200 ORBITAL POWER SUPPLY</t>
  </si>
  <si>
    <t xml:space="preserve">ACL 200 orbital power supply offering up to 200 A output with digital controller and advanced procedure programming for precision orbital welding operations. </t>
  </si>
  <si>
    <t xml:space="preserve">Power &amp; Control</t>
  </si>
  <si>
    <t xml:space="preserve">Orbital GTAW power supply with digital control and programmable welding</t>
  </si>
  <si>
    <t xml:space="preserve">Compatible with advanced orbital weldheads like CopperHead series</t>
  </si>
  <si>
    <t xml:space="preserve">Software Features</t>
  </si>
  <si>
    <t xml:space="preserve">Auto Program Generator for consistent, repeatable welds</t>
  </si>
  <si>
    <t xml:space="preserve">Welding Data</t>
  </si>
  <si>
    <t xml:space="preserve">Real‑time monitoring and data management</t>
  </si>
  <si>
    <t xml:space="preserve">The ACL 200 Orbital Power Supply is a dedicated 200 A orbital welding system designed for GTAW (TIG) tube welding. It combines inverter‑based power control with an integrated controller to program, monitor, and execute precise weld schedules. The unit supports automatic procedure generation and self‑diagnostics, enabling efficient orbital welding in production environments. Its robust design and comprehensive control features make it ideal for high‑integrity welds on sanitary, high‑purity, and industrial piping systems. </t>
  </si>
  <si>
    <t xml:space="preserve">Configure Orbital Power Supply</t>
  </si>
  <si>
    <t xml:space="preserve">High‑Performance ACL 200 Orbital Welding Power Supply</t>
  </si>
  <si>
    <t xml:space="preserve">The ACL‑200 orbital power supply is an automated welding controller designed to drive orbital GTAW systems with precision current regulation and programmable weld schedules. It supports high‑quality, repeatable welds in industrial and scientific tubing applications, integrating with water‑cooled heads and feedback systems to maintain stable arc conditions during automated orbital welding processes.</t>
  </si>
  <si>
    <t xml:space="preserve">- Industrial orbital welding power supply- Supports adjustable current output- Compact and rugged enclosure- Built-in digital controls</t>
  </si>
  <si>
    <t xml:space="preserve">- Smooth and stable DC output- Designed for automated orbital welding- Works with standard cooling and weld heads- High repeatability and precision</t>
  </si>
  <si>
    <t xml:space="preserve">Get Your ACL 200 Orbital Power Supply</t>
  </si>
  <si>
    <t xml:space="preserve">The ACL 200 Orbital Power Supply provides controlled GTAW power for automated orbital welding applications. Engineered for process repeatability and robust performance, it supports integration with orbital weld heads and purge systems to deliver consistent weld quality in tube and piping fabrication workflows.</t>
  </si>
  <si>
    <t xml:space="preserve">- Q1: What is the ACL 200 Orbital Power Supply? 
- Q2: How does the ACL 200 power orbital welding systems? 
- Q3: What features make the ACL 200 suitable for industrial orbital welding? 
- Q4: What pipe sizes can the ACL 200 support? 
- Q5: Which industries use the ACL 200 Orbital Power Supply?</t>
  </si>
  <si>
    <t xml:space="preserve">- A1: The ACL 200 Orbital Power Supply is designed for orbital TIG welding applications, providing precise power control for a variety of materials. 
- A2: It powers orbital weld heads for consistent, reliable welding, particularly in precision applications. 
- A3: The ACL 200 features adjustable current control, arc stabilization, and is compatible with a wide range of orbital welding systems. 
- A4: It can be used with orbital welding heads that handle pipe sizes from 1/8" to 4" (3.2–101.6 mm) OD. 
- A5: The ACL 200 is typically used in industries such as aerospace, pharmaceuticals, and semiconductor manufacturing.</t>
  </si>
  <si>
    <t>M5003</t>
  </si>
  <si>
    <t xml:space="preserve">COPPERHEAD III  1/2"-3"OD</t>
  </si>
  <si>
    <t>5003</t>
  </si>
  <si>
    <t xml:space="preserve">Copperhead III orbital weld head for 1/2″–3″ OD tubes with water‑cooled design, narrow profile, and fingertip controls for ergonomic precision orbital welding in confined spaces. </t>
  </si>
  <si>
    <t xml:space="preserve">Water‑cooled precision orbital weld head for medium tube/pipe welding</t>
  </si>
  <si>
    <t xml:space="preserve">Designed for tubes/pipes from 1/2″ to 3″ OD with collet sets </t>
  </si>
  <si>
    <t xml:space="preserve">Water‑cooled design supports continuous duty and higher output </t>
  </si>
  <si>
    <t xml:space="preserve">Narrow profile for limited‑access welds with fingertip controls </t>
  </si>
  <si>
    <t xml:space="preserve">The CopperHead III Orbital Weldhead (Model 5003) is a water‑cooled orbital TIG welding head designed for tubes and pipes from 1/2" to 3" OD. Featuring a narrow profile for access into confined spaces, integrated fingertip controls, and rugged construction, it is ideal for sanitary, high‑pressure, and precision welding applications. Compatible with MK Products orbital power supplies such as the Advanced Color Logic® and CobraTig® series, this weld head delivers reliable, high‑output welding performance for industrial and process piping assemblies. </t>
  </si>
  <si>
    <t xml:space="preserve">Explore Orbital Welding Solutions</t>
  </si>
  <si>
    <t xml:space="preserve">Robust Copperhead III Weld Head for 1/2"–3" Diameter Tube Welding</t>
  </si>
  <si>
    <t xml:space="preserve">Copperhead III series orbital weld head engineered for GTAW welding of tube and pipe from 1/2″ to 3″ OD. Its robust mechanical structure and precision clamping deliver stable arc and consistent weld deposition in mid‑range diameter applications, suitable for high‑integrity pipe fabrication in pharmaceutical, food processing, and industrial systems where repeatable high‑quality joints are required.</t>
  </si>
  <si>
    <t xml:space="preserve">- Mid-range orbital weld head- Supports pipe OD 1/2″–3″- Durable construction for field and shop use- Adjustable torch and rotation controls</t>
  </si>
  <si>
    <t xml:space="preserve">- Smooth TIG welding output- High repeatability for consistent welds- Compatible with cooling and power supply systems- Quick setup and teardown</t>
  </si>
  <si>
    <t xml:space="preserve">Select Copperhead III 1/2"‑3" OD</t>
  </si>
  <si>
    <t xml:space="preserve">The Copperhead III Weld Head is designed for orbital TIG welding of tubes and pipes with outside diameters from 1/2″ to 3″. Featuring durable clamping, precision torch alignment, and compatibility with common orbital power supplies, it ensures stable arc performance and high‑quality seam integrity. Ideal for industrial fabrication and routine welding operations.</t>
  </si>
  <si>
    <t xml:space="preserve">- Q1: What is the Copperhead III 1/2"-3" OD? 
- Q2: What are the main features of the Copperhead III? 
- Q3: How does the Copperhead III perform in orbital welding? 
- Q4: What size range does the Copperhead III accommodate? 
- Q5: What industries use the Copperhead III for welding?</t>
  </si>
  <si>
    <t xml:space="preserve">- A1: The Copperhead III 1/2"-3" OD is an orbital welding head designed for high-performance welding of pipes and tubes. 
- A2: It features advanced cooling systems, precise arc control, and flexible clamping mechanisms for a wide range of applications. 
- A3: The Copperhead III offers consistent and high-quality welds due to its robust design and stable arc power. 
- A4: It supports pipe sizes from 1/2" to 3" (12.7–76.2 mm) OD, making it ideal for medium to large-scale welding tasks. 
- A5: It is used in industries such as petrochemical, food processing, and nuclear where medium to large-diameter pipes need precise welding.</t>
  </si>
  <si>
    <t>4000</t>
  </si>
  <si>
    <t xml:space="preserve">MINI MICRO ORBITAL WELDHEAD 1/8"-1/2"</t>
  </si>
  <si>
    <t xml:space="preserve">Mini Micro orbital weldhead for 1/8″–1/2″ OD tubing with rugged water‑cooled construction and precision clamping for high‑purity small‑diameter orbital welds. </t>
  </si>
  <si>
    <t>Ultra-Compact</t>
  </si>
  <si>
    <t xml:space="preserve">Ultra-compact micro weld head for tubes 1/8" - 1/2" (3.2 mm - 12.7 mm) OD</t>
  </si>
  <si>
    <t xml:space="preserve">Water-cooled design for continuous duty cycle operation</t>
  </si>
  <si>
    <t xml:space="preserve">Housing &amp; Access</t>
  </si>
  <si>
    <t xml:space="preserve">Torlon 5030 housing rated for up to 525°F without water cooling; Hinged collet frames for greater access to tight clearance welds</t>
  </si>
  <si>
    <t>Rotor</t>
  </si>
  <si>
    <t xml:space="preserve">Durable stainless steel rotor with extended wear life</t>
  </si>
  <si>
    <t xml:space="preserve">The MINI MICRO ORBITAL WELDHEAD is a compact orbital welding system for miniature tubes from 1/8" to 1/2" OD (3.2 - 12.7 mm). Its hinged collet frame design and ultra-compact Torlon 5030 housing provide exceptional access to confined welding areas in semiconductor, medical device, and specialty electronics applications. Operating without water cooling at temperatures up to 525°F, it ensures consistent rotation speed and weld quality through encoder-based motor control. The stainless steel rotor and dual bearing-supported gear drive deliver durability and long-term reliability. Supports GTAW (TIG) fusion welding, brushless DC motor, max 38-50A current, 10-12 RPM, and electrode sizes 0.040" or 0.062". Weight: 1.5-2 lbs (0.7-0.9 kg).</t>
  </si>
  <si>
    <t xml:space="preserve">Request Application Support</t>
  </si>
  <si>
    <t xml:space="preserve">Ultra-Compact Orbital Weld Head for Restricted Access Micro-Fitting Applications</t>
  </si>
  <si>
    <t xml:space="preserve">Unrestricted Access for Miniature Component Welding: The hinged collet frame design and ultra-compact profile provide unprecedented access to confined welding areas in semiconductor, medical device, and specialty electronics applications.</t>
  </si>
  <si>
    <t xml:space="preserve">- 1/8" - 1/2" OD range
- Ultra-compact design
- Water-cooled option
- Hinged collet frames
- Stainless steel rotor</t>
  </si>
  <si>
    <t xml:space="preserve">- Torlon 5030 housing
- 525°F operating capability
- Encoder motor control
- Dual bearing support
- 38-50A current capacity</t>
  </si>
  <si>
    <t xml:space="preserve">Experience Mini Micro Welding Excellence</t>
  </si>
  <si>
    <t xml:space="preserve">The MINI MICRO ORBITAL WELDHEAD 1/8"-1/2" is available from authorized orbital welding equipment suppliers specializing in micro-fitting applications. This ultra-compact weld head is ideal for semiconductor manufacturers, medical device producers, and specialty electronics assemblers requiring precision welding of miniature components. Contact our applications team to discuss your specific micro-fitting requirements and discover how advanced micro weld head technology can enhance your production capabilities.</t>
  </si>
  <si>
    <t xml:space="preserve">- Q1: What is the Mini Micro Orbital Weldhead 1/8"-1/2"? 
- Q2: What applications is the Mini Micro Orbital Weldhead used for? 
- Q3: What makes the Mini Micro Weldhead unique for small-scale welding? 
- Q4: What pipe sizes does the Mini Micro Weldhead support? 
- Q5: What industries use the Mini Micro Orbital Weldhead?</t>
  </si>
  <si>
    <t xml:space="preserve">- A1: The Mini Micro Orbital Weldhead 1/8"-1/2" is designed for precision orbital welding of small-diameter tubes and pipes. 
- A2: It is ideal for applications that require high accuracy, such as those in the semiconductor, medical, and aerospace industries. 
- A3: The Mini Micro Weldhead is compact, easy to handle, and capable of welding in confined spaces, offering excellent arc stability. 
- A4: It supports pipe sizes from 1/8" to 1/2" (3.2–12.7 mm) OD, making it perfect for small-scale, delicate welding projects. 
- A5: Industries that require precise and clean welding, such as biotechnology, pharmaceuticals, and food processing, commonly use the Mini Micro Weldhead.</t>
  </si>
  <si>
    <t>6000MK</t>
  </si>
  <si>
    <t xml:space="preserve">MK 6000-S ORBITAL WELD HEAD 1/4"</t>
  </si>
  <si>
    <t xml:space="preserve">MK 6000‑S orbital weld head engineered for mid‑range orbital TIG welding applications with a robust water‑cooled design and ergonomic operator controls.</t>
  </si>
  <si>
    <t>Specialized</t>
  </si>
  <si>
    <t xml:space="preserve">Specialized orbital weld head optimized for 1/4" tubing applications</t>
  </si>
  <si>
    <t xml:space="preserve">Smallest capacity in the MK 6000 series for micro-precision work</t>
  </si>
  <si>
    <t xml:space="preserve">Cooling &amp; Clamping</t>
  </si>
  <si>
    <t xml:space="preserve">Water-cooled components for continuous duty cycle operation; Fixed collet configuration for 1/4" OD tubes</t>
  </si>
  <si>
    <t xml:space="preserve">Compatible with MK CobraTig and ACL power supplies</t>
  </si>
  <si>
    <t xml:space="preserve">The MK 6000-S Orbital Weld Head is engineered for 1/4" (6.35 mm) tubing, delivering precise, repeatable welds for high-volume semiconductor and medical device production. Its fixed precision collet ensures exact alignment, while the water-cooled rotor and cables maintain reliable performance during extended cycles. A 24V DC servo motor provides consistent rotation speed, supporting GTAW (TIG) fusion welding with pulsed currents up to 100A. Electrode sizes 0.040" and 0.062" are supported. Compact and lightweight, it is suitable for benchtop or portable applications. Weight: 3-4 lbs (1.4-1.8 kg).</t>
  </si>
  <si>
    <t xml:space="preserve">Request 1/4" Weld Head Information</t>
  </si>
  <si>
    <t xml:space="preserve">Precision 1/4" Orbital Weld Head for Specialty Applications</t>
  </si>
  <si>
    <t xml:space="preserve">Dedicated Precision Welding for 1/4" Tubing: The MK 6000-S delivers repeatable, high-quality welds for high-volume production of 1/4" diameter applications in semiconductor and medical device manufacturing.</t>
  </si>
  <si>
    <t xml:space="preserve">- 1/4" OD specialized design
- Fixed precision collet
- Water-cooled components
- Servo motor control
- Compact form factor</t>
  </si>
  <si>
    <t xml:space="preserve">- 100A pulsed current
- 10 RPM rotation speed
- Micro-precision positioning
- Aluminum housing
- Lightweight construction</t>
  </si>
  <si>
    <t xml:space="preserve">Implement MK 6000-S for 1/4" Production</t>
  </si>
  <si>
    <t xml:space="preserve">The MK 6000-S ORBITAL WELD HEAD 1/4" is available from MK Products and specialized orbital welding suppliers. This dedicated weld head is ideal for manufacturers with high-volume 1/4" tubing requirements seeking to minimize setup time and maximize production efficiency. Contact our technical team to discuss how this specialized weld head can streamline your production process and improve weld quality consistency.</t>
  </si>
  <si>
    <t xml:space="preserve">- Q1: What is the MK 6000-S Orbital Weld Head 1/4"? 
- Q2: What makes the MK 6000-S Orbital Weld Head suitable for small to medium-sized pipe welding? 
- Q3: What are the key features of the MK 6000-S? 
- Q4: What is the maximum pipe size that the MK 6000-S can weld? 
- Q5: Which industries commonly use the MK 6000-S?</t>
  </si>
  <si>
    <t xml:space="preserve">- A1: The MK 6000-S Orbital Weld Head 1/4" is designed for small to medium diameter pipe welding, offering precision and efficiency. 
- A2: Its key features include adjustable clamping pressure, automatic arc length control, and a versatile design that suits a wide range of welding applications. 
- A3: The MK 6000-S is known for its stability and ease of use, making it suitable for various materials and applications. 
- A4: It supports pipe sizes up to 1/4" (6.35 mm) OD, ideal for small to medium-scale orbital welding tasks. 
- A5: It is typically used in industries such as aerospace, medical device manufacturing, and food processing.</t>
  </si>
  <si>
    <t>6000TMK</t>
  </si>
  <si>
    <t xml:space="preserve">MK 6000-T ORBITAL WELD HEAD</t>
  </si>
  <si>
    <t xml:space="preserve">MK 6000‑T orbital weld head engineered for precision TIG welding with robust mechanical clamping and water‑cooled capability for reliable fusion on mid‑range tube and pipe applications.</t>
  </si>
  <si>
    <t>Tubular</t>
  </si>
  <si>
    <t xml:space="preserve">Tubular configuration for through-head design applications</t>
  </si>
  <si>
    <t xml:space="preserve">Variable size capacity range for versatile production use</t>
  </si>
  <si>
    <t>Drivetrain</t>
  </si>
  <si>
    <t xml:space="preserve">Integrated torque-limiting clutch protects drivetrain</t>
  </si>
  <si>
    <t xml:space="preserve">Cooling &amp; Operation</t>
  </si>
  <si>
    <t xml:space="preserve">Water-cooled for continuous duty operation; Quick-release cartridge system for rapid tool changes</t>
  </si>
  <si>
    <t xml:space="preserve">The MK 6000-T Orbital Weld Head offers flexible, multi-size capability for tubing from 1/4" to 1.5" OD (6.35 - 38.1 mm). Its tubular through-head design and quick-release collet cartridges enable rapid changeover while maintaining precise alignment. The 24V DC encoder-controlled motor, integrated torque-limiting clutch, and water-cooled rotor, cables, and tooling ensure consistent weld quality and extended service life. Supports GTAW (TIG) fusion welding, max 150A pulsed current, 10 RPM rotation, and electrode sizes 0.040" and 0.062". Weight: 5-6 lbs (2.3-2.7 kg).</t>
  </si>
  <si>
    <t xml:space="preserve">Get System Configuration Assistance</t>
  </si>
  <si>
    <t xml:space="preserve">Versatile Tubular Orbital Weld Head for Multi-Size Production</t>
  </si>
  <si>
    <t xml:space="preserve">Flexible Multi-Size Orbital Welding Capability: The MK 6000-T delivers exceptional versatility for contract manufacturers and production facilities handling diverse tubing sizes and applications.</t>
  </si>
  <si>
    <t xml:space="preserve">- 1/4" - 1.5" OD range
- Quick-release cartridges
- Torque-limiting clutch
- Water-cooled system
- Versatile production use</t>
  </si>
  <si>
    <t xml:space="preserve">- 150A pulsed current
- 10 RPM rotation
- Encoder motor control
- Aluminum housing
- Drivetrain protection</t>
  </si>
  <si>
    <t xml:space="preserve">Enhance Production Flexibility with MK 6000-T</t>
  </si>
  <si>
    <t xml:space="preserve">The MK 6000-T ORBITAL WELD HEAD is available from MK Products and authorized distributors. This versatile weld head is ideal for contract manufacturers, job shops, and production facilities requiring flexibility to handle diverse tubing sizes and applications. Contact our applications specialists to discuss how the MK 6000-T can expand your production capabilities and improve operational efficiency.</t>
  </si>
  <si>
    <t xml:space="preserve">- Q1: What is the MK 6000-T Orbital Weld Head? 
- Q2: How does the MK 6000-T differ from other orbital weld heads? 
- Q3: What is the size range for the MK 6000-T? 
- Q4: What industries use the MK 6000-T? 
- Q5: How does the MK 6000-T contribute to efficient welding operations?</t>
  </si>
  <si>
    <t xml:space="preserve">- A1: The MK 6000-T Orbital Weld Head is an advanced orbital welding head designed for precision and efficiency in various welding applications. 
- A2: The MK 6000-T is distinguished by its compact design, versatility, and ability to handle a wide variety of welding tasks with minimal adjustments. 
- A3: It supports a wide range of pipe sizes, typically from 1/8" to 2" (3.2–50.8 mm) OD. 
- A4: The MK 6000-T is used in industries like automotive, aerospace, and pharmaceuticals where precision and speed are required. 
- A5: It enhances efficiency by offering fast setup, consistent arc control, and the ability to accommodate a variety of welding situations with minimal reconfiguration.</t>
  </si>
  <si>
    <t>6002MK</t>
  </si>
  <si>
    <t xml:space="preserve">MK 6002 ORBITAL WELD HEAD 1/4"-2"OD</t>
  </si>
  <si>
    <t>6002</t>
  </si>
  <si>
    <t xml:space="preserve">MK 6002 orbital weld head with water‑cooled design and secure clamping, optimized for orbital TIG welding of 1/4″–2″ OD tube and pipe.</t>
  </si>
  <si>
    <t>Extended-Range</t>
  </si>
  <si>
    <t xml:space="preserve">Extended-range orbital weld head for mid-to-large diameter tubing</t>
  </si>
  <si>
    <t xml:space="preserve">1/4" - 2" (6.35 mm - 50.8 mm) OD capacity with multiple collet options</t>
  </si>
  <si>
    <t xml:space="preserve">Cooling &amp; Efficiency</t>
  </si>
  <si>
    <t xml:space="preserve">Water-cooled narrow-profile design for production efficiency</t>
  </si>
  <si>
    <t xml:space="preserve">Cartridges &amp; Precision</t>
  </si>
  <si>
    <t xml:space="preserve">Removable collet cartridges for rapid tool changes; Professional-grade precision suitable for sanitary piping</t>
  </si>
  <si>
    <t xml:space="preserve">The MK 6002 Orbital Weld Head accommodates tubing from 1/4" to 2" OD (6.35 - 50.8 mm), ideal for mid-to-large diameter production in sanitary, high-pressure, and beverage processing systems. Quick-change collet cartridges and a 24V DC servo motor enable rapid setup and consistent rotation speed. Comprehensive water cooling ensures thermal stability, while electrode sizes 0.040" and 0.062" support GTAW (TIG) fusion welding up to 200A pulsed current. This extended-range system delivers professional-grade precision and reliability. Weight: 6-7 lbs (2.7-3.2 kg).</t>
  </si>
  <si>
    <t xml:space="preserve">Request Extended-Range System Quote</t>
  </si>
  <si>
    <t xml:space="preserve">Extended-Range Orbital Weld Head for Diverse Production Applications</t>
  </si>
  <si>
    <t xml:space="preserve">Extended Capacity for Mid-to-Large Diameter Production: The MK 6002 delivers the versatility required for manufacturers handling diverse tubing sizes from small instrument tubing to large-diameter process piping.</t>
  </si>
  <si>
    <t xml:space="preserve">- 1/4" - 2" OD range
- Quick-change cartridges
- Water-cooled system
- Servo motor control
- Extended capacity</t>
  </si>
  <si>
    <t xml:space="preserve">- 200A pulsed current
- 10 RPM rotation
- Removable collets
- Aluminum housing
- Professional precision</t>
  </si>
  <si>
    <t xml:space="preserve">Expand Your Welding Capability with MK 6002</t>
  </si>
  <si>
    <t xml:space="preserve">The MK 6002 ORBITAL WELD HEAD 1/4"-2"OD is available from MK Products and authorized distributors. This extended-range weld head is ideal for manufacturers requiring versatility across mid-to-large diameter tubing sizes. Contact our technical team to discuss collet options, system configuration, and integration with existing equipment.</t>
  </si>
  <si>
    <t xml:space="preserve">- Q1: What is the MK 6002 Orbital Weld Head 1/4"-2" OD? 
- Q2: What pipe sizes does the MK 6002 support? 
- Q3: How is the MK 6002 suited for precision welding? 
- Q4: What are the key features of the MK 6002? 
- Q5: What industries commonly use the MK 6002 Orbital Weld Head?</t>
  </si>
  <si>
    <t xml:space="preserve">- A1: The MK 6002 Orbital Weld Head is designed for medium to large pipe welding, with a focus on precision and high-quality welds. 
- A2: It supports pipe sizes from 1/4" to 2" (6.35–50.8 mm) OD, making it suitable for a wide range of welding applications. 
- A3: The MK 6002 features stable arc control, flexible clamping mechanisms, and efficient cooling for continuous operation. 
- A4: Key features include adjustable arc length, automatic centering, and a robust design that ensures long-lasting performance. 
- A5: Industries like aerospace, petrochemical, and heavy manufacturing use the MK 6002 for precision orbital welding on pipes and tubes.</t>
  </si>
  <si>
    <t>6004MK</t>
  </si>
  <si>
    <t xml:space="preserve">MK 6004 ORBITAL WELD HEAD</t>
  </si>
  <si>
    <t xml:space="preserve">MK 6004 orbital weld head featuring rugged construction and water cooling for high‑precision orbital welding in mid‑range diameter tube and piping systems.</t>
  </si>
  <si>
    <t>Heavy-Duty</t>
  </si>
  <si>
    <t xml:space="preserve">Heavy-duty orbital weld head for maximum diameter capacity</t>
  </si>
  <si>
    <t xml:space="preserve">Largest capacity in MK product line for industrial pipe welding</t>
  </si>
  <si>
    <t xml:space="preserve">Cooling &amp; Design</t>
  </si>
  <si>
    <t xml:space="preserve">Water-cooled narrow-profile design for high-volume production</t>
  </si>
  <si>
    <t xml:space="preserve">Construction &amp; Compatibility</t>
  </si>
  <si>
    <t xml:space="preserve">Professional-grade construction for demanding applications; Compatible with MK CobraTig and ACL power supplies</t>
  </si>
  <si>
    <t xml:space="preserve">The MK 6004 Orbital Weld Head is the maximum-capacity system in the MK series, designed for large industrial pipes from 3/4" to 4.5" OD (19.05 - 114.3 mm). Its heavy-duty reinforced aluminum housing provides structural integrity for high-inertia welding, while full water cooling ensures thermal management during high-volume production. Quick-change collet cartridges allow fast setup transitions. Supports GTAW (TIG) fusion welding with a 24V DC servo motor, 250A pulsed current, 10 RPM, and electrodes 0.062" or 3/32". Ideal for oil &amp; gas, nuclear, and aerospace applications. Weight: 12-14 lbs (5.4-6.4 kg).</t>
  </si>
  <si>
    <t xml:space="preserve">Request Industrial System Consultation</t>
  </si>
  <si>
    <t xml:space="preserve">Maximum-Capacity Orbital Weld Head for Large Industrial Pipe Applications</t>
  </si>
  <si>
    <t xml:space="preserve">Industrial-Scale Orbital Welding for Large-Diameter Pipe: The MK 6004 delivers the capability and reliability required for maximum-diameter orbital welding in oil and gas, nuclear, and aerospace applications.</t>
  </si>
  <si>
    <t xml:space="preserve">- 3/4" - 4.5" OD range
- Maximum capacity system
- Heavy-duty reinforced housing
- 250A pulsed current
- Water-cooled design</t>
  </si>
  <si>
    <t xml:space="preserve">- Full water-cooled components
- Quick-change cartridges
- Servo motor control
- Professional precision
- Universal compatibility</t>
  </si>
  <si>
    <t xml:space="preserve">Specify MK 6004 for Maximum Pipe Capacity</t>
  </si>
  <si>
    <t xml:space="preserve">The MK 6004 ORBITAL WELD HEAD is available from MK Products and authorized distributors specializing in large-diameter industrial orbital welding. This maximum-capacity weld head is ideal for oil and gas, nuclear, aerospace, and marine manufacturers requiring the highest diameter capability. Contact our industrial applications team to discuss system specifications, integration, and support for your large-scale pipe welding operations.</t>
  </si>
  <si>
    <t xml:space="preserve">- Q1: What is the MK 6004 Orbital Weld Head? 
- Q2: What makes the MK 6004 suitable for industrial welding applications? 
- Q3: What pipe size range can the MK 6004 handle? 
- Q4: How does the MK 6004 improve welding precision and efficiency? 
- Q5: What industries typically use the MK 6004 Weld Head?</t>
  </si>
  <si>
    <t xml:space="preserve">- A1: The MK 6004 Orbital Weld Head is designed for larger diameter pipe and tube welding, with a focus on efficiency and consistent high-quality welds. 
- A2: It is built for medium to large pipe sizes, offering high-power welding capabilities. 
- A3: The MK 6004 can accommodate pipe sizes ranging from 1/2" to 4" (12.7–101.6 mm) OD, making it versatile for various industrial applications. 
- A4: The MK 6004 enhances precision with features like automatic arc length adjustment, smooth power delivery, and flexible clamping mechanisms. 
- A5: Commonly used in industries like oil &amp; gas, power generation, and automotive for large-scale pipe welding.</t>
  </si>
  <si>
    <t>GF06</t>
  </si>
  <si>
    <t xml:space="preserve">GF 6 PIPE CUTTING MACHINE</t>
  </si>
  <si>
    <t xml:space="preserve">GF 6 pipe cutting machine using orbital “planetary cutting” technology for fast, burr‑free cuts and bevels on a variety of materials from stainless to plastics. </t>
  </si>
  <si>
    <t xml:space="preserve">Planetary orbital cutting for right-angled, burr-free cuts</t>
  </si>
  <si>
    <t xml:space="preserve">Working Range</t>
  </si>
  <si>
    <t xml:space="preserve">Pipes OD approx. 21.3–168.3 mm</t>
  </si>
  <si>
    <t>Ergonomics</t>
  </si>
  <si>
    <t xml:space="preserve">Ergonomic handle for comfortable operation</t>
  </si>
  <si>
    <t xml:space="preserve">Stainless steel clamping attachments and multifunctional tool included</t>
  </si>
  <si>
    <t xml:space="preserve">The GF 6 Pipe Cutting Machine is a robust orbital pipe cutting and beveling saw designed for precise, square, burr‑free cutting of pipes and tubes in seconds. It uses planetary cutting technology to cut high‑alloy, low‑alloy, stainless steels, non‑ferrous metals, plastics, and cast materials with minimal deformation. An ergonomic motor handle, integrated laser pointer for cut‑off marking, and deformation‑free multi‑point clamping enhance productivity and ease of use. Optional automatic (AVM) and manual (MVM) feed modules are available to suit different workflow needs. Typical applications include industrial pipeline prefabrication in sectors such as chemical, pharmaceutical, and food processing. </t>
  </si>
  <si>
    <t xml:space="preserve">Industrial Orbital Pipe Cutting &amp; Bevelling Saw for Precision End Prep (1"–6") </t>
  </si>
  <si>
    <t xml:space="preserve">The GF 6 orbital pipe cutting and beveling machine uses a planetary cutting method to deliver precise, square, burr‑free pipe cuts and bevels in seconds. Designed for industrial pipeline prefabrication, it handles a wide range of materials including stainless steel, alloy steels, non‑ferrous metals, and plastics with deformation‑free clamping. Its ergonomic design, integrated laser cut‑off guide, and optional automatic or manual feed modules increase productivity and reduce operator fatigue for advanced preparation prior to welding. </t>
  </si>
  <si>
    <t xml:space="preserve">- Portable pipe cutting machine- Supports pipe OD up to 6″- High-torque motor for smooth cuts- Adjustable cutting speed</t>
  </si>
  <si>
    <t xml:space="preserve">- Accurate and repeatable cuts- Easy setup and alignment- Rugged industrial-grade construction- Suitable for stainless steel, carbon steel, and aluminum</t>
  </si>
  <si>
    <t xml:space="preserve">Order Your GF 6 Pipe Cutting Machine</t>
  </si>
  <si>
    <t xml:space="preserve">The GF 6 Pipe Cutting Machine is designed for precise, repeatable cutting of pipes ranging from small to medium diameters. Its robust frame and adjustable clamping system ensure square, burr-free cuts, ideal for production environments, fabrication shops, and high-volume pipeline assembly. Engineered for accuracy and durability, it supports integration with standard tube handling and material support systems.</t>
  </si>
  <si>
    <t xml:space="preserve">- Q1: What is the GF 6 Pipe Cutting Machine? 
- Q2: What sizes can the GF 6 Pipe Cutting Machine handle? 
- Q3: How does the GF 6 ensure precision in cutting? 
- Q4: What materials is the GF 6 designed to cut? 
- Q5: What industries typically use the GF 6 Pipe Cutting Machine?</t>
  </si>
  <si>
    <t xml:space="preserve">- A1: The GF 6 Pipe Cutting Machine is a heavy-duty cutting tool designed for cutting pipes and tubes with high precision. 
- A2: It is capable of cutting a wide range of pipe sizes, typically from 1/2" to 6" (12.7–152.4 mm) OD. 
- A3: The GF 6 uses advanced cutting technology that ensures smooth, accurate cuts with minimal burrs or deformations. 
- A4: It is designed to cut a variety of materials, including stainless steel, carbon steel, and alloy pipes. 
- A5: The GF 6 is used in industries such as petrochemical, manufacturing, and aerospace for precision pipe cutting in high-demand environments.</t>
  </si>
  <si>
    <t>GF12</t>
  </si>
  <si>
    <t xml:space="preserve">GF/RA 12 PIPE CUTTING MACHINE</t>
  </si>
  <si>
    <t xml:space="preserve">GF/RA 12 pipe cutting machine delivering precise orbital cuts and bevels with ergonomic design and multi‑point clamping across 6″–12.8″ OD pipes. </t>
  </si>
  <si>
    <t xml:space="preserve">Cutting &amp; Bevelling</t>
  </si>
  <si>
    <t xml:space="preserve">Cuts and bevels pipes up to ~12″ (325 mm) OD</t>
  </si>
  <si>
    <t xml:space="preserve">Deformation-free multi-point clamping system</t>
  </si>
  <si>
    <t xml:space="preserve">Regulated cutting speed with optimal RPM range</t>
  </si>
  <si>
    <t xml:space="preserve">Operator Comfort</t>
  </si>
  <si>
    <t xml:space="preserve">Ergonomic handle for safe and easy operation</t>
  </si>
  <si>
    <t xml:space="preserve">The GF/RA 12 Pipe Cutting Machine is a heavy‑duty orbital saw capable of cutting and beveling larger diameter pipes up to approximately 12″ (325 mm). It employs planetary cutting technology for deformation‑free, burr‑free results on a wide range of materials including stainless steel, carbon steel, aluminum, and plastics. The machine offers regulated cutting speed, multi‑point clamping for secure holding, and fast tool replacement, making it suitable for industrial fabrication and pipeline installation. Suitable accessories such as saw blades, lubricants, and mounting plates support high performance and long tool life. </t>
  </si>
  <si>
    <t xml:space="preserve">Heavy‑Duty GF/RA Series Orbital Pipe Cutting &amp; Bevelling Machine for Large Diameter Pipes </t>
  </si>
  <si>
    <t xml:space="preserve">The GF/RA 12 is a larger orbital pipe cutting and beveling machine engineered for pipes from approximately 6″ to 12″ diameter. It features a robust deformation‑free clamping system and uses the planetary cutting method to ensure cold, burr‑free cuts with the option for simultaneous or separate beveling, making it suitable for heavy‑duty fabrication in chemical, energy, and industrial plant applications. </t>
  </si>
  <si>
    <t xml:space="preserve">- Heavy-duty pipe cutting machine- Supports pipe OD up to 12″- High-precision rotary drive- Stable frame for long pipe cuts</t>
  </si>
  <si>
    <t xml:space="preserve">- Smooth, burr-free cutting- Adjustable cutting angle- Designed for industrial applications- Easy-to-replace cutting blades</t>
  </si>
  <si>
    <t xml:space="preserve">Select GF/RA 12 Pipe Cutting Machine</t>
  </si>
  <si>
    <t xml:space="preserve">The GF/RA 12 Pipe Cutting Machine delivers high-efficiency cutting for large-diameter pipes up to 12″. Featuring adjustable clamps, heavy-duty drive systems, and precise blade alignment, it produces clean, square cuts with minimal operator effort. Suited for industrial fabrication, oil and gas applications, and high-volume production settings.</t>
  </si>
  <si>
    <t xml:space="preserve">- Q1: What is the GF/RA 12 Pipe Cutting Machine? 
- Q2: What are the cutting capabilities of the GF/RA 12? 
- Q3: How does the GF/RA 12 improve cutting efficiency? 
- Q4: What materials can the GF/RA 12 cut? 
- Q5: Which industries utilize the GF/RA 12 Pipe Cutting Machine?</t>
  </si>
  <si>
    <t xml:space="preserve">- A1: The GF/RA 12 Pipe Cutting Machine is an advanced pipe cutting tool designed for high-volume industrial cutting. 
- A2: It is capable of cutting pipes with diameters ranging from 1" to 12" (25.4–304.8 mm) OD, making it suitable for a variety of large-scale applications. 
- A3: The GF/RA 12 utilizes automated cutting techniques that allow for faster, more efficient operations with minimal operator intervention. 
- A4: This machine can cut a wide range of materials, including steel, stainless steel, and exotic alloys. 
- A5: The GF/RA 12 is used in industries such as power generation, nuclear, and heavy manufacturing where precision and efficiency are critical.</t>
  </si>
  <si>
    <t>GF02</t>
  </si>
  <si>
    <t xml:space="preserve">GF/RA 2 TUBE CUTTING SAW</t>
  </si>
  <si>
    <t xml:space="preserve">GF/RA 2 tube cutting saw combining orbital cutting and beveling capability with cold, deformation‑free cutting for small to medium‑diameter pipes. </t>
  </si>
  <si>
    <t xml:space="preserve">Cutting Technology</t>
  </si>
  <si>
    <t xml:space="preserve">Orbital right-angle cutting for small/medium tubes</t>
  </si>
  <si>
    <t xml:space="preserve">Tube Capability</t>
  </si>
  <si>
    <t xml:space="preserve">Suitable for tubes up to ~2″ OD</t>
  </si>
  <si>
    <t xml:space="preserve">Feed Module</t>
  </si>
  <si>
    <t xml:space="preserve">Optional AVM/MVM feed modules for production</t>
  </si>
  <si>
    <t xml:space="preserve">Secure clamping for deformation-free cuts</t>
  </si>
  <si>
    <t xml:space="preserve">The GF/RA 2 Tube Cutting Saw is a compact orbital cutting and beveling machine designed for smaller diameter tubes and pipes. It delivers square, burr‑free cuts quickly using orbital cutting technology on materials such as stainless steel, low‑ and high‑alloy steels, plastics, and non‑ferrous metals. The saw features a stable clamping system and precision tool engagement, ideal for workshop or site fabrication where accurate cutting of small to medium pipes is required. </t>
  </si>
  <si>
    <t xml:space="preserve">Compact RA‑Series Orbital Tube Cutting Saw for Small Diameter Applications </t>
  </si>
  <si>
    <t xml:space="preserve">The GF/RA 2 orbital tube cutting saw is designed for smaller industrial and process tubing applications, delivering precise, square cuts with deformation‑free clamping and fast orbital cutting action. It prepares tube ends efficiently for downstream welding or joint fit‑up, suitable for high‑purity, food, beverage, and chemical plant tubing.</t>
  </si>
  <si>
    <t xml:space="preserve">- Compact tube cutting saw- Supports tube OD up to 2″- Lightweight and portable- High-speed blade rotation</t>
  </si>
  <si>
    <t xml:space="preserve">- Clean, accurate cuts- Quick-change blade system- Suitable for small-diameter tubing- Durable construction for frequent use</t>
  </si>
  <si>
    <t xml:space="preserve">Get GF/RA 2 Tube Cutting Saw</t>
  </si>
  <si>
    <t xml:space="preserve">The GF/RA 2 Tube Cutting Saw provides accurate cutting for small-diameter tubing with minimal burr and high repeatability. Its compact design, durable construction, and safety features make it ideal for workshops, laboratories, and production lines requiring precise tube preparation prior to welding or assembly.</t>
  </si>
  <si>
    <t xml:space="preserve">- Q1: What is the GF/RA 2 Tube Cutting Saw? 
- Q2: What types of tube sizes does the GF/RA 2 cut? 
- Q3: What are the main features of the GF/RA 2 Tube Cutting Saw? 
- Q4: How does the GF/RA 2 enhance cutting precision? 
- Q5: Which industries rely on the GF/RA 2 Tube Cutting Saw?</t>
  </si>
  <si>
    <t xml:space="preserve">- A1: The GF/RA 2 Tube Cutting Saw is a precision tool designed for cutting small to medium-sized tubes with high accuracy. 
- A2: It handles tube sizes from 1/8" to 2" (3.2–50.8 mm) OD, making it ideal for precision tube cutting. 
- A3: The GF/RA 2 features adjustable cutting speed, a durable blade system, and minimal material distortion during cutting. 
- A4: It ensures precise cuts with smooth edges, reducing the need for secondary finishing. 
- A5: It is commonly used in industries such as medical device manufacturing, electronics, and food processing.</t>
  </si>
  <si>
    <t>GF04</t>
  </si>
  <si>
    <t xml:space="preserve">GF/RA 4 TUBE CUTTING SAW</t>
  </si>
  <si>
    <t xml:space="preserve">GF/RA 4 tube cutting saw with orbital planetary cutting technology for precise, square, burr‑free cuts and bevels on pipes with deformation‑free clamping. </t>
  </si>
  <si>
    <t xml:space="preserve">Tube Cutting</t>
  </si>
  <si>
    <t xml:space="preserve">Orbital right-angle cutting for medium tubes</t>
  </si>
  <si>
    <t xml:space="preserve">Single-phase electric operation</t>
  </si>
  <si>
    <t xml:space="preserve">Multi-point clamping for tube stability</t>
  </si>
  <si>
    <t>Speed</t>
  </si>
  <si>
    <t xml:space="preserve">Adjustable cutting speed for materials</t>
  </si>
  <si>
    <t xml:space="preserve">The GF/RA 4 Tube Cutting Saw offers reliable orbital cutting and beveling for medium‑sized pipes and tubes with precision and speed. It uses multi‑point clamping and regulated cutting speed for deformation‑free, burr‑free ends, suitable for welding preparation. The saw handles a range of materials including stainless steel, carbon steel, and plastics. Its ergonomic design and fast tool change features support productivity in industrial and fabrication environments. </t>
  </si>
  <si>
    <t xml:space="preserve">Mid‑Range RA‑Series Orbital Tube Saw for Precise Burr‑Free Cuts </t>
  </si>
  <si>
    <t xml:space="preserve">The GF/RA 4 orbital tube cutting machine provides cold, burr‑free cuts for mid‑range tube diameters, employing an ergonomic design and robust clamping to ensure square end preparation. Its orbital cutting action reduces heat and distortion, streamlining fabrication workflows prior to welding or fitting operations.</t>
  </si>
  <si>
    <t xml:space="preserve">- Mid-range tube cutting saw- Supports tube OD up to 4″- High-torque motor- Adjustable cutting guide</t>
  </si>
  <si>
    <t xml:space="preserve">- Accurate and smooth cuts- Portable design for field or shop- Replaceable cutting blades- Safe operation with built-in guards</t>
  </si>
  <si>
    <t xml:space="preserve">Request GF/RA 4 Tube Cutting Saw</t>
  </si>
  <si>
    <t xml:space="preserve">The GF/RA 4 Tube Cutting Saw is built for reliable, fast, and precise cutting of medium-diameter tubes. Adjustable tube clamping, precision blade alignment, and robust frame construction allow consistent cuts, making it ideal for production environments, instrumentation fabrication, and pipework assembly lines.</t>
  </si>
  <si>
    <t xml:space="preserve">- Q1: What is the GF/RA 4 Tube Cutting Saw? 
- Q2: What is the pipe size range supported by the GF/RA 4? 
- Q3: How does the GF/RA 4 ensure efficient cutting? 
- Q4: What features make the GF/RA 4 versatile for different materials? 
- Q5: Which industries typically use the GF/RA 4 Tube Cutting Saw?</t>
  </si>
  <si>
    <t xml:space="preserve">- A1: The GF/RA 4 Tube Cutting Saw is a powerful cutting tool designed for precise tube cutting, offering fast operation and accuracy. 
- A2: It can cut tube sizes ranging from 1/8" to 4" (3.2–101.6 mm) OD, suitable for a range of medium-scale applications. 
- A3: The GF/RA 4 offers fast, efficient cutting, reducing material waste and ensuring high-quality cuts with minimal burrs. 
- A4: It is equipped with features such as variable cutting speeds and an advanced clamping system for secure tube holding. 
- A5: The GF/RA 4 is used in industries such as automotive, HVAC, and industrial equipment manufacturing.</t>
  </si>
  <si>
    <t>GF08</t>
  </si>
  <si>
    <t xml:space="preserve">GF/RA 8 PIPE CUTTING MACHINE</t>
  </si>
  <si>
    <t xml:space="preserve">GF/RA 8 pipe cutting machine using orbital planetary cutting to deliver burr‑free, cold cuts and bevel preparation with robust clamping on medium‑diameter pipe. </t>
  </si>
  <si>
    <t xml:space="preserve">Heavy-duty orbital cutting and beveling for pipes</t>
  </si>
  <si>
    <t xml:space="preserve">Multi-point clamping jaws for secure grip</t>
  </si>
  <si>
    <t xml:space="preserve">Pipe OD ~100–230 mm</t>
  </si>
  <si>
    <t xml:space="preserve">End Quality</t>
  </si>
  <si>
    <t xml:space="preserve">Square, burr-free and deformation-free ends</t>
  </si>
  <si>
    <t xml:space="preserve">The GF/RA 8 Pipe Cutting Machine is a high‑performance orbital saw for cutting and beveling pipes in the mid‑range diameter class, typically up to approximately 9″ (230 mm). It incorporates planetary cutting technology for right‑angled, deformation‑free cuts on steels, non‑ferrous metals, plastics, and more. Features include regulated variable cutting speed, optimal tool contact, and easy tool replacement, delivering enhanced cutting quality and productivity for industrial pipeline prefabrication and welding preparation. </t>
  </si>
  <si>
    <t xml:space="preserve">Versatile RA‑Series Orbital Pipe Cutting &amp; Bevelling Machine for Industrial Prep </t>
  </si>
  <si>
    <t xml:space="preserve">The GF/RA 8 orbital pipe cutting and beveling machine is engineered for pipe sizes up to ~8″ OD, offering deformation‑free clamping and a cold machining process that delivers accurate, burr‑free ends. Its versatile performance suits structural and process piping fabrication, enhancing weld prep throughput and quality.</t>
  </si>
  <si>
    <t xml:space="preserve">- Industrial pipe cutting machine- Supports pipe OD up to 8″- Robust motor and drive system- Precision alignment system</t>
  </si>
  <si>
    <t xml:space="preserve">- Smooth and precise cuts- Adjustable cutting parameters- Durable construction for heavy-duty use- Compatible with various pipe materials</t>
  </si>
  <si>
    <t xml:space="preserve">Order Your GF/RA 8 Pipe Cutting Machine</t>
  </si>
  <si>
    <t xml:space="preserve">The GF/RA 8 Pipe Cutting Machine offers heavy-duty cutting for pipes up to 8″ in diameter. Its high-strength frame, precise blade guidance, and adjustable clamping system ensure accurate, burr-free cuts suitable for industrial fabrication, HVAC, and process piping applications.</t>
  </si>
  <si>
    <t xml:space="preserve">- Q1: What is the GF/RA 8 Pipe Cutting Machine? 
- Q2: What sizes can the GF/RA 8 accommodate? 
- Q3: How does the GF/RA 8 improve productivity in industrial settings? 
- Q4: What types of materials can the GF/RA 8 cut? 
- Q5: What industries use the GF/RA 8 Pipe Cutting Machine?</t>
  </si>
  <si>
    <t xml:space="preserve">- A1: The GF/RA 8 Pipe Cutting Machine is designed for high-volume pipe cutting with precision and efficiency. 
- A2: It can handle pipe sizes ranging from 2" to 8" (50.8–203.2 mm) OD, making it suitable for larger industrial projects. 
- A3: The GF/RA 8 improves productivity with its fast cutting speed and automated features, reducing manual labor. 
- A4: It is capable of cutting pipes made of various materials, including carbon steel, stainless steel, and alloys. 
- A5: The GF/RA 8 is used in industries like petrochemical, power generation, and shipbuilding for large-scale pipe cutting applications.</t>
  </si>
  <si>
    <t>GFX30TS</t>
  </si>
  <si>
    <t xml:space="preserve">GFX3.0 ORBITAL TUBE SAW</t>
  </si>
  <si>
    <t>OT790.144.002</t>
  </si>
  <si>
    <t xml:space="preserve">GFX 3.0 orbital tube saw that provides lightweight, powerful right‑angled burr‑free cuts and optional simultaneous beveling with deformation‑free clamping. </t>
  </si>
  <si>
    <t xml:space="preserve">Square, burr‑free pipe and tube cuts ideal for orbital welding prep</t>
  </si>
  <si>
    <t xml:space="preserve">Versatile Operation</t>
  </si>
  <si>
    <t xml:space="preserve">Simultaneous or separate cutting &amp; beveling capability</t>
  </si>
  <si>
    <t xml:space="preserve">Ergonomic Design</t>
  </si>
  <si>
    <t xml:space="preserve">Ergonomically positioned speed control and handle for ease of use</t>
  </si>
  <si>
    <t xml:space="preserve">Hardened cast iron clamping jaws with stainless steel caps for long life</t>
  </si>
  <si>
    <t xml:space="preserve">The GFX 3.0 Orbital Tube Saw is a compact, powerful pipe cutting and beveling machine engineered for thin‑walled and standard tubes. It delivers right‑angled, burr‑free cuts with a cold machining process and deformation‑free clamping, making it ideal for preparation prior to welding or fitting work. An integrated line laser marks the cut‑off point, while ergonomic handles and quick‑release cable connections improve usability. Typical applications span food, beverage, pharmaceutical, and chemical industries where precision and low maintenance are essential. </t>
  </si>
  <si>
    <t xml:space="preserve">Lightweight GFX 3.0 Orbital Tube Cutting &amp; Bevelling Saw with Laser Guidance </t>
  </si>
  <si>
    <t xml:space="preserve">The GFX 3.0 orbital tube saw is a compact, lightweight cutting and beveling machine optimized for thin‑walled tubes up to ~3″ OD. Featuring deformation‑free clamping and optional beveling, it provides right‑angled, burr‑free cuts and is ideal for press fitting and orbital welding preparation in food, pharmaceutical, and chemical line fabrication. </t>
  </si>
  <si>
    <t xml:space="preserve">- Orbital tube cutting saw- Supports small to mid-size tubing- Precision clamping system- Compact, portable design</t>
  </si>
  <si>
    <t xml:space="preserve">- Burr-free perpendicular cuts- Adjustable cutting speed- Smooth and repeatable operation- Lightweight and ergonomic</t>
  </si>
  <si>
    <t xml:space="preserve">Get the GFX 3.0 Orbital Tube Saw</t>
  </si>
  <si>
    <t xml:space="preserve">The GFX 3.0 Orbital Tube Saw is engineered for automated, precise tube cutting in production and fabrication environments. Its CNC-controlled blade travel ensures repeatable cuts with excellent surface quality, minimizing rework and improving efficiency in high-throughput tubing operations.</t>
  </si>
  <si>
    <t xml:space="preserve">- Q1: What is the GFX3.0 Orbital Tube Saw? 
- Q2: What tube sizes can the GFX3.0 cut? 
- Q3: How does the GFX3.0 improve cutting efficiency? 
- Q4: What features make the GFX3.0 suitable for tube cutting? 
- Q5: Which industries commonly use the GFX3.0 Orbital Tube Saw?</t>
  </si>
  <si>
    <t xml:space="preserve">- A1: The GFX3.0 Orbital Tube Saw is a high-performance cutting tool designed for precision tube cutting in industrial applications. 
- A2: The GFX3.0 is capable of cutting tubes ranging from 0.125" to 3" (3.2–76.2 mm) OD, making it versatile for small to medium-scale projects. 
- A3: It uses orbital cutting technology for smoother, more accurate cuts and is equipped with an automatic feed system to increase cutting speed. 
- A4: The GFX3.0 features adjustable cutting speeds, a durable saw blade, and a compact design that reduces operator fatigue. 
- A5: Industries such as aerospace, automotive, and HVAC rely on the GFX3.0 for efficient and precise tube cutting.</t>
  </si>
  <si>
    <t>OM180SW</t>
  </si>
  <si>
    <t xml:space="preserve">ORBIMAT 180 SW POWER SUPPLY</t>
  </si>
  <si>
    <t>OT850.000.002</t>
  </si>
  <si>
    <t xml:space="preserve">ORBIMAT 180 SW power supply combining advanced digital controls, intuitive touch operation, IoT connectivity, integrated cooling and automatic procedure programming for high‑precision orbital welding. </t>
  </si>
  <si>
    <t xml:space="preserve">180 A single‑phase orbital welding power supply with autorange input</t>
  </si>
  <si>
    <t xml:space="preserve">Industry 4.0 Interface</t>
  </si>
  <si>
    <t xml:space="preserve">Integrated touchscreen and real‑time process controls</t>
  </si>
  <si>
    <t xml:space="preserve">Integrated liquid cooling system for extended duty cycles</t>
  </si>
  <si>
    <t xml:space="preserve">Data Management</t>
  </si>
  <si>
    <t xml:space="preserve">Capacity to store and log over 5,000 welding programs</t>
  </si>
  <si>
    <t xml:space="preserve">The ORBIMAT 180 SW Power Supply is an advanced orbital welding power source designed for high‑quality TIG orbital welding with Industry 4.0 connectivity. It features a 12.4″ color touch display or multifunctional rotary control for intuitive operation, integrated LAN/WLAN and USB interfaces for data recording and networking, and digital gas control functions such as “PERMANENT‑GAS” and “FLOW‑FORCE” for reduced gas usage and shorter welding cycles. Safety features include automatic rotor stop and motor torque control. The unit operates on 110–230 V AC with liquid cooling to maintain stable weld head temperatures and delivers up to 180 A with 100 % duty at 160 A, making it suitable for precision orbital tube and pipe welding in production environments. </t>
  </si>
  <si>
    <t xml:space="preserve">Advanced Smart Orbital Welding Power Supply with Digital Control and Permanent Gas Function </t>
  </si>
  <si>
    <t xml:space="preserve">The ORBIMAT 180 SW is a next‑generation orbital welding power supply combining digital welding controls with IoT/Industry 4.0 connectivity and integrated liquid cooling. It offers precise digital gas flow control, reduced purge times with “flow force,” automatic programming based on tube parameters, and robust data recording for quality management. Its ergonomic touchscreen interface and optimized cooling deliver faster cycle times and consistent high‑purity welds across industrial and process applications. </t>
  </si>
  <si>
    <t xml:space="preserve">- Orbital welding power supply- Adjustable current output up to 180 A- Compact, industrial-grade design- Built-in digital interface</t>
  </si>
  <si>
    <t xml:space="preserve">- Smooth DC/TIG welding output- Compatible with standard weld heads- Reliable performance for orbital applications- Easy integration with cooling systems</t>
  </si>
  <si>
    <t xml:space="preserve">Select ORBIMAT 180 SW Power Supply</t>
  </si>
  <si>
    <t xml:space="preserve">The Orbimat 180 SW Power Supply is a compact orbital TIG welding controller providing stable AC/DC output and programmable welding schedules. Ideal for automated tube and pipe welding, it integrates with Orbimat weld heads to deliver consistent, repeatable welds in industrial, pharmaceutical, and semiconductor fabrication applications.</t>
  </si>
  <si>
    <t xml:space="preserve">- Q1: What is the ORBIMAT 180 SW Power Supply? 
- Q2: How does the ORBIMAT 180 SW support orbital welding? 
- Q3: What are the key features of the ORBIMAT 180 SW? 
- Q4: What welding materials are supported by the ORBIMAT 180 SW? 
- Q5: Which industries use the ORBIMAT 180 SW Power Supply?</t>
  </si>
  <si>
    <t xml:space="preserve">- A1: The ORBIMAT 180 SW Power Supply is designed for orbital welding, providing stable power for high-quality welds on a variety of metals. 
- A2: It powers orbital weld heads for precise arc control, enabling efficient and reliable welding operations. 
- A3: The ORBIMAT 180 SW features adjustable current settings, a compact design, and a built-in cooling system to ensure smooth welding processes. 
- A4: It supports welding of materials like stainless steel, titanium, and other alloys typically used in high-precision applications. 
- A5: The ORBIMAT 180 SW is commonly used in industries like food processing, pharmaceuticals, and aerospace for orbital welding.</t>
  </si>
  <si>
    <t>ORBIMATIC115</t>
  </si>
  <si>
    <t xml:space="preserve">ORBIMATIC ORBIWELD115</t>
  </si>
  <si>
    <t xml:space="preserve">ORBIMATIC ORBIWELD115 enclosed orbital weld head with narrow, water‑cooled design and high duty cycle for efficient welding of mid‑range tube and pipe. </t>
  </si>
  <si>
    <t xml:space="preserve">Tube Diameter Range</t>
  </si>
  <si>
    <t xml:space="preserve">Handles tube OD from ~20 mm to ~115 mm (0.787–4.528″)</t>
  </si>
  <si>
    <t xml:space="preserve">Integrated liquid cooling for high duty cycle operation</t>
  </si>
  <si>
    <t xml:space="preserve">Narrow head profile ideal for restricted access applications</t>
  </si>
  <si>
    <t xml:space="preserve">Tool‑free quick‑change clamping shell system</t>
  </si>
  <si>
    <t xml:space="preserve">The ORBIWELD 115 enclosed orbital weld head is part of the ORBIWELD “S” series designed for TIG orbital welding of medium‑diameter tubes. It offers a narrow, liquid‑cooled design for durable performance and ease of access in confined weld areas. With an outside diameter range typically around 20–115 mm (0.787″–4.528″), it provides secure clamping and precise alignment for high‑quality welds in industries such as pharmaceutical, food processing, and semiconductor applications. The head includes quick‑change clamping shells, a robust housing with integrated control panel for weld commands, and a long hose/cable package.</t>
  </si>
  <si>
    <t xml:space="preserve">Compact Enclosed Orbital Weld Head System for Tube Welding up to Medium Diameters </t>
  </si>
  <si>
    <t xml:space="preserve">The Orbiweld115 is an enclosed orbital weld head sized for tube OD ranges around (~3/4″–4.5″), engineered for automated TIG welding with coolant channels to manage heat and maintain continuous operation at higher currents. It provides stable arc control, precise weld geometry, and is suitable for food, pharmaceutical, and other critical process tubing applications. </t>
  </si>
  <si>
    <t xml:space="preserve">- Compact orbital weld system- Supports TIG welding up to 115 A- Lightweight and portable- Adjustable arc parameters</t>
  </si>
  <si>
    <t xml:space="preserve">- High-precision welds for small to medium tubing- Smooth rotation and arc control- Compatible with cooling and accessory modules- Simple setup and operation</t>
  </si>
  <si>
    <t xml:space="preserve">Order Your OrbiWeld 115 Orbital Welding System</t>
  </si>
  <si>
    <t xml:space="preserve">The Orbimatic Orbiweld 115 is a precision orbital welding system designed for small to medium-diameter tubing. Its integrated power supply and weld head system provide accurate arc control, stable TIG welding performance, and reliable joint quality for critical process piping and production environments.</t>
  </si>
  <si>
    <t xml:space="preserve">- Q1: What is the ORBIMATIC ORBIWELD115? 
- Q2: How does the ORBIWELD115 enhance welding precision? 
- Q3: What materials can the ORBIWELD115 weld? 
- Q4: What is the pipe size range for the ORBIWELD115? 
- Q5: What are the features that make the ORBIWELD115 ideal for orbital welding?</t>
  </si>
  <si>
    <t xml:space="preserve">- A1: The ORBIMATIC ORBIWELD115 is an orbital welding system designed for precision welding of pipes and tubes. 
- A2: It features advanced arc control, consistent heat distribution, and stable current output, ensuring high-quality welds. 
- A3: The ORBIWELD115 is suitable for welding materials such as stainless steel, titanium, and nickel alloys. 
- A4: It supports pipe sizes from 0.125" to 3" (3.2–76.2 mm) OD, providing flexibility for various welding tasks. 
- A5: The ORBIWELD115 is used in industries like semiconductor manufacturing, aerospace, and medical device production.</t>
  </si>
  <si>
    <t>OW12</t>
  </si>
  <si>
    <t xml:space="preserve">ORBIWELD 12 WELD HEAD (0.125"-.500")</t>
  </si>
  <si>
    <t>OT821.000.001</t>
  </si>
  <si>
    <t xml:space="preserve">ORBIWELD 12 micro enclosed orbital weld head for 0.125″–0.500″ OD tubes with compact, liquid‑cooled body providing reproducible high‑quality welds even in tight spaces. </t>
  </si>
  <si>
    <t xml:space="preserve">Micro Weld Head</t>
  </si>
  <si>
    <t xml:space="preserve">Compact enclosed orbital weld head for micro tubing</t>
  </si>
  <si>
    <t xml:space="preserve">Tube Size Capacity</t>
  </si>
  <si>
    <t xml:space="preserve">Suitable for tubes 3.0–12.7 mm (0.118–0.500″) OD</t>
  </si>
  <si>
    <t xml:space="preserve">Liquid Cooling</t>
  </si>
  <si>
    <t xml:space="preserve">Integrated water cooling enables high duty cycle performance</t>
  </si>
  <si>
    <t xml:space="preserve">Precision Welding</t>
  </si>
  <si>
    <t xml:space="preserve">Ensures reproducible high‑quality weld seams even at high current</t>
  </si>
  <si>
    <t xml:space="preserve">The ORBIWELD 12 enclosed orbital weld head is a compact TIG orbital welding head engineered for micro‑ and small‑diameter tubing from 0.118″ to 0.500″ (3.0 mm–12.7 mm). Its extremely narrow construction and efficient liquid cooling deliver reproducible, high‑quality fusion welds with high duty cycles, making it ideal for applications involving microfittings and precision tubing in semiconductor, medical, and instrumentation manufacturing. </t>
  </si>
  <si>
    <t xml:space="preserve">Precision Enclosed Micro Orbital Weld Head for Small Tube Welding (0.125"–0.500") </t>
  </si>
  <si>
    <t xml:space="preserve">The ORBIWELD 12 orbital weld head is designed for small tube diameters from ~0.125″ to 0.500″, with a fully enclosed water‑cooled design to dissipate heat during continuous TIG welding. It provides high‑precision arc stability, repeatable weld profiles, and minimal heat‑affected zone for sensitive applications such as instrumentation and micro‑fabrication.</t>
  </si>
  <si>
    <t xml:space="preserve">- Mini orbital TIG weld head- Pipe/tube OD 0.125″–0.500″- Lightweight aluminum construction- Adjustable torch and rotation controls</t>
  </si>
  <si>
    <t xml:space="preserve">- Ideal for small-diameter tubing- Smooth and repeatable arc performance- Compatible with cooling and power supply- Professional-grade results</t>
  </si>
  <si>
    <t xml:space="preserve">Request Your OrbiWeld 12 Weld Head (0.125"‑0.500")</t>
  </si>
  <si>
    <t xml:space="preserve">The Orbiweld 12 Weld Head is optimized for orbital TIG welding on tubes from 0.125″ to 0.500″ OD. Its precision clamping and alignment system ensures repeatable, high-quality welds in confined spaces, making it ideal for pharmaceutical, biotech, and instrumentation piping applications.</t>
  </si>
  <si>
    <t xml:space="preserve">- Q1: What is the ORBIWELD 12 Weld Head (0.125" - 0.500")? 
- Q2: What pipe sizes can the ORBIWELD 12 weld? 
- Q3: What makes the ORBIWELD 12 ideal for precise welding? 
- Q4: What are the key features of the ORBIWELD 12? 
- Q5: Which industries use the ORBIWELD 12 Weld Head?</t>
  </si>
  <si>
    <t xml:space="preserve">- A1: The ORBIWELD 12 Weld Head is an orbital welding head designed for small-diameter pipe welding. 
- A2: It can weld pipe sizes ranging from 0.125" to 0.500" (3.2–12.7 mm) OD, ideal for thin-walled tubing and small-scale welding tasks. 
- A3: The ORBIWELD 12 is known for its precision, consistent arc control, and automated features that improve welding quality and reduce operator error. 
- A4: Key features include adjustable clamping, arc length control, and a compact design that allows for use in tight spaces. 
- A5: It is widely used in industries like medical device manufacturing, electronics, and research laboratories for small-scale welding applications.</t>
  </si>
  <si>
    <t>OW170</t>
  </si>
  <si>
    <t xml:space="preserve">ORBIWELD 170 WELD HEAD (1969"-6.692")</t>
  </si>
  <si>
    <t>OT825.000.001</t>
  </si>
  <si>
    <t xml:space="preserve">ORBIWELD 170 enclosed orbital weld head with integrated liquid cooling and quick‑change clamping inserts, designed for high‑duty TIG fusion welding of 1.969″–6.692″ OD process pipes. </t>
  </si>
  <si>
    <t xml:space="preserve">Large Diameter Capacity</t>
  </si>
  <si>
    <t xml:space="preserve">Enclosed head supporting 50–170 mm (1.969–6.693″) tube OD</t>
  </si>
  <si>
    <t xml:space="preserve">Coolant channels for excellent heat dissipation and continuous welding</t>
  </si>
  <si>
    <t xml:space="preserve">Professional Construction</t>
  </si>
  <si>
    <t xml:space="preserve">Durable housing designed for industrial process piping use</t>
  </si>
  <si>
    <t xml:space="preserve">Secure Clamping</t>
  </si>
  <si>
    <t xml:space="preserve">Clamping inserts ensure secure, precise alignment</t>
  </si>
  <si>
    <t xml:space="preserve">The ORBIWELD 170 enclosed orbital weld head is designed for TIG orbital welding of larger‑diameter tubes from approximately 1.969″ to 6.692″ (50 mm–170 mm). It features full liquid cooling throughout the head body for excellent heat dissipation and continuous duty performance even at higher welding currents. Its robust design and precision clamping make it suitable for demanding applications in industries such as chemical processing, pharmaceutical, food and beverage, and industrial fabrication where larger‑tube welding quality and reliability are essential. </t>
  </si>
  <si>
    <t xml:space="preserve">Water‑Cooled Enclosed Orbital Fusion Weld Head for Larger Tube Diameters </t>
  </si>
  <si>
    <t xml:space="preserve">The ORBIWELD 170 is an enclosed orbital weld head engineered for larger tube diameters (~1.969″–6.692″ OD). Its integrated coolant channels and robust mechanical design enable continuous high‑current welding with excellent heat dissipation, ensuring consistent arc stability and weld quality in pharmaceutical, chemical, and industrial applications requiring high throughput and reliability. </t>
  </si>
  <si>
    <t xml:space="preserve">- Large OD orbital weld head- Supports pipe OD 1.969″–6.692″- Heavy-duty industrial design- Adjustable rotation and torch</t>
  </si>
  <si>
    <t xml:space="preserve">- Smooth and precise TIG welding- Compatible with orbital power supply and cooling systems- High repeatability- Quick setup and teardown</t>
  </si>
  <si>
    <t xml:space="preserve">Get ORBIWELD 170 Weld Head (1.969"‑6.692")</t>
  </si>
  <si>
    <t xml:space="preserve">The Orbiweld 170 Weld Head supports orbital TIG welding of tubes and pipes from 1.969″ to 6.692″ OD. Designed with robust mechanical clamping, precision torch alignment, and stable arc control, it delivers consistent weld quality in industrial, sanitary, and high-volume production applications.</t>
  </si>
  <si>
    <t xml:space="preserve">- Q1: What is the ORBIWELD 170 Weld Head (1.969"-6.692")? 
- Q2: How does the ORBIWELD 170 provide precision welding? 
- Q3: What is the maximum pipe size that the ORBIWELD 170 can handle? 
- Q4: What features make the ORBIWELD 170 suitable for large-scale welding? 
- Q5: What industries commonly use the ORBIWELD 170 Weld Head?</t>
  </si>
  <si>
    <t xml:space="preserve">- A1: The ORBIWELD 170 Weld Head is a large-diameter orbital weld head designed for precision welding of medium to large pipes. 
- A2: It ensures precision with stable arc control, adjustable arc lengths, and a design that minimizes heat distortion. 
- A3: The ORBIWELD 170 can handle pipe sizes from 1.969" to 6.692" (50–170 mm) OD, making it ideal for large-scale welding projects. 
- A4: Features such as automated clamping, adjustable parameters, and reliable cooling systems allow for consistent, high-quality welds. 
- A5: Industries such as oil &amp; gas, petrochemical, and construction rely on the ORBIWELD 170 for large-diameter pipe welding.</t>
  </si>
  <si>
    <t>RPG45</t>
  </si>
  <si>
    <t xml:space="preserve">RPG 4.5 TUBE SQUARING TOOL</t>
  </si>
  <si>
    <t xml:space="preserve">RPG 4.5 tube squaring tool delivering burr‑free, dimensionally accurate squaring of tube ends with quick clamping and precision feed for preparation prior to welding. </t>
  </si>
  <si>
    <t xml:space="preserve">Burr‑Free Preparation</t>
  </si>
  <si>
    <t xml:space="preserve">High‑quality, burr‑free tube end squaring for welding prep</t>
  </si>
  <si>
    <t xml:space="preserve">Handles tubes from 0.500 to 4.50 in (12.7–114.3 mm) OD</t>
  </si>
  <si>
    <t xml:space="preserve">Quick Clamping</t>
  </si>
  <si>
    <t xml:space="preserve">Quick clamping system for tools and tubes</t>
  </si>
  <si>
    <t xml:space="preserve">Portable Design</t>
  </si>
  <si>
    <t xml:space="preserve">Portable and space‑saving machine with bench stand option</t>
  </si>
  <si>
    <t xml:space="preserve">The RPG 4.5 Tube Squaring Tool is a precision tube end preparation machine that produces burr‑free, square tube ends with a high‑quality finish, critical for reliable orbital TIG welding. It handles tubes with outside diameters from approximately 0.500″ to 4.500″ (12.7 mm–114.3 mm) and is used to prepare stainless steel, low‑alloy, and non‑ferrous tubing for seamless weld joints. The tool includes a quick clamping system, high‑performance tool bit, and variable feed for optimum results, making it suitable for high‑purity industries such as food, beverage, pharmaceutical, and semiconductor. </t>
  </si>
  <si>
    <t xml:space="preserve">Electric Tube Squaring Machine for Burr‑Free End Preparation up to 4.5" </t>
  </si>
  <si>
    <t xml:space="preserve">The RPG 4.5 tube squaring tool machine produces burr‑free, square ends on thin‑walled stainless and alloy tubing as part of weld preparation workflows. Its quick clamping system and precision tool feeds enable consistent end preparation for orbital welding, ensuring good fit‑up and reducing rework. </t>
  </si>
  <si>
    <t xml:space="preserve">- Tube squaring tool for OD up to 4.5″- Precision alignment for clean weld prep- Sturdy industrial construction- Adjustable guide for different diameters</t>
  </si>
  <si>
    <t xml:space="preserve">- Consistent and accurate tube squaring- Easy to operate- Portable design for field use- Compatible with multiple tube materials</t>
  </si>
  <si>
    <t xml:space="preserve">Select RPG 4.5 Tube Squaring Tool</t>
  </si>
  <si>
    <t xml:space="preserve">The RPG 4.5 Tube Squaring Tool provides accurate preparation of tube ends prior to welding. It supports tubes up to 4.5″ OD, producing square, burr-free surfaces for consistent weld penetration. Rugged construction and ease of operation make it ideal for fabrication shops and orbital welding preparation workflows.</t>
  </si>
  <si>
    <t xml:space="preserve">- Q1: What is the RPG 4.5 Tube Squaring Tool? 
- Q2: How does the RPG 4.5 Tube Squaring Tool improve pipe preparation? 
- Q3: What sizes of tube can the RPG 4.5 accommodate? 
- Q4: How does the RPG 4.5 ensure accurate squaring of tubes? 
- Q5: Which industries typically use the RPG 4.5 Tube Squaring Tool?</t>
  </si>
  <si>
    <t xml:space="preserve">- A1: The RPG 4.5 Tube Squaring Tool is designed for precise squaring and preparing tube ends before welding. 
- A2: The RPG 4.5 accommodates tubes with diameters ranging from 1/8" to 4" (3.2–101.6 mm) OD, ensuring versatility for different applications. 
- A3: It uses a cutting-edge design to ensure perfectly squared tube ends, which is crucial for achieving a proper weld joint. 
- A4: The tool is equipped with adjustable settings to provide consistent squaring results and is easy to operate. 
- A5: Industries such as aerospace, automotive, and energy use the RPG 4.5 for tube preparation before welding to ensure clean, accurate connections.</t>
  </si>
  <si>
    <t>EVO2LT</t>
  </si>
  <si>
    <t xml:space="preserve">EVO200 WP LITE ORBITAL POWER SUPPLY</t>
  </si>
  <si>
    <t>1.3.7001</t>
  </si>
  <si>
    <t xml:space="preserve">EVO200 WP Lite orbital power supply offering DC autoranging welding output up to 200 A with analog Turbo Purge functionality and flexible gas control for orbital TIG welding. </t>
  </si>
  <si>
    <t xml:space="preserve">Autorange Welding Control</t>
  </si>
  <si>
    <t xml:space="preserve">Autorange orbital welding controller covering up to 200 A</t>
  </si>
  <si>
    <t xml:space="preserve">Intuitive Interface</t>
  </si>
  <si>
    <t xml:space="preserve">Graphical multilingual user menu with touch display</t>
  </si>
  <si>
    <t xml:space="preserve">Gas &amp; Parameter Control</t>
  </si>
  <si>
    <t xml:space="preserve">Permanent gas control and real‑time parameter monitoring</t>
  </si>
  <si>
    <t xml:space="preserve">Compact &amp; Lightweight</t>
  </si>
  <si>
    <t xml:space="preserve">Compact design with robust transport protection</t>
  </si>
  <si>
    <t xml:space="preserve">The EVO 200 WP Lite is an orbital welding power source from the EVO series, providing DC TIG welding with a control range typically up to around 200 A and multiple duty‑cycle ratings (e.g., 120 A at 100 %, 150 A at 60 %, and 200 A at 25 % duty). It includes features such as analogue Turbo Purge gas control to optimize shielding gas flow for improved weld quality and reduced cycle times. The power supply is designed for versatility with support for 115 V or 230 V mains input and is suited to a range of orbital welding applications where precise, controlled gas and current delivery are essential. </t>
  </si>
  <si>
    <t xml:space="preserve">Portable EVO Series Orbital Welding Power Supply with 200A DC Output and Autorange Capability </t>
  </si>
  <si>
    <t xml:space="preserve">The EVO200 WP Lite orbital power supply is a compact automated TIG welding power source designed to provide stable current regulation and programmable weld schedules for small to medium diameter tube and pipe welding. It supports high‑quality, repeatable welds with integration for water cooling, making it suitable for laboratory, instrumentation, and production environments requiring reliable orbital weld control.</t>
  </si>
  <si>
    <t xml:space="preserve">- Compact orbital welding power supply- Adjustable current output- Lightweight and portable design- Built-in digital interface</t>
  </si>
  <si>
    <t xml:space="preserve">- Smooth DC/TIG weld output- Compatible with weld heads and cooling units- Reliable performance for industrial and field use- Easy setup and operation</t>
  </si>
  <si>
    <t xml:space="preserve">Order Your EVO200 WP Lite Orbital Power Supply</t>
  </si>
  <si>
    <t xml:space="preserve">The EVO 200 WP Lite Orbital Power Supply is a compact, high-performance GTAW welding controller for orbital welding applications. With programmable weld schedules, stable DC output, and integration with water-cooled weld heads, it ensures consistent weld quality and supports production efficiency in industrial and high-precision environments.</t>
  </si>
  <si>
    <t xml:space="preserve">- Q1: What is the EVO200 WP Lite Orbital Power Supply? 
- Q2: How does the EVO200 WP Lite support orbital welding? 
- Q3: What are the key features of the EVO200 WP Lite? 
- Q4: What materials can the EVO200 WP Lite weld? 
- Q5: Which industries use the EVO200 WP Lite Orbital Power Supply?</t>
  </si>
  <si>
    <t xml:space="preserve">- A1: The EVO200 WP Lite Orbital Power Supply is designed to provide reliable and precise power for orbital welding systems. 
- A2: It supports orbital welding applications by providing stable current and voltage, ensuring smooth arc and weld quality. 
- A3: Features include adjustable welding parameters, easy-to-read display, and compatibility with multiple weld heads and systems. 
- A4: The EVO200 WP Lite can weld materials like stainless steel, titanium, and high-nickel alloys commonly used in industries requiring precision. 
- A5: It is used in industries like semiconductor manufacturing, aerospace, and medical device production for critical orbital welding tasks.</t>
  </si>
  <si>
    <t>1.3.4008635OSK</t>
  </si>
  <si>
    <t xml:space="preserve">OSK 13 S FITTING ATTACHMENT KIT 0.250</t>
  </si>
  <si>
    <t>1.3.4008635</t>
  </si>
  <si>
    <t xml:space="preserve">OSK 13 S fitting attachment kit with gas‑cooled compact weld head designed to weld micro‑fittings and tubes from 0.125″ to 0.500″ OD in tight spaces. </t>
  </si>
  <si>
    <t xml:space="preserve">Attachment Kit</t>
  </si>
  <si>
    <t xml:space="preserve">Specialized attachment kit for welding micro-fittings and connectors in confined spaces</t>
  </si>
  <si>
    <t xml:space="preserve">Includes precision alignment fixtures and supporting brackets</t>
  </si>
  <si>
    <t xml:space="preserve">Engineered for semiconductor and pharmaceutical microfitting applications</t>
  </si>
  <si>
    <t xml:space="preserve">The OSK 13 S Fitting Attachment Kit provides precise welding of micro-fittings and connectors in extremely confined spaces for semiconductor, pharmaceutical, and aerospace applications. Its specialized stainless steel and aluminum clamp assembly ensures consistent alignment and secure clamping of small-diameter fittings with ±0.1mm precision. Designed exclusively for the OSK 13 S microfit weld head, the kit includes a clamp assembly, alignment fixtures, support brackets, spare O-rings, and a protective carrying case. Fitting diameter: 0.250" (6.35 mm). Weight: 0.8 kg.</t>
  </si>
  <si>
    <t xml:space="preserve">Precision Microfitting Attachment Kit for OSK 13 S Weld Head</t>
  </si>
  <si>
    <t xml:space="preserve">Precision microfitting welding requires specialized equipment: The OSK 13 S FITTING ATTACHMENT KIT enables secure, accurate welding of micro-components in semiconductor and pharmaceutical applications.</t>
  </si>
  <si>
    <t xml:space="preserve">- 0.250" microfitting diameter
- Precision alignment fixtures
- Stainless steel construction
- OSK 13 S compatible
- 0.8 kg total weight</t>
  </si>
  <si>
    <t xml:space="preserve">- Support bracket assembly
- Spare O-rings included
- ±0.1mm alignment tolerance
- Protective carrying case
- Quick-change design</t>
  </si>
  <si>
    <t xml:space="preserve">Specify Your OSK 13 S FITTING ATTACHMENT KIT</t>
  </si>
  <si>
    <t xml:space="preserve">Achieve precision microfitting welds with the OSK 13 S FITTING ATTACHMENT KIT. Designed for semiconductor, pharmaceutical, and aerospace micro-component applications. Available from authorized Orbitec suppliers.</t>
  </si>
  <si>
    <t xml:space="preserve">- Q1: What is the OSK 13 S Fitting Attachment Kit 0.250? 
- Q2: What is the purpose of the OSK 13 S Fitting Attachment Kit? 
- Q3: How does the OSK 13 S Fitting Attachment Kit improve welding? 
- Q4: What is the size compatibility of the OSK 13 S kit? 
- Q5: Which industries typically use the OSK 13 S Fitting Attachment Kit?</t>
  </si>
  <si>
    <t xml:space="preserve">- A1: The OSK 13 S Fitting Attachment Kit is an accessory for orbital welding systems, designed for precise fitting and alignment of small-diameter tubes and fittings. 
- A2: It is used to securely clamp and align small diameter tubes during welding, ensuring high-quality, consistent welds. 
- A3: This kit improves welding accuracy and ensures the proper positioning of the workpiece to achieve optimal joint formation. 
- A4: The OSK 13 S is compatible with 0.250" (6.35 mm) OD tubes and fittings, making it ideal for small-scale tube and pipe welding applications. 
- A5: The OSK 13 S kit is used in industries such as aerospace, pharmaceuticals, and food processing, where small tubes require precision welding.</t>
  </si>
  <si>
    <t>OSK021C</t>
  </si>
  <si>
    <t xml:space="preserve">OSK 21 C ENCLOSED WH 0.125 - 0.839</t>
  </si>
  <si>
    <t>1.0.2820C</t>
  </si>
  <si>
    <t xml:space="preserve">OSK 21 C enclosed weld head for gas‑cooled orbital TIG welding of tubes in the 0.125″–0.839″ OD range with a narrow, space‑efficient design. </t>
  </si>
  <si>
    <t xml:space="preserve">Compact Gas-Cooled</t>
  </si>
  <si>
    <t xml:space="preserve">Compact gas-cooled weld head for small-diameter tubing with narrow design</t>
  </si>
  <si>
    <t xml:space="preserve">Extended OD range 3.17mm - 21.3mm provides versatile sizing capability</t>
  </si>
  <si>
    <t xml:space="preserve">Ideal for pharmaceutical, food and beverage, and semiconductor applications</t>
  </si>
  <si>
    <t xml:space="preserve">The OSK 21 C Enclosed Weld Head is a compact gas-cooled orbital system for small-diameter tubing from 0.125" to 0.839" OD (3.17 - 21.3 mm), ideal for pharmaceutical, food and beverage, and semiconductor applications. Its narrow profile allows operation in tight-access areas, while a spring-loaded quick-latch collet system provides secure tube retention. Constructed from aluminum with stainless steel components, it requires one collet per tube diameter. Standard 8m handle/cable assembly included. Weight: 0.8 kg.</t>
  </si>
  <si>
    <t xml:space="preserve">Compact Gas-Cooled Weld Head for Small-Diameter Tubing</t>
  </si>
  <si>
    <t xml:space="preserve">Small-diameter precision welding demands compact equipment: The OSK 21 C provides versatile coverage for pharmaceutical and food industry applications.</t>
  </si>
  <si>
    <t xml:space="preserve">- 0.125" - 0.839" OD range
- Gas-cooled operation
- 0.8 kg weight
- Quick-latch collet system
- Compact narrow design</t>
  </si>
  <si>
    <t xml:space="preserve">- Pharmaceutical compatible
- Aluminum/stainless construction
- Spring-loaded retention
- Tight-access capable
- 8m handle/cable assembly</t>
  </si>
  <si>
    <t xml:space="preserve">Specify Your OSK 21 C ENCLOSED WELD HEAD</t>
  </si>
  <si>
    <t xml:space="preserve">Achieve small-diameter orbital welding with the OSK 21 C ENCLOSED WELD HEAD. Ideal for pharmaceutical and food industry applications. Available from authorized Orbitec distributors.</t>
  </si>
  <si>
    <t xml:space="preserve">- Q1: What is the OSK 21 C Enclosed WH (0.125" - 0.839")? 
- Q2: What makes the OSK 21 C Enclosed WH suitable for precision welding? 
- Q3: What is the size range supported by the OSK 21 C Enclosed WH? 
- Q4: How does the OSK 21 C Enclosed WH improve weld consistency? 
- Q5: What industries typically use the OSK 21 C Enclosed WH?</t>
  </si>
  <si>
    <t xml:space="preserve">- A1: The OSK 21 C Enclosed WH is an orbital welding head designed for high-precision welding on small to medium diameter pipes. 
- A2: It features an enclosed design that improves arc stability and minimizes contamination, ideal for high-quality welds. 
- A3: The OSK 21 C can accommodate pipe sizes ranging from 0.125" to 0.839" (3.2–21.3 mm) OD, making it versatile for various welding tasks. 
- A4: The enclosed design ensures consistent heat distribution, reduces weld defects, and offers better control over the welding process. 
- A5: Industries such as pharmaceuticals, semiconductor, and food &amp; beverage manufacturing commonly use the OSK 21 C for welding small pipes and tubes.</t>
  </si>
  <si>
    <t>OSK038CS</t>
  </si>
  <si>
    <t xml:space="preserve">OSK 38 CS ENCLOSED WH 0.125 - 1.500</t>
  </si>
  <si>
    <t>1.0.2920CS</t>
  </si>
  <si>
    <t xml:space="preserve">OSK 38 CS enclosed weld head gas‑cooled for orbital TIG welding of tubes from 0.125″ to 1.500″ OD with compact handling and robust clamping design. </t>
  </si>
  <si>
    <t xml:space="preserve">Extended-range compact gas-cooled weld head for small to mid-size tubing</t>
  </si>
  <si>
    <t xml:space="preserve">0.125" to 1.500" OD coverage enables single weld head for diverse applications</t>
  </si>
  <si>
    <t xml:space="preserve">Narrow compact design maintains tight-access capability</t>
  </si>
  <si>
    <t xml:space="preserve">The OSK 38 CS Enclosed Weld Head provides extended 0.125" to 1.500" OD (3.17 - 38.1 mm) coverage in a compact, gas-cooled design for pharmaceutical and food industry applications. Its spring-loaded quick-latch collet retention system allows secure clamping, while the compact profile ensures tight access in confined production spaces. Aluminum construction with stainless steel components ensures durability. Standard 8m handle/cable assembly included. Weight: 1.3 kg.</t>
  </si>
  <si>
    <t xml:space="preserve">Extended-Range Compact Weld Head for Versatile Applications</t>
  </si>
  <si>
    <t xml:space="preserve">Extended-range capability in compact format: The OSK 38 CS provides 0.125" - 1.500" OD coverage for pharmaceutical and food applications.</t>
  </si>
  <si>
    <t xml:space="preserve">- 0.125" - 1.500" OD range
- Gas-cooled operation
- 1.3 kg weight
- Quick-latch collet system
- Compact design</t>
  </si>
  <si>
    <t xml:space="preserve">- Single head for diverse sizes
- Pharmaceutical compatible
- Aluminum/stainless construction
- Spring-loaded retention
- 8m handle/cable assembly</t>
  </si>
  <si>
    <t xml:space="preserve">Specify Your OSK 38 CS ENCLOSED WELD HEAD</t>
  </si>
  <si>
    <t xml:space="preserve">Simplify your orbital welding inventory with the OSK 38 CS ENCLOSED WELD HEAD. Available from authorized Orbitec distributors for pharmaceutical and industrial applications.</t>
  </si>
  <si>
    <t xml:space="preserve">- Q1: What is the OSK 38 CS Enclosed WH (0.125" - 1.500")? 
- Q2: How does the OSK 38 CS Enclosed WH improve welding performance? 
- Q3: What is the pipe size range supported by the OSK 38 CS? 
- Q4: What industries use the OSK 38 CS Enclosed WH? 
- Q5: What materials are compatible with the OSK 38 CS?</t>
  </si>
  <si>
    <t xml:space="preserve">- A1: The OSK 38 CS Enclosed WH is an orbital welding head designed for precise welding of medium to large diameter pipes. 
- A2: Its enclosed design helps to ensure consistent arc stability, cleaner welds, and better protection against environmental factors. 
- A3: The OSK 38 CS supports pipe sizes from 0.125" to 1.500" (3.2–38.1 mm) OD, making it suitable for a range of welding applications. 
- A4: Industries like aerospace, oil &amp; gas, and power generation frequently use the OSK 38 CS for reliable and efficient welding of medium-sized pipes. 
- A5: It is commonly used to weld materials such as stainless steel, alloy metals, and carbon steel.</t>
  </si>
  <si>
    <t>OSK076S</t>
  </si>
  <si>
    <t xml:space="preserve">OSK 76 S ENCLOSED WH 0.250 - 3.000</t>
  </si>
  <si>
    <t>1.0.2620S</t>
  </si>
  <si>
    <t xml:space="preserve">OSK 76 S enclosed gas‑cooled orbital weld head designed for narrow access welding of 0.250″–3.000″ OD tubes with an optimized quick‑clamp system and high thermal capacity. </t>
  </si>
  <si>
    <t xml:space="preserve">Compact Enclosed</t>
  </si>
  <si>
    <t xml:space="preserve">Compact gas-cooled enclosed weld head for medium-range orbital applications</t>
  </si>
  <si>
    <t xml:space="preserve">Tool-free, quick-change clamping shell design for fast setup and changeover</t>
  </si>
  <si>
    <t xml:space="preserve">Robust construction with durable clamping shell connections and precise alignment; Optimized for tight-space conditions and reduced radial clearance</t>
  </si>
  <si>
    <t xml:space="preserve">Compatible with standard Orbitec handle and cable assemblies</t>
  </si>
  <si>
    <t xml:space="preserve">The OSK 76 S Enclosed Weld Head delivers high-purity orbital welding for tubes 0.250" to 3.000" OD (6 - 76.2 mm), critical for pharmaceutical, semiconductor, and food applications. Its compact enclosed chamber provides complete inert gas coverage, eliminating oxygen contamination. Quick-release collet system accommodates the full OD range, while radial electrode positioning ensures precision in space-constrained environments. Compatible with manual or automated systems, lightweight 2.6 kg design reduces operator fatigue. Gas-cooled with durable clamping shell connections for secure tube alignment and repeatable high-quality welds.</t>
  </si>
  <si>
    <t xml:space="preserve">Get OSK 76 S Specifications</t>
  </si>
  <si>
    <t xml:space="preserve">Enclosed Gas-Cooled Weld Head for Standard Orbital Welding Applications</t>
  </si>
  <si>
    <t xml:space="preserve">Achieving High-Purity Welds in Space-Constrained Applications: The enclosed orbital weld head ensures complete inert gas protection around the entire weld joint circumference, absolutely critical for pharmaceutical and semiconductor applications where even minimal oxygen contamination can compromise product quality and regulatory compliance, making this weld head the only viable choice for these demanding industries.</t>
  </si>
  <si>
    <t xml:space="preserve">- Compact enclosed chamber design for oxygen-free weld environment
- Tool-free quick-release collet system (6-76.2mm range)
- Radial electrode positioning for consistent arc geometry
- Seamless integration with manual or automated systems
- 2.6kg lightweight construction for easy repositioning</t>
  </si>
  <si>
    <t xml:space="preserve">- Maintains consistent weld pool geometry throughout operations
- Four collet sets (one per diameter size) available separately
- Width: 160mm for enhanced profile compactness
- Compatible with standard tungsten electrodes (1.0-3.2mm)
- Proven reliability in critical infrastructure applications</t>
  </si>
  <si>
    <t xml:space="preserve">Inquire About OSK 76 S Specifications</t>
  </si>
  <si>
    <t xml:space="preserve">Explore the capabilities of the OSK 76 S enclosed weld head for your high-purity welding applications in pharmaceutical and semiconductor manufacturing. Our technical experts can provide comprehensive application guidance, detailed specifications, and support for equipment selection and integration. Contact our team today to discuss how this precision weld head can meet your most demanding welding requirements.</t>
  </si>
  <si>
    <t xml:space="preserve">- Q1: What is the OSK 76 S Enclosed WH (0.250" - 3.000")? 
- Q2: How does the OSK 76 S Enclosed WH enhance orbital welding? 
- Q3: What is the maximum pipe size supported by the OSK 76 S? 
- Q4: What industries utilize the OSK 76 S Enclosed WH? 
- Q5: What materials are commonly welded with the OSK 76 S?</t>
  </si>
  <si>
    <t xml:space="preserve">- A1: The OSK 76 S Enclosed WH is an advanced orbital welding head designed for large diameter pipe welding with high precision. 
- A2: The enclosed design ensures optimal arc stability, better heat control, and minimal contamination, improving weld quality. 
- A3: It supports pipe sizes from 0.250" to 3.000" (6.35–76.2 mm) OD, making it suitable for a wide range of medium to large pipe applications. 
- A4: The OSK 76 S is used in industries such as petrochemical, nuclear, and shipbuilding for welding large pipes and tubes. 
- A5: It is ideal for welding materials like carbon steel, stainless steel, and alloy metals.</t>
  </si>
  <si>
    <t>1.0.1201</t>
  </si>
  <si>
    <t xml:space="preserve">OSW 115 OPEN-FRAME WELD HEAD WITH ANGULA</t>
  </si>
  <si>
    <t xml:space="preserve">OSW 115 open‑frame weld head with a robust clamping system and tilting torch bracket for orbital TIG welding across a mid‑range pipe diameter with easy handling. </t>
  </si>
  <si>
    <t xml:space="preserve">Open-Frame Angled</t>
  </si>
  <si>
    <t xml:space="preserve">Open-frame weld head with integrated angular gearbox for complex angled welding</t>
  </si>
  <si>
    <t xml:space="preserve">Covers OD 20-114.3mm range with 90-degree adjustable positioning</t>
  </si>
  <si>
    <t xml:space="preserve">Full water or gas cooling option for torch operation</t>
  </si>
  <si>
    <t xml:space="preserve">Control &amp; Adjustment</t>
  </si>
  <si>
    <t xml:space="preserve">Angular gearbox enables precise angle control for tube-to-fitting connections; Mechanical arc gap adjustment screw for consistent weld depth</t>
  </si>
  <si>
    <t xml:space="preserve">The OSW 115 Open-Frame Weld Head with angular gearbox enables precise, complex angled welding for tube-to-fitting and manifold assemblies. Tubes from 0.787" to 4.500" OD (20 - 114.3 mm) are supported. The integrated 1:1 angular bevel gearbox allows continuous 0-90° positioning without manual repositioning, while high-efficiency helical gears transmit full torque with minimal backlash. Mechanical arc gap adjustment screw provides fine control. Single-sided tube clamp and optional wire feed compatible. Gas or water-cooled torch support available. Weight: 4.8 kg.</t>
  </si>
  <si>
    <t xml:space="preserve">Inquire Angular OSW 115</t>
  </si>
  <si>
    <t xml:space="preserve">Open-Frame Weld Head with Angled Positioning Capability</t>
  </si>
  <si>
    <t xml:space="preserve">Enabling Complex Angled Welding Through Advanced Mechanical Control: The angular gearbox integration provides sophisticated positioning capability essential for tube-to-fitting connections and manifold applications, enabling single weld head to accommodate diverse geometric requirements without manual repositioning.</t>
  </si>
  <si>
    <t xml:space="preserve">- Integrated angular bevel gearbox with 1:1 ratio
- Continuous 0-90 degree angle positioning capability
- High-efficiency helical gear design with minimal backlash
- Mechanical arc gap adjustment for precise control
- Compatible with existing wire feed procurement</t>
  </si>
  <si>
    <t xml:space="preserve">- Covers tube size range: OD 20-114.3mm (0.787-4.500")
- Weight: 4.8kg including angular gearbox
- Angle capability: Continuous 0-90 degree positioning
- Torque transmission: High-efficiency helical gears
- Item number: 1.0.1201 with angular gearbox equipped</t>
  </si>
  <si>
    <t xml:space="preserve">Inquire About Angular OSW 115 Weld Head</t>
  </si>
  <si>
    <t xml:space="preserve">Experience advanced angular positioning capability with our OSW 115 weld head featuring integrated angular gearbox, enabling complex tube-to-fitting connections. Our welding specialists are ready to discuss your specific application requirements. Reach out for personalized guidance and support.</t>
  </si>
  <si>
    <t xml:space="preserve">- Q1: What is the OSW 115 Open-Frame Weld Head with Angular? 
- Q2: What are the features of the OSW 115 Open-Frame Weld Head? 
- Q3: How does the angular design of the OSW 115 improve welding applications? 
- Q4: What pipe sizes does the OSW 115 support? 
- Q5: Which industries use the OSW 115 Open-Frame Weld Head with Angular?</t>
  </si>
  <si>
    <t xml:space="preserve">- A1: The OSW 115 Open-Frame Weld Head with Angular is designed for orbital welding in open environments, offering flexibility and precision. 
- A2: Its open-frame design provides easy access to the weld joint, while the angular configuration makes it versatile for various pipe orientations. 
- A3: The angular design enhances accessibility to tight spaces and complex welding positions, improving efficiency in multi-position welding. 
- A4: It accommodates pipe sizes from 1/8" to 4" (3.2–101.6 mm) OD, making it suitable for a variety of welding tasks. 
- A5: Industries such as manufacturing, shipbuilding, and construction use the OSW 115 for its versatility and ease of use in challenging welding environments.</t>
  </si>
  <si>
    <t>1.0.1301</t>
  </si>
  <si>
    <t xml:space="preserve">OSW 170 OPEN-FRAME WELD HEAD W/ANGULAR</t>
  </si>
  <si>
    <t xml:space="preserve">OSW 170 open‑frame weld head offering a durable design and 90° torch tilting function for flexible orbital TIG welding of larger diameter tubes and pipes. </t>
  </si>
  <si>
    <t xml:space="preserve">Angular Bevel</t>
  </si>
  <si>
    <t xml:space="preserve">Angular bevel gearbox integration enabling 0-90 degree positioning capability</t>
  </si>
  <si>
    <t>Transmission</t>
  </si>
  <si>
    <t xml:space="preserve">High-efficiency helical gear transmission with minimal backlash</t>
  </si>
  <si>
    <t xml:space="preserve">Torch &amp; Control</t>
  </si>
  <si>
    <t xml:space="preserve">90-degree torch bracket tilting function for complex weld geometries; Compatible with both gas and water-cooled torch systems</t>
  </si>
  <si>
    <t xml:space="preserve">The OSW 170 Angular Gearbox system is engineered for large-diameter tubes from 1.575" to 6.626" OD (40 - 168.3 mm), offering continuous 0-90° angular positioning for complex tube-to-fitting and manifold welding. High-efficiency helical gears maintain full torque with minimal backlash. Robust open-frame construction includes a one-sided mechanical clamp, 90° tilting torch bracket, and optional cold wire feed compatibility. Gas or water-cooled torch support. Mechanical arc gap adjustment screw ensures consistent weld quality. Weight: 6.8 kg.</t>
  </si>
  <si>
    <t xml:space="preserve">Inquire Angular OSW 170</t>
  </si>
  <si>
    <t xml:space="preserve">Advanced Angular Positioning Large-Diameter Weld Head System</t>
  </si>
  <si>
    <t xml:space="preserve">Mastering Complex Large-Diameter Connection Geometries</t>
  </si>
  <si>
    <t xml:space="preserve">- Angular bevel gearbox with 0-90 degree continuous positioning
- 1:1 helical gear ratio ensures minimal backlash control
- Robust open-frame construction for field deployment
- One-sided clamping simplifies fixture design requirements
- High-efficiency torque transmission at all positioning angles</t>
  </si>
  <si>
    <t xml:space="preserve">- Item number 1.3.1301-A with angular gearbox
- High-efficiency helical gear 1:1 transmission
- Supports complex tube-to-fitting connections
- Weight 6.8kg with integrated gearbox assembly
- Gas or water-cooled torch compatible</t>
  </si>
  <si>
    <t xml:space="preserve">Inquire About Angular OSW 170 System</t>
  </si>
  <si>
    <t xml:space="preserve">Master complex large-diameter connections with the OSW 170 angular system. Our technical experts can discuss your specific requirements. Reach out for detailed information about this advanced capability.</t>
  </si>
  <si>
    <t xml:space="preserve">- Q1: What is the OSW 170 Open-Frame Weld Head with Angular? 
- Q2: How does the angular design improve welding precision? 
- Q3: What is the size range for pipes welded with the OSW 170? 
- Q4: What industries commonly use the OSW 170? 
- Q5: What are the key features of the OSW 170?</t>
  </si>
  <si>
    <t xml:space="preserve">- A1: The OSW 170 Open-Frame Weld Head with Angular is a versatile orbital welding tool designed for precise welding of medium to large pipes in open-frame configurations. 
- A2: The angular design enhances accessibility to tight spaces and improves positioning for welding on angled or horizontal joints. 
- A3: It supports a range of pipe sizes from 1.969" to 6.692" (50–170 mm) OD, making it suitable for large-diameter applications. 
- A4: The OSW 170 is used in industries such as oil &amp; gas, chemical processing, and power generation for large-scale welding operations. 
- A5: Key features include easy-to-operate controls, adjustable arc length, and compatibility with a wide range of materials and welding heads.</t>
  </si>
  <si>
    <t>TIGTRONIC205</t>
  </si>
  <si>
    <t xml:space="preserve">TIGTRONIC 205</t>
  </si>
  <si>
    <t>D-63877</t>
  </si>
  <si>
    <t xml:space="preserve">TIGTRONIC 205 orbital welding controller from the Tigtronic series featuring compact microprocessor‑based control for open heads, enclosed heads, tubesheet welding heads and turntables. </t>
  </si>
  <si>
    <t xml:space="preserve">Portable Controller</t>
  </si>
  <si>
    <t xml:space="preserve">Portable microprocessor-based orbital welding controller with intuitive operation</t>
  </si>
  <si>
    <t xml:space="preserve">Compatible with TETRIX 200 and TETRIX 351 inverter power sources</t>
  </si>
  <si>
    <t>Support</t>
  </si>
  <si>
    <t xml:space="preserve">Supports open frame and enclosed orbital weld heads with tube-to-tubesheet applications</t>
  </si>
  <si>
    <t xml:space="preserve">Affordable compact design for various orbital welding configurations</t>
  </si>
  <si>
    <t xml:space="preserve">The Tigtronic 205 Controller provides intuitive, microprocessor-based programming for orbital welding. It automatically calculates optimal parameters based on tube diameter and wall thickness, eliminating manual errors. The integrated LCD display presents real-time welding parameters, while stored program memory allows rapid recall of previous settings. Manual adjustments are also possible for fine-tuning. Compatible with TETRIX 200 (5A-200A) and TETRIX 351 (5A-350A) power sources. Compact tabletop design (350x280x150 mm), 110-230V AC, weight 8 kg. Multi-pin interface for weld head and power source connectivity.</t>
  </si>
  <si>
    <t xml:space="preserve">Tigtronic 205 Microprocessor Orbital Controller</t>
  </si>
  <si>
    <t xml:space="preserve">Simplified Operator Programming: The Tigtronic 205 controller transforms complex welding parameter calculations into simple three-input programming, enabling rapid operator certification and reducing setup errors.</t>
  </si>
  <si>
    <t xml:space="preserve">- Microprocessor-based automated programming
- LCD display for real-time parameter viewing
- Compatible with TETRIX 200 and 351 power sources
- Supports open frame and enclosed weld heads
- Program memory for rapid changeovers</t>
  </si>
  <si>
    <t xml:space="preserve">- Manual parameter entry capability
- LCD integrated display screen
- Operating range 0°C to +40°C ambient
- Approximately 8kg portable weight
- Multi-pin power source interface</t>
  </si>
  <si>
    <t xml:space="preserve">Rely on the lightweight, compact Orbitec TETRIX 200 INVERTER for dependable DC output (5–200 A) for both manual and orbital TIG welding. Its portability and flexibility make it ideal for mobile welding work or compact workshops. Contact us for power-specs, cooling unit options, and supply pricing.</t>
  </si>
  <si>
    <t xml:space="preserve">- Q1: What is the TIGTRONIC 205? 
- Q2: How does the TIGTRONIC 205 enhance TIG welding? 
- Q3: What are the key features of the TIGTRONIC 205? 
- Q4: What materials can the TIGTRONIC 205 weld? 
- Q5: Which industries use the TIGTRONIC 205?</t>
  </si>
  <si>
    <t xml:space="preserve">- A1: The TIGTRONIC 205 is a compact, portable power supply designed for high-quality TIG (Tungsten Inert Gas) welding. 
- A2: It enhances TIG welding by providing consistent arc stability, excellent weld penetration, and adjustable power settings for optimal results. 
- A3: The TIGTRONIC 205 features adjustable pulse settings, high-frequency start, and a digital display for easy operation. 
- A4: It is compatible with a wide range of materials including stainless steel, aluminum, and mild steel. 
- A5: The TIGTRONIC 205 is used in industries such as aerospace, automotive, and fabrication for precision TIG welding tasks.</t>
  </si>
  <si>
    <t>D75</t>
  </si>
  <si>
    <t xml:space="preserve">D75 POWER SUPPLY, 75 V</t>
  </si>
  <si>
    <t>CWS-D75</t>
  </si>
  <si>
    <t xml:space="preserve">D75 power supply 75 V welding power unit providing a controlled DC output suitable for stable arc welding applications requiring adjustable voltage and current settings.</t>
  </si>
  <si>
    <t xml:space="preserve">Output Voltage</t>
  </si>
  <si>
    <t xml:space="preserve">Provides stable 75 V welding output for moderate welding tasks</t>
  </si>
  <si>
    <t xml:space="preserve">Power Delivery</t>
  </si>
  <si>
    <t xml:space="preserve">Efficient DC inverter power conversion for consistent weld quality</t>
  </si>
  <si>
    <t xml:space="preserve">Suitable for intermittent to continuous welding depending on model configuration</t>
  </si>
  <si>
    <t xml:space="preserve">Integrated fan or heat sink to manage thermal performance</t>
  </si>
  <si>
    <t xml:space="preserve">The D75 Power Supply is an industrial‑grade DC power source that delivers a regulated 75 V DC output for welding and automation systems requiring stable low‑voltage power. Designed with universal AC input compatibility, it provides reliable performance with protections against overload, short circuit, and overvoltage, making it suitable for industrial equipment, servo drives, and control electronics used in fabrication and orbital welding environments.</t>
  </si>
  <si>
    <t xml:space="preserve">Heavy‑Duty DC Power Supply Module with 75 V Output for Industrial Welding</t>
  </si>
  <si>
    <t xml:space="preserve">The D75 orbital welding power supply delivers precise 75 V output for controlled TIG welding of small to medium tubes. Designed for industrial, pharmaceutical, and instrumentation applications, it features stable current control, compact form factor, and integrated safety protections, ensuring consistent arc quality for high‑purity and critical welds.</t>
  </si>
  <si>
    <t xml:space="preserve">- Compact welding power supply with 75 V output- Designed for consistent DC welding arcs- Rugged enclosure for shop or field use- Thermal overload protection</t>
  </si>
  <si>
    <t xml:space="preserve">- Reliable performance for precision TIG/DC work- Adjustable current output range- Compact and lightweight design- Suitable for use with water-cooled heads</t>
  </si>
  <si>
    <t xml:space="preserve">Get Your D75 75 V Power Supply</t>
  </si>
  <si>
    <t xml:space="preserve">The D75 Power Supply delivers 75 V DC output for precision TIG welding and orbital welding applications. Compact and robust, it provides stable current control, supports programmable welding schedules, and integrates with a range of weld heads and cooling systems. Ideal for industrial, laboratory, and production welding environments requiring consistent arc performance.</t>
  </si>
  <si>
    <t xml:space="preserve">- Q1: What is the D75 Power Supply, 75 V? 
- Q2: What is the purpose of the D75 Power Supply? 
- Q3: What is the voltage rating of the D75 Power Supply? 
- Q4: How does the D75 Power Supply support welding operations? 
- Q5: Which industries typically use the D75 Power Supply?</t>
  </si>
  <si>
    <t xml:space="preserve">- A1: The D75 Power Supply, 75 V, is a high-performance welding power supply designed to provide stable power for arc welding applications. 
- A2: It ensures consistent welding performance, particularly in heavy-duty applications where high voltage is required. 
- A3: The D75 Power Supply operates at 75 volts, making it suitable for high-amperage, high-voltage welding processes. 
- A4: It supports processes like TIG, MIG, and stick welding, offering flexible power settings for different materials and applications. 
- A5: The D75 is used in industries like construction, shipbuilding, and heavy equipment manufacturing for reliable welding operations.</t>
  </si>
  <si>
    <t>M200PWRCAB</t>
  </si>
  <si>
    <t xml:space="preserve">M200 110V POWER CABLE</t>
  </si>
  <si>
    <t>K-SWS-M200‑CORD-1</t>
  </si>
  <si>
    <t xml:space="preserve">Welding Power Supply Accessory | Cable</t>
  </si>
  <si>
    <t xml:space="preserve">M200 110 V power cable designed to provide reliable mains connection for welding power supplies and related tooling in standard 110 V setups.</t>
  </si>
  <si>
    <t xml:space="preserve">Voltage Rating</t>
  </si>
  <si>
    <t xml:space="preserve">Designed for 110 V AC power supply connection</t>
  </si>
  <si>
    <t xml:space="preserve">Works with M200 orbital welding power supplies and related orbital weld heads </t>
  </si>
  <si>
    <t xml:space="preserve">Connector Type</t>
  </si>
  <si>
    <t xml:space="preserve">Heavy‑duty industrial connector for secure connection</t>
  </si>
  <si>
    <t xml:space="preserve">Reinforced insulation and strain relief for workshop use</t>
  </si>
  <si>
    <t xml:space="preserve">The M200 110 V Power Cable is a heavy‑duty supply cable engineered for use with M200‑series orbital welders and compatible welding power supplies. It provides secure mains connection for 110 V input systems, offering robust insulation and strain relief for safe, reliable operation in workshop or field environments where consistent power delivery is essential for precision TIG welding processes.</t>
  </si>
  <si>
    <t xml:space="preserve">110 V Power Connection Cable for M200 Series Welding / Orbital Equipment</t>
  </si>
  <si>
    <t xml:space="preserve">Heavy-duty 110 V power cable designed to provide reliable connectivity for M200 series orbital welding power supplies. Engineered with industrial-grade insulation and strain relief, it ensures safe operation, minimal voltage drop, and durability in fabrication and field environments.</t>
  </si>
  <si>
    <t xml:space="preserve">- Heavy-duty 110 V power cable- Designed for welding power supplies- Rugged insulation for industrial environments- Standard three-prong plug</t>
  </si>
  <si>
    <t xml:space="preserve">- Flexible and durable jacket- Suitable for use with orbital weld systems- High current capacity rating- Easy connect/disconnect ends</t>
  </si>
  <si>
    <t xml:space="preserve">Order M200 110V Power Cable</t>
  </si>
  <si>
    <t xml:space="preserve">The M200 110V Power Cable is a heavy-duty, industrial-grade cable designed to safely deliver AC power to orbital welders and ancillary equipment. Rated for 110 V input, it ensures reliable electrical connection, durability in high-use environments, and compliance with safety standards for fabrication and field applications.</t>
  </si>
  <si>
    <t xml:space="preserve">- Q1: What is the M200 110V Power Cable? 
- Q2: How does the M200 power cable improve welding efficiency? 
- Q3: What is the voltage rating for the M200 Power Cable? 
- Q4: How long is the M200 110V power cable? 
- Q5: Which welding machines is the M200 power cable compatible with?</t>
  </si>
  <si>
    <t xml:space="preserve">- A1: The M200 110V Power Cable is designed for use with welding systems that require a 110V power input. 
- A2: It ensures a stable and reliable power connection, minimizing voltage fluctuations and ensuring optimal performance. 
- A3: The M200 is rated for 110V and is commonly used with smaller-scale or portable welding systems. 
- A4: The cable length varies depending on the model, providing flexibility in positioning the welding machine and workpiece. 
- A5: The M200 is compatible with various TIG, MIG, and stick welding machines that operate on 110V power.</t>
  </si>
  <si>
    <t>SWS232EP</t>
  </si>
  <si>
    <t xml:space="preserve">PIPE SQUARING TOOL 3/4 TO 2 IN</t>
  </si>
  <si>
    <t>SWS-232EP</t>
  </si>
  <si>
    <t xml:space="preserve">Pipe squaring tool for 3/4″ to 2″ OD pipes, engineered to deliver precise, burr‑free, and square pipe ends for optimal weld preparation.</t>
  </si>
  <si>
    <t xml:space="preserve">Prepares tube/pipe ends from 3/4″ to 2″ OD for welding</t>
  </si>
  <si>
    <t xml:space="preserve">Burr Removal</t>
  </si>
  <si>
    <t xml:space="preserve">Produces burr‑free, square ends for repeatable welds</t>
  </si>
  <si>
    <t xml:space="preserve">Operation Type</t>
  </si>
  <si>
    <t xml:space="preserve">Manual or semi‑automatic tube facing mechanism</t>
  </si>
  <si>
    <t xml:space="preserve">Build Quality</t>
  </si>
  <si>
    <t xml:space="preserve">Rugged tool body for long service life</t>
  </si>
  <si>
    <t xml:space="preserve">The Pipe Squaring Tool for 3/4″ to 2″ OD tubing is a precision end‑preparation device that produces square, burr‑free pipe ends ready for welding or fitting. It is designed to handle stainless steel, carbon steel, and non‑ferrous tubes within this diameter range, ensuring consistent faces and clean edges for high‑quality orbital TIG welds in industrial, sanitary, and process fabrication applications.</t>
  </si>
  <si>
    <t xml:space="preserve">View Product</t>
  </si>
  <si>
    <t xml:space="preserve">Precision Tube Squaring Tool for 3/4″ to 2″ Outer Diameter Prep</t>
  </si>
  <si>
    <t xml:space="preserve">Precision pipe squaring tool capable of preparing pipe ends from 3/4″ to 2″ OD with accurate, burr-free surfaces. Its robust clamping and guided cutting mechanism allow repeatable square end preparation, optimizing fit-up and welding quality in process and structural applications.</t>
  </si>
  <si>
    <t xml:space="preserve">- Tube/pipe squaring tool for 0.75″–2″ OD- Precision collet clamp system- Designed for weld prep- Heavy-duty industrial construction</t>
  </si>
  <si>
    <t xml:space="preserve">- Accurate squared ends for welding preparation- Compatible with air or electric drive modules- Smooth, burr-free finish- Portable and easy to use</t>
  </si>
  <si>
    <t xml:space="preserve">Request Pipe Squaring Tool 3/4"‑2"</t>
  </si>
  <si>
    <t xml:space="preserve">The Pipe Squaring Tool for 3/4″ to 2″ pipes provides precise end preparation for orbital and manual TIG welding. Its adjustable clamping and cutting guide produce square, burr-free pipe ends, ensuring optimal fit-up and weld penetration. Compact and durable, it is ideal for workshops, fabrication lines, and on-site welding setups.</t>
  </si>
  <si>
    <t xml:space="preserve">- Q1: What is the Pipe Squaring Tool 3/4 to 2 in? 
- Q2: What is the purpose of the Pipe Squaring Tool? 
- Q3: What sizes of pipe can the Pipe Squaring Tool accommodate? 
- Q4: How does the Pipe Squaring Tool ensure accurate cuts? 
- Q5: What industries use the Pipe Squaring Tool?</t>
  </si>
  <si>
    <t xml:space="preserve">- A1: The Pipe Squaring Tool is designed for precise squaring of pipe ends before welding, ensuring optimal joint preparation. 
- A2: It is essential for preparing pipes to create square, flat surfaces that fit perfectly for welding. 
- A3: The Pipe Squaring Tool can accommodate pipe sizes ranging from 3/4" to 2" (19–50.8 mm) OD, suitable for small and medium-sized pipes. 
- A4: It features adjustable guides and sharp blades to ensure straight, accurate cuts, improving welding joint integrity. 
- A5: Industries like plumbing, HVAC, and construction use this tool to prepare pipes for high-quality welding or fitting.</t>
  </si>
  <si>
    <t>SERIES10H</t>
  </si>
  <si>
    <t xml:space="preserve">SERIES 10H WELD HEAD 1/4" TO 1"</t>
  </si>
  <si>
    <t xml:space="preserve">Series 10H weld head designed for orbital GTAW of tubes from 1/4″ to 1″ OD with optical speed control and reliable mechanical clamping for consistent welds. </t>
  </si>
  <si>
    <t xml:space="preserve">Tube Capacity</t>
  </si>
  <si>
    <t xml:space="preserve">Welds tube outside diameters from ~1/4″ to 1″ (6–25 mm) OD </t>
  </si>
  <si>
    <t xml:space="preserve">Orbital Welding</t>
  </si>
  <si>
    <t xml:space="preserve">Designed for precision orbital GTAW (GTAW/TIG) applications</t>
  </si>
  <si>
    <t xml:space="preserve">Quick‑change collets or fixture blocks for secure tube alignment</t>
  </si>
  <si>
    <t xml:space="preserve">Water‑cooled or passive cooling options for continuous operations</t>
  </si>
  <si>
    <t xml:space="preserve">The Series 10H Weld Head is a high‑precision orbital TIG weld head engineered for tube outside diameters from 1/4″ to 1″ (6–25 mm). It features a rotor‑driven electrode and optical speed control for consistent, repeatable welds across a variety of materials and wall thicknesses. With polarized connectors for secure power supply interface, it’s suitable for semiconductor, pharmaceutical, food processing, and instrumentation applications where precise, high‑quality welds are required. </t>
  </si>
  <si>
    <t xml:space="preserve">Mid‑Range Series 10H Orbital Weld Head for 1/4″–1″ Tubing</t>
  </si>
  <si>
    <t xml:space="preserve">The Series 10H orbital weld head is designed for TIG welding of small tubes ranging from 1/4″ to 1″ OD. It features water-cooled collets, precise motorized rotation, and repeatable arc stability, making it ideal for clean-room, semiconductor, and high-purity process tubing applications.</t>
  </si>
  <si>
    <t xml:space="preserve">- Orbital weld head for OD range 0.25″–1″- DC motor driven rotor for smooth weld travel- Compact clamping system- Designed for automated TIG welding</t>
  </si>
  <si>
    <t xml:space="preserve">- Consistent arc control for small tubing- High repeatability and precision- Works with standard power supplies- Professional-grade weld quality</t>
  </si>
  <si>
    <t xml:space="preserve">Select Series 10H Weld Head 1/4"‑1"</t>
  </si>
  <si>
    <t xml:space="preserve">The Series 10H Weld Head is designed for orbital TIG welding on tubing with outside diameters from 1/4″ to 1″. Featuring precision alignment, secure clamping, and stable arc control, it delivers repeatable, high-quality welds. Suitable for semiconductor, pharmaceutical, and high-purity process applications.</t>
  </si>
  <si>
    <t xml:space="preserve">- Q1: What is the Series 10H Weld Head 1/4" to 1"? 
- Q2: How does the Series 10H Weld Head provide precision? 
- Q3: What is the size range for pipes welded with the Series 10H? 
- Q4: What features make the Series 10H ideal for orbital welding? 
- Q5: Which industries use the Series 10H Weld Head?</t>
  </si>
  <si>
    <t xml:space="preserve">- A1: The Series 10H Weld Head is an orbital welding head designed for precision welding of small to medium-sized pipes. 
- A2: It provides precision by offering stable arc control, adjustable clamping, and consistent feed, ensuring high-quality welds. 
- A3: The Series 10H is suitable for welding pipe sizes ranging from 1/4" to 1" (6.35–25.4 mm) OD. 
- A4: It features a compact design, easy setup, and compatibility with various orbital welding machines, making it versatile for multiple welding scenarios. 
- A5: The Series 10H is commonly used in industries such as food and beverage processing, semiconductor manufacturing, and pharmaceutical production.</t>
  </si>
  <si>
    <t>SERIES20H</t>
  </si>
  <si>
    <t xml:space="preserve">SERIES 20H WELD HEAD 1/2" TO 2"</t>
  </si>
  <si>
    <t>SWS-20H-D-15</t>
  </si>
  <si>
    <t xml:space="preserve">Series 20H weld head engineered for orbital GTAW of tubes and pipes from 1/2″ to 2″ OD with optical speed control, smooth rotor drive, and modular fixturing for repeatable weld quality. </t>
  </si>
  <si>
    <t xml:space="preserve">Welds tube outside diameters from ~1/2″ to 2″ (12–52 mm) OD </t>
  </si>
  <si>
    <t xml:space="preserve">Smooth Operation</t>
  </si>
  <si>
    <t xml:space="preserve">DC motor‑driven rotor for consistent weld head rotation</t>
  </si>
  <si>
    <t xml:space="preserve">Precise Control</t>
  </si>
  <si>
    <t xml:space="preserve">Optical speed control for uniform weld quality</t>
  </si>
  <si>
    <t xml:space="preserve">Fixture Flexibility</t>
  </si>
  <si>
    <t xml:space="preserve">Interchangeable collets/fixture blocks for varied tube sizes</t>
  </si>
  <si>
    <t xml:space="preserve">The Series 20H Weld Head is an industrial orbital TIG welding head designed for tube and pipe outside diameters from 1/2″ to 2″ (12–52 mm). It includes the necessary weld head body, arc gap gauge, tool kit, and tungsten electrodes, and delivers reliable, repeatable weld performance with optical speed control. Its modular design supports flexible fixturing and efficient welding across applications in process, pharmaceutical, and high‑purity fabrication environments. </t>
  </si>
  <si>
    <t xml:space="preserve">Robust Series 20H Orbital Weld Head for 1/2″–2″ Tube Applications</t>
  </si>
  <si>
    <t xml:space="preserve">Series 20H orbital weld head supports TIG welding of mid-range tubes from 1/2″ to 2″ OD. Its rugged construction, precise arc control, and integrated coolant system deliver consistent weld geometry suitable for pharmaceutical, chemical, and industrial process piping.</t>
  </si>
  <si>
    <t xml:space="preserve">- Medium orbital weld head for 0.5″–2″ OD- Designed for reliable TIG fusion- Sturdy clamping and alignment system- Smooth rotation control</t>
  </si>
  <si>
    <t xml:space="preserve">- Stable arc and penetration for mid-range pipe- Easy setup and mounting- Compatible with standard cooling modules- Professional welding performance</t>
  </si>
  <si>
    <t xml:space="preserve">Order Your Series 20H Weld Head 1/2"‑2"</t>
  </si>
  <si>
    <t xml:space="preserve">The Series 20H Weld Head supports orbital TIG welding of tubing and small-diameter pipes from 1/2″ to 2″ OD. Its robust mechanical design, accurate torch positioning, and repeatable clamping system ensure consistent weld quality across production runs. Ideal for industrial, sanitary, and instrumentation piping applications.</t>
  </si>
  <si>
    <t xml:space="preserve">- Q1: What is the Series 20H Weld Head (1/2" to 2")? 
- Q2: What is the size range for pipes welded with the Series 20H Weld Head? 
- Q3: How does the Series 20H provide precision during welding? 
- Q4: What makes the Series 20H ideal for heavy-duty applications? 
- Q5: Which industries use the Series 20H Weld Head?</t>
  </si>
  <si>
    <t xml:space="preserve">- A1: The Series 20H Weld Head is an orbital welding head designed for medium to large-diameter pipe welding, offering excellent precision and weld quality. 
- A2: It is capable of welding pipes ranging from 1/2" to 2" (12.7–50.8 mm) OD, making it versatile for a variety of pipe sizes. 
- A3: The Series 20H provides precision through stable arc control, accurate feed systems, and adjustable welding parameters to meet specific requirements. 
- A4: Its robust construction and large size range make it perfect for industries requiring high-quality, high-volume welds on larger diameter pipes. 
- A5: The Series 20H is commonly used in industries such as petrochemical, power generation, and shipbuilding.</t>
  </si>
  <si>
    <t>SERIES4MF</t>
  </si>
  <si>
    <t xml:space="preserve">SERIES 4 MICRO FLEX  1/16" TO 1/4"</t>
  </si>
  <si>
    <t>SWS-4MFH-B</t>
  </si>
  <si>
    <t xml:space="preserve">Series 4 Micro Flex weld head covering 1/16″ to 1/4″ OD tubes with a flexible drive option for improved access in confined welding areas. </t>
  </si>
  <si>
    <t xml:space="preserve">Micro Tube Capacity</t>
  </si>
  <si>
    <t xml:space="preserve">Supports very small tubes from ~1/16″ to 1/4″ (2–6 mm) OD </t>
  </si>
  <si>
    <t xml:space="preserve">Low‑profile head for tight spaces</t>
  </si>
  <si>
    <t xml:space="preserve">Drive Flexibility</t>
  </si>
  <si>
    <t xml:space="preserve">Flexible‑drive motor module for close‑coupled welds </t>
  </si>
  <si>
    <t xml:space="preserve">Ensures repeatable, high‑quality micro orbital welds</t>
  </si>
  <si>
    <t xml:space="preserve">The Series 4 Micro Flex orbital weld head is designed for micro‑diameter tubing from 1/16″ to 1/4″ (1.6–6.4 mm). With a flexible‑drive configuration and compact profile, it provides access to tight spaces while delivering precision TIG welds for small‑bore tubes. It’s well‑suited for laboratory, instrumentation, semiconductor, and medical device manufacturing where miniature, high‑quality welds are essential. </t>
  </si>
  <si>
    <t xml:space="preserve">Flexible Series 4 Micro Orbital Weld Head for 1/16″–1/4″ Tubes</t>
  </si>
  <si>
    <t xml:space="preserve">The Series 4 Micro Flex weld head is a compact orbital TIG head optimized for small-diameter tubing from 1/16″ to 1/4″ OD. Its flexible drive system allows access to tight spaces while maintaining precise arc control and repeatable weld quality in instrumentation and biotech tubing.</t>
  </si>
  <si>
    <t xml:space="preserve">- Miniature micro orbital weld head for 1/16″–1/4″ tubing- Flexible drive option for tight clearances- Compact lightweight design- Optical speed control</t>
  </si>
  <si>
    <t xml:space="preserve">- Precision welds in confined spaces- Suitable for small tube applications- High fidelity control and repeatability- Works with compatible power supplies</t>
  </si>
  <si>
    <t xml:space="preserve">Get Series 4 Micro Flex Weld Head 1/16"‑1/4"</t>
  </si>
  <si>
    <t xml:space="preserve">The Series 4 Micro Flex Weld Head is a compact, flexible orbital welding solution for tubes from 1/16″ to 1/4″ OD. Lightweight and ergonomically designed, it enables precise arc control in confined spaces, supporting high-purity, small-diameter welding applications in biotechnology, pharmaceuticals, and instrumentation.</t>
  </si>
  <si>
    <t xml:space="preserve">- Q1: What is the Series 4 Micro Flex (1/16" to 1/4")? 
- Q2: How does the Series 4 Micro Flex differ from other weld heads? 
- Q3: What is the size range supported by the Series 4 Micro Flex? 
- Q4: How does the flexible design of the Series 4 Micro Flex benefit welding? 
- Q5: Which industries use the Series 4 Micro Flex Weld Head?</t>
  </si>
  <si>
    <t xml:space="preserve">- A1: The Series 4 Micro Flex is a compact and flexible orbital welding head designed for precision welding of small-diameter pipes. 
- A2: It offers flexibility in positioning and orientation, making it ideal for welding in confined spaces or complex joint configurations. 
- A3: The Series 4 Micro Flex can weld pipes with diameters ranging from 1/16" to 1/4" (1.6–6.4 mm) OD. 
- A4: Its flexible design allows it to adapt to various angles and positions, ensuring consistent and precise welds in tight spaces. 
- A5: Industries such as electronics, semiconductor manufacturing, and pharmaceuticals use the Series 4 Micro Flex for high-precision welding tasks.</t>
  </si>
  <si>
    <t>SERIES4MR</t>
  </si>
  <si>
    <t xml:space="preserve">SERIES 4 MICRO RIGID 1/16" TO 1/4"</t>
  </si>
  <si>
    <t>SWS-4MRH-B</t>
  </si>
  <si>
    <t xml:space="preserve">Series 4 Micro Rigid weld head capable of orbital GTAW on 1/16″ to 1/4″ OD tubes with a rigid drive system to deliver stable, high‑precision welds. </t>
  </si>
  <si>
    <t xml:space="preserve">Welds work pieces from 1/16″ to 1/4″ (3–6 mm) OD</t>
  </si>
  <si>
    <t xml:space="preserve">Drive Type</t>
  </si>
  <si>
    <t xml:space="preserve">Rigid‑drive micro weld head configuration</t>
  </si>
  <si>
    <t xml:space="preserve">Miniature head allows access to confined welding areas</t>
  </si>
  <si>
    <t xml:space="preserve">Motor Module</t>
  </si>
  <si>
    <t xml:space="preserve">Operates with detachable motor module for flexibility </t>
  </si>
  <si>
    <t xml:space="preserve">The Series 4 Micro Rigid orbital weld head is engineered for precision TIG orbital welding of micro‑diameter tubes with outside diameters from 1/16″ to 1/4″ (2 mm – 6 mm). With rigid‑drive construction and optical speed control, it delivers consistent, repeatable welds while providing compact access in confined spaces. It is supplied with a detachable motor module and includes an arc gap gauge, centering gauge, tool package, fixture tooling, and tungsten electrodes for reliable performance in semiconductor, pharmaceutical, and instrumentation applications. </t>
  </si>
  <si>
    <t xml:space="preserve">Rigid Series 4 Micro Weld Head for Precision Small Diameter Welding</t>
  </si>
  <si>
    <t xml:space="preserve">The Series 4 Micro Rigid orbital weld head provides a rigid drive design for small tubes from 1/16″ to 1/4″ OD. Its water-cooled, compact frame ensures stable arc, accurate rotation, and precise weld geometry for high-purity, sanitary, and laboratory tubing applications.</t>
  </si>
  <si>
    <t xml:space="preserve">- Micro orbital weld head for 1/16″–1/4″ OD- Rigid drive for stiffer motion- Compact ergonomic design- Durable industrial construction</t>
  </si>
  <si>
    <t xml:space="preserve">- Precise TIG welds for small OD tubing- Smooth rotation and torch control- Compatible with power supply and cooling modules- Professional-grade results</t>
  </si>
  <si>
    <t xml:space="preserve">Request Series 4 Micro Rigid Weld Head 1/16"‑1/4"</t>
  </si>
  <si>
    <t xml:space="preserve">The Series 4 Micro Rigid Weld Head provides stable, precision orbital TIG welding on 1/16″ to 1/4″ OD tubes. Its rigid clamping system and compact profile deliver repeatable welds in production and laboratory settings where high accuracy and minimal distortion are critical.</t>
  </si>
  <si>
    <t xml:space="preserve">- Q1: What is the Series 4 Micro Rigid (1/16" to 1/4")? 
- Q2: How does the Series 4 Micro Rigid differ from the Micro Flex? 
- Q3: What size pipes can the Series 4 Micro Rigid weld? 
- Q4: How does the rigid design of the Series 4 Micro Rigid improve welding accuracy? 
- Q5: Which industries typically use the Series 4 Micro Rigid Weld Head?</t>
  </si>
  <si>
    <t xml:space="preserve">- A1: The Series 4 Micro Rigid is a precise orbital welding head designed for small-diameter pipe welding, offering high stability and accuracy. 
- A2: Unlike the Micro Flex, the Micro Rigid is designed for welding in fixed positions, providing excellent stability for precision welding. 
- A3: It is suitable for welding pipes with diameters ranging from 1/16" to 1/4" (1.6–6.4 mm) OD. 
- A4: Its rigid design ensures minimal flexing and movement during welding, resulting in high-quality, consistent welds. 
- A5: The Series 4 Micro Rigid is used in industries like aerospace, biotechnology, and semiconductor production for welding small, critical components.</t>
  </si>
  <si>
    <t>SERIES5H</t>
  </si>
  <si>
    <t xml:space="preserve">SERIES 5H WELD HEAD 1/8" TO 5/8"</t>
  </si>
  <si>
    <t>SWS-5H-D-15</t>
  </si>
  <si>
    <t xml:space="preserve">Series 5H weld head designed for orbital GTAW of 1/8″ to 5/8″ OD tubing with reliable mechanical clamping and precision control for consistent weld results. </t>
  </si>
  <si>
    <t xml:space="preserve">Welds work pieces from 1/8″ to 5/8″ (3–16 mm) OD</t>
  </si>
  <si>
    <t xml:space="preserve">Precision Control</t>
  </si>
  <si>
    <t xml:space="preserve">Optical speed control for consistent welds</t>
  </si>
  <si>
    <t xml:space="preserve">Motor Driven</t>
  </si>
  <si>
    <t xml:space="preserve">DC motor drives rotor for steady welding head rotation</t>
  </si>
  <si>
    <t xml:space="preserve">Fixture Compatibility</t>
  </si>
  <si>
    <t xml:space="preserve">Uses modular fixture and collet system for secure alignment </t>
  </si>
  <si>
    <t xml:space="preserve">The Series 5H orbital weld head is designed for TIG orbital welding of tubes from 1/8″ to 5/8″ (3 mm – 17.3 mm) OD. It integrates optical speed control without the need for periodic tachometer calibration, enhancing weld consistency across a broad range of materials. This weld head is part of a modular system compatible with standard orbital power supplies and offers robust clamping and alignment features suitable for industrial, high‑precision welding environments. </t>
  </si>
  <si>
    <t xml:space="preserve">Series 5H Compact Weld Head for 1/8″–5/8″ Orbital TIG Welding</t>
  </si>
  <si>
    <t xml:space="preserve">Series 5H orbital weld head is engineered for tubes from 1/8″ to 5/8″ OD. Featuring precision motor control, water-cooled collets, and robust construction, it delivers consistent TIG welds with minimal heat-affected zone, ideal for instrumentation and process piping systems.</t>
  </si>
  <si>
    <t xml:space="preserve">- Orbital weld head for 0.125″–0.625″ OD- Water-cooled clamping system for thermal management- Self-centering jaw design- Compact and lightweight</t>
  </si>
  <si>
    <t xml:space="preserve">- Consistent and repeatable TIG welds- Suitable for moderate-duty applications- Reliable arc control- Works with standard cooling units</t>
  </si>
  <si>
    <t xml:space="preserve">Select Series 5H Weld Head 1/8"‑5/8"</t>
  </si>
  <si>
    <t xml:space="preserve">The Series 5H Weld Head is engineered for orbital TIG welding of tubes ranging from 1/8″ to 5/8″ OD. With precision clamping, adjustable alignment, and reliable arc stability, it ensures high-quality welds suitable for process piping, laboratory instrumentation, and small-diameter fabrication applications.</t>
  </si>
  <si>
    <t xml:space="preserve">- Q1: What is the Series 5H Weld Head (1/8" to 5/8")? 
- Q2: What is the pipe size range supported by the Series 5H Weld Head? 
- Q3: How does the Series 5H offer precise weld control? 
- Q4: What makes the Series 5H ideal for industrial applications? 
- Q5: Which industries commonly use the Series 5H Weld Head?</t>
  </si>
  <si>
    <t xml:space="preserve">- A1: The Series 5H Weld Head is an orbital welding head designed for medium-sized pipes, providing precise and efficient welding performance. 
- A2: It can weld pipes ranging from 1/8" to 5/8" (3.2–15.9 mm) OD, making it versatile for small to medium-scale applications. 
- A3: The Series 5H ensures precise weld control through advanced arc stability, consistent feed rates, and adjustable parameters for different materials and pipe configurations. 
- A4: Its rugged design and high precision make it ideal for industrial and heavy-duty welding operations. 
- A5: Industries such as oil &amp; gas, aerospace, and power generation commonly use the Series 5H for high-quality pipe welding.</t>
  </si>
  <si>
    <t>SERIES8H</t>
  </si>
  <si>
    <t xml:space="preserve">SERIES 8 MICRO WELD HEAD 1/8" TO 1/2"</t>
  </si>
  <si>
    <t xml:space="preserve">Series 8 micro weld head designed for rigid‑drive orbital welding of tubes from 1/8″ to 1/2″ OD with compact size for confined spaces and reliable clamping for consistent welds. </t>
  </si>
  <si>
    <t xml:space="preserve">Welds work pieces from 1/8″ to 1/2″ (5–12 mm) OD</t>
  </si>
  <si>
    <t xml:space="preserve">Rigid Drive</t>
  </si>
  <si>
    <t xml:space="preserve">Rigid‑drive configuration for stability</t>
  </si>
  <si>
    <t xml:space="preserve">Small head size for tight access welding</t>
  </si>
  <si>
    <t xml:space="preserve">Detachable Motor</t>
  </si>
  <si>
    <t xml:space="preserve">Works with a detachable motor module</t>
  </si>
  <si>
    <t xml:space="preserve">The Series 8 Micro orbital weld head is built for TIG orbital welding of tube diameters from 1/8″ to 1/2″ (3 mm – 12 mm) OD. Featuring optical speed control and rigid‑drive configuration, it produces high‑quality, reproducible welds while accessing confined areas efficiently. The head works with a standard detachable motor module and is supplied with essential tooling for secure, precise weld joint preparation in sectors like pharmaceutical, food processing, and semiconductor fabrication. </t>
  </si>
  <si>
    <t xml:space="preserve">Micro Precision Series 8 Weld Head for Small Diameter Tube Welding</t>
  </si>
  <si>
    <t xml:space="preserve">Series 8 Micro orbital weld head supports TIG welding of 1/8″ to 1/2″ OD tubes. Its compact design and precise rotational control ensure stable arc performance and high-quality, repeatable welds in confined spaces such as laboratory, clean-room, and instrumentation applications.</t>
  </si>
  <si>
    <t xml:space="preserve">- Mid-range micro orbital weld head for 0.125″–0.5″ OD- Compact design for tight access- Integrated alignment features- Smooth drive control</t>
  </si>
  <si>
    <t xml:space="preserve">- Precision TIG weld output- Easy setup and operation- Compatible with power supply and cooling systems- Professional results</t>
  </si>
  <si>
    <t xml:space="preserve">Order Series 8 Micro Weld Head 1/8"‑1/2"</t>
  </si>
  <si>
    <t xml:space="preserve">The Series 8 Micro Weld Head is designed for orbital TIG welding of small-diameter tubes ranging from 1/8″ to 1/2″ OD. Compact and precise, it provides stable arc control, secure clamping, and repeatable positioning for high-quality welds in pharmaceutical, biotech, and instrumentation applications.</t>
  </si>
  <si>
    <t xml:space="preserve">- Q1: What is the Series 8 Micro Weld Head (1/8" to 1/2")? 
- Q2: How does the Series 8 Micro Weld Head provide high precision? 
- Q3: What size range of pipes can the Series 8 Micro Weld Head weld? 
- Q4: What is the application advantage of the Series 8 Micro Weld Head? 
- Q5: Which industries use the Series 8 Micro Weld Head?</t>
  </si>
  <si>
    <t xml:space="preserve">- A1: The Series 8 Micro Weld Head is a compact orbital welding head designed for high-precision welding on small pipes. 
- A2: It provides exceptional precision through stable arc control, minimal heat input, and adjustable settings for fine-tuned welds. 
- A3: The Series 8 is suitable for pipes with diameters ranging from 1/8" to 1/2" (3.2–12.7 mm) OD. 
- A4: The Series 8 is especially beneficial for applications requiring tight tolerances and clean, high-quality welds in small-scale welding tasks. 
- A5: It is widely used in industries such as pharmaceutical manufacturing, semiconductor production, and food &amp; beverage processing.</t>
  </si>
  <si>
    <t>212B</t>
  </si>
  <si>
    <t xml:space="preserve">212B BEVELMASTER AIR</t>
  </si>
  <si>
    <t xml:space="preserve">212B Bevelmaster air‑driven ID‑mounted beveling and facing machine for pipe bevel preparation with expandable mandrel and tool holders for precise cuts. </t>
  </si>
  <si>
    <t xml:space="preserve">Beveling Function</t>
  </si>
  <si>
    <t xml:space="preserve">Air‑powered pipe beveling, facing, and counterboring machine for weld prep</t>
  </si>
  <si>
    <t>Self‑Centering</t>
  </si>
  <si>
    <t xml:space="preserve">Expandable mandrel self‑centers inside pipe or tube</t>
  </si>
  <si>
    <t xml:space="preserve">Pipe Size Range</t>
  </si>
  <si>
    <t xml:space="preserve">Handles pipe ID ~4″ to 12″ (approx. 101.6–304.8 mm)</t>
  </si>
  <si>
    <t xml:space="preserve">Torque Adjustment</t>
  </si>
  <si>
    <t xml:space="preserve">Torque key adjustment prevents backlash and vibration during cuts </t>
  </si>
  <si>
    <t xml:space="preserve">The 212B BevelMASTER Air is a portable internal‑diameter mount pipe beveling machine designed for facing, beveling, and counterboring pipe ends in preparation for welding. It features an expanding mandrel for fast self‑centering inside the pipe, removable jaw blocks for accurate alignment, and an air‑powered motor for reliable machining. Suitable for pipe and tubing with inside diameters from approximately 4″ through 12″, it generates bevel preps that meet conventional welding code requirements. </t>
  </si>
  <si>
    <t xml:space="preserve">Tri‑Tool 212B BEVELMASTER Pneumatic Pipe Beveler for Facing and Bevel Prep </t>
  </si>
  <si>
    <t xml:space="preserve">BevelMaster 212B is an air-powered pipe beveling machine designed to create precise bevels on tubing and pipes. Its pneumatic drive system ensures smooth, burr-free bevels across varying wall thicknesses, supporting accurate fit-up and high-quality welding preparation.</t>
  </si>
  <si>
    <t xml:space="preserve">- Pneumatic pipe beveling machine for 4″–13.7″ ID- Designed for bevel, facing, counterboring- Rugged gear train for industrial use- Pneumatic drive for field use</t>
  </si>
  <si>
    <t xml:space="preserve">- Accurate weld prep beveling and facing- Stable performance under load- Portable design for onsite use- Works with standard jaw sets</t>
  </si>
  <si>
    <t xml:space="preserve">Get the 212B BevelMaster Air</t>
  </si>
  <si>
    <t xml:space="preserve">The 212B BevelMaster Air is an air-powered tube and pipe beveling machine engineered for precision edge preparation. Its automated beveling system produces consistent, square cuts and chamfers, reducing preparation time for high-volume fabrication and ensuring superior weld penetration.</t>
  </si>
  <si>
    <t xml:space="preserve">- Q1: What is the 212B Bevelmaster Air? 
- Q2: How does the 212B Bevelmaster Air improve pipe preparation? 
- Q3: What is the primary function of the 212B Bevelmaster Air? 
- Q4: What is the typical pipe size range for the 212B Bevelmaster Air? 
- Q5: Which industries use the 212B Bevelmaster Air for pipe beveling?</t>
  </si>
  <si>
    <t xml:space="preserve">- A1: The 212B Bevelmaster Air is a pneumatic-powered tool designed for precision pipe beveling and end preparation. 
- A2: It improves pipe preparation by creating consistent, precise bevels, ensuring proper alignment and fit for welding. 
- A3: The 212B Bevelmaster Air is used to bevel pipe ends for various welding and fitting applications, ensuring optimal joint preparation. 
- A4: It typically supports pipes ranging from 1/2" to 6" (12.7–152.4 mm) OD, making it versatile for a wide range of pipe sizes. 
- A5: Industries such as oil &amp; gas, petrochemical, and power generation commonly use the 212B Bevelmaster Air for efficient and accurate pipe beveling.</t>
  </si>
  <si>
    <t>05-0182TTP</t>
  </si>
  <si>
    <t xml:space="preserve">212B/214B ID TRACKING MODULE</t>
  </si>
  <si>
    <t>05-0182</t>
  </si>
  <si>
    <t xml:space="preserve">Tube Beveling | Pipe Preparation Accessory</t>
  </si>
  <si>
    <t xml:space="preserve">212B/214B ID tracking module attachment providing enhanced alignment and tracking capability when used with Bevelmaster beveling systems for improved machining accuracy. </t>
  </si>
  <si>
    <t xml:space="preserve">Accessory Role</t>
  </si>
  <si>
    <t xml:space="preserve">Accessory kit for BEVELMASTER machines to improve alignment</t>
  </si>
  <si>
    <t xml:space="preserve">ID Tracking</t>
  </si>
  <si>
    <t xml:space="preserve">Maintains consistent bevel prep along pipe ID</t>
  </si>
  <si>
    <t xml:space="preserve">Machine Compatibility</t>
  </si>
  <si>
    <t xml:space="preserve">Works with models like 212B and 214B bevelers for expanded capability</t>
  </si>
  <si>
    <t xml:space="preserve">Enhances repeatability and precision of bevel profiles </t>
  </si>
  <si>
    <t xml:space="preserve">The 212B/214B ID Tracking Module is an accessory for Tri Tool BEVELMASTER beveling systems that enhances cutting precision by providing consistent tracking of the internal diameter during facing, beveling, and counterboring operations. It is designed to work with 212B and 214B beveling machines, improving uniformity and accuracy of weld preps across a wide range of pipe sizes and wall thicknesses in industrial fabrication work. </t>
  </si>
  <si>
    <t xml:space="preserve">ID Tracking Module for BEVELMASTER Series Pipe Beveling Machines</t>
  </si>
  <si>
    <t xml:space="preserve">Internal diameter tracking module compatible with 212B and 214B beveling machines. Ensures the tool remains aligned with the pipe ID, producing consistent bevel profiles, reducing operator fatigue, and enhancing preparation accuracy for orbital welding.</t>
  </si>
  <si>
    <t xml:space="preserve">- Mandrel and sled module for ID tracking on bevelers- Adjustable feed for consistent material removal- Designed to work with 212B/214B bevelers- Precision tracking for deeper bevel cuts</t>
  </si>
  <si>
    <t xml:space="preserve">- Ensures profiling accuracy- Compatible with pneumatic or electric drive bevelers- Improves bevel consistency- Professional prep results</t>
  </si>
  <si>
    <t xml:space="preserve">Request 212B/214B ID Tracking Module</t>
  </si>
  <si>
    <t xml:space="preserve">The 212B/214B ID Tracking Module ensures accurate centering and tracking of pipes during beveling and welding operations. Compatible with 212B and 214B BevelMaster systems, it maintains tube alignment and consistency, improving weld quality and reducing rework.</t>
  </si>
  <si>
    <t xml:space="preserve">- Q1: What is the 212B/214B ID Tracking Module? 
- Q2: How does the ID Tracking Module assist with orbital welding? 
- Q3: What is the purpose of the ID Tracking Module in pipe welding? 
- Q4: How does the module improve weld quality? 
- Q5: What pipe sizes can the ID Tracking Module be used for?</t>
  </si>
  <si>
    <t xml:space="preserve">- A1: The 212B/214B ID Tracking Module is designed to track and adjust the orbital welding process for precise welding along the inner diameter of pipes. 
- A2: It automatically adjusts the machine settings to maintain optimal arc positioning, enhancing weld consistency and accuracy. 
- A3: The ID Tracking Module is used to ensure precise weld depth and arc alignment, crucial for maintaining high weld quality on varying pipe sizes. 
- A4: By ensuring real-time tracking of the pipe's internal diameter, it reduces welding defects and enhances overall weld strength. 
- A5: The module can be used for a wide range of pipe sizes, particularly those with varying internal diameters, ensuring flexibility across welding applications.</t>
  </si>
  <si>
    <t>TMOD214B</t>
  </si>
  <si>
    <t xml:space="preserve">Wide Range</t>
  </si>
  <si>
    <t xml:space="preserve">ID mount beveler for facing, beveling, and counterboring of pipes ~4″–14″</t>
  </si>
  <si>
    <t xml:space="preserve">Open Design</t>
  </si>
  <si>
    <t xml:space="preserve">Tool holders allow full viewing of machining operations</t>
  </si>
  <si>
    <t xml:space="preserve">Drive Options</t>
  </si>
  <si>
    <t xml:space="preserve">Available in pneumatic, electric, or hydraulic drives</t>
  </si>
  <si>
    <t xml:space="preserve">Rugged Build</t>
  </si>
  <si>
    <t xml:space="preserve">Double‑enveloping worm gear and robust construction for heavy use </t>
  </si>
  <si>
    <t xml:space="preserve">The 212B/214B ID Tracking Module is an accessory for BEVELMASTER beveling machines that improves internal diameter tracking and control, enabling consistent bevel and face machining on pipe ends. It is compatible with both Model 212B and Model 214B bevelers, helping maintain precise alignment and repeatable prep quality in welding and fabrication applications across a spectrum of pipe sizes. </t>
  </si>
  <si>
    <t xml:space="preserve">Duplicate entry: same ID tracking module for 212B/214B beveling systems. Maintains internal pipe alignment for precise beveling, repeatable results, and optimized fit-up in industrial welding workflows.</t>
  </si>
  <si>
    <t xml:space="preserve">(Duplicate entry) The 212B/214B ID Tracking Module ensures accurate centering and tracking of pipes during beveling and welding operations. Compatible with 212B and 214B BevelMaster systems, it maintains tube alignment and consistency, improving weld quality and reducing rework.</t>
  </si>
  <si>
    <t xml:space="preserve">- Q1: What is the 212B/214B ID Tracking Module? 
- Q2: How does the ID Tracking Module help maintain precision? 
- Q3: Can the ID Tracking Module be used with various weld heads? 
- Q4: What industries benefit from the ID Tracking Module? 
- Q5: How does the module ensure a consistent weld bead?</t>
  </si>
  <si>
    <t xml:space="preserve">- A1: The 212B/214B ID Tracking Module is a critical component for maintaining consistent arc positioning and weld quality by tracking the pipe’s inner diameter during the welding process. 
- A2: It works by continuously adjusting the welding parameters to match the changes in the pipe's inner diameter, ensuring a smooth, continuous weld. 
- A3: Yes, it can be used with a variety of Tri Tool weld heads, providing flexibility for different welding applications. 
- A4: Industries such as power generation, petrochemical, and shipbuilding benefit from this module, where precision and efficiency are key. 
- A5: The module ensures a uniform weld bead by tracking the ID, optimizing welding settings in real time to reduce defects.</t>
  </si>
  <si>
    <t>M214B</t>
  </si>
  <si>
    <t xml:space="preserve">214B BEVELMASTER AIR</t>
  </si>
  <si>
    <t>01-1141</t>
  </si>
  <si>
    <t xml:space="preserve">214B Bevelmaster air portable pipe beveling system with ID mounting range for 4″–14″ OD, supporting beveling, facing and counterboring operations with pneumatic drive. </t>
  </si>
  <si>
    <t xml:space="preserve">Bevels, faces and counterbores ID‑mounted pipe from ~3.31″ to 14″ (84–355.6 mm) OD</t>
  </si>
  <si>
    <t xml:space="preserve">Machining Functions</t>
  </si>
  <si>
    <t xml:space="preserve">Simultaneous facing, beveling, and counterboring operations</t>
  </si>
  <si>
    <t xml:space="preserve">Available with air, electric, or hydraulic drives</t>
  </si>
  <si>
    <t xml:space="preserve">Precision &amp; Control</t>
  </si>
  <si>
    <t xml:space="preserve">Torque key adjustment reduces vibration for smooth cuts and extended tool life </t>
  </si>
  <si>
    <t xml:space="preserve">The 214B BEVELMASTER™ Air is a portable internal‑diameter mount beveling, facing, and counterboring machine designed for weld end preparation on pipe sizes from approximately 4″ (101.6 mm) to 14″ (355.6 mm) OD. Its expanding mandrel provides accurate self‑centering and alignment, and the pneumatic drive motor delivers reliable cutting performance. The system includes tool holder assemblies, mandrel, air motor, jaw blocks, and accessories for versatile onsite machining of bevels, faces, and counterbores to code‑compliant profiles across a wide range of materials and wall thicknesses. </t>
  </si>
  <si>
    <t xml:space="preserve">Tri‑Tool 214B BEVELMASTER Portable Air‑Powered Pipe Preparation Machine </t>
  </si>
  <si>
    <t xml:space="preserve">BevelMaster 214B air-powered beveling machine provides consistent, burr-free bevels on medium to large diameter pipes. Its pneumatic drive delivers smooth operation and high-accuracy profiles, reducing preparation time and ensuring high-quality weld joints.</t>
  </si>
  <si>
    <t xml:space="preserve">- Pneumatic beveling and facing machine for 3.3″–14″ OD- Smooth feed and torque adjustment- Double-enveloping worm gear for strength- Pneumatic drive configuration</t>
  </si>
  <si>
    <t xml:space="preserve">- Delivers accurate bevels and faces- Portable pneumatic operation- Designed for high-productivity workflows- Industrial-grade performance</t>
  </si>
  <si>
    <t xml:space="preserve">Select 214B BevelMaster Air</t>
  </si>
  <si>
    <t xml:space="preserve">The 214B BevelMaster Air is an air-driven beveling machine for medium to large diameter tubes and pipes. It provides precision beveling, consistent edge preparation, and efficient operation, making it suitable for production and field fabrication environments.</t>
  </si>
  <si>
    <t xml:space="preserve">- Q1: What is the 214B Bevelmaster Air? 
- Q2: How does the 214B Bevelmaster Air enhance beveling accuracy? 
- Q3: What size range of pipes can the 214B Bevelmaster Air handle? 
- Q4: What makes the 214B Bevelmaster Air suitable for industrial beveling? 
- Q5: Which industries use the 214B Bevelmaster Air for beveling?</t>
  </si>
  <si>
    <t xml:space="preserve">- A1: The 214B Bevelmaster Air is a pneumatic-powered tool designed for pipe beveling, ideal for preparing pipe ends for welding. 
- A2: It improves beveling accuracy by providing a consistent and smooth bevel on pipe ends, crucial for perfect joint alignment. 
- A3: The 214B Bevelmaster Air can handle pipes from 1/2" to 6" (12.7–152.4 mm) in diameter. 
- A4: Its pneumatic operation makes it lightweight and highly efficient, reducing manual labor while ensuring precise bevel angles. 
- A5: This tool is commonly used in industries like oil &amp; gas, shipbuilding, and construction where pipe end preparation for welding is required.</t>
  </si>
  <si>
    <t>301E</t>
  </si>
  <si>
    <t xml:space="preserve">301E SQUARING TOOL 0.125" - 1.000" OD</t>
  </si>
  <si>
    <t>01-1205</t>
  </si>
  <si>
    <t xml:space="preserve">301E squaring tool for 0.125″–1.000″ OD tubes delivering precise, burr‑free squaring of tube ends for optimal weld preparation with portable OD saddle clamping. </t>
  </si>
  <si>
    <t xml:space="preserve">Squares tube ends from ~0.125″ to ~1.000″ (3.2–25.4 mm) OD for weld prep</t>
  </si>
  <si>
    <t xml:space="preserve">Burr‑Free Finish</t>
  </si>
  <si>
    <t xml:space="preserve">Produces flat, burr‑free ends on both ID and OD surfaces</t>
  </si>
  <si>
    <t xml:space="preserve">Tube OD saddle and clamp assemblies for secure hold during cutting</t>
  </si>
  <si>
    <t xml:space="preserve">Power Options</t>
  </si>
  <si>
    <t xml:space="preserve">Available with air, electric, or cordless drive options </t>
  </si>
  <si>
    <t xml:space="preserve">The 301E Tube Squaring Tool is a precision tube end preparation machine engineered to face and square tubing from 0.125″ to 1.000″ (3.2 mm to 25.4 mm) OD for weld‑ready ends. Using an OD saddle clamping system to self‑center and hold tubing securely, it produces flat, burr‑free surfaces essential for autogenous and orbital welding. Variable drive options and cam‑feed control provide smooth, repeatable results on stainless steel, carbon steel, and other metal tubes. </t>
  </si>
  <si>
    <t xml:space="preserve">Precision Tube Squaring Tool for 0.125″–1.000″ Outer Diameter Prep</t>
  </si>
  <si>
    <t xml:space="preserve">The 301E tube squaring tool prepares tubes from 0.125″ to 1.000″ OD with square, burr-free ends. Its precision mechanism ensures repeatable end faces for proper weld fit-up and reduced rework in high-accuracy instrumentation and industrial piping applications.</t>
  </si>
  <si>
    <t xml:space="preserve">- Precision tube squaring tool for 0.125″–1.0″ OD- Collet clamping system for torque acceptance- Electric or pneumatic drive options- Designed for autogenous welding prep</t>
  </si>
  <si>
    <t xml:space="preserve">- Produces square, burr-free ends- Portable and easy to operate- Compatible with accessory bits- Reliable torque acceptance</t>
  </si>
  <si>
    <t xml:space="preserve">Order 301E Squaring Tool 0.125"‑1.000" OD</t>
  </si>
  <si>
    <t xml:space="preserve">The 301E Tube Squaring Tool prepares tube ends ranging from 0.125″ to 1.000″ OD for welding. It ensures square, burr-free ends for consistent weld penetration and repeatable results, supporting small-diameter orbital TIG welding and high-purity fabrication workflows.</t>
  </si>
  <si>
    <t xml:space="preserve">- Q1: What is the 301E Squaring Tool (0.125" - 1.000" OD)? 
- Q2: How does the 301E Squaring Tool help with pipe preparation? 
- Q3: What is the pipe size range for the 301E Squaring Tool? 
- Q4: How does the 301E Squaring Tool ensure accurate squaring of pipes? 
- Q5: Which industries use the 301E Squaring Tool?</t>
  </si>
  <si>
    <t xml:space="preserve">- A1: The 301E Squaring Tool is designed to square the ends of small to medium-sized pipes to ensure proper alignment for welding. 
- A2: The 301E Squaring Tool makes sure the pipe ends are flat and perpendicular, which is essential for a strong, defect-free weld. 
- A3: It is designed for pipes with diameters ranging from 0.125" to 1.000" (3.2–25.4 mm) OD. 
- A4: The tool uses adjustable guides and sharp cutting blades for precision squaring of pipe ends. 
- A5: It is widely used in industries like HVAC, plumbing, and general pipe fabrication, where accurate pipe fitting is essential for quality welding.</t>
  </si>
  <si>
    <t>301SP</t>
  </si>
  <si>
    <t xml:space="preserve">301SP SQUARING TOOL 0.125" - 1.000" OD</t>
  </si>
  <si>
    <t>01-1293</t>
  </si>
  <si>
    <t xml:space="preserve">301SP squaring tool for 0.125″–1.000″ OD tubes and fittings combining tube facing and squaring with variable‑speed feed and positive grip for micro‑tube weld prep. </t>
  </si>
  <si>
    <t xml:space="preserve">Prepares tube ends ~0.125″–1.125″ (3.2–28.6 mm) OD with minimal burrs</t>
  </si>
  <si>
    <t xml:space="preserve">Feed Control</t>
  </si>
  <si>
    <t xml:space="preserve">Cam feed with graduated scale for precise travel</t>
  </si>
  <si>
    <t xml:space="preserve">Portable &amp; Versatile</t>
  </si>
  <si>
    <t xml:space="preserve">Lightweight, portable design with multiple motor/drive options</t>
  </si>
  <si>
    <t xml:space="preserve">Includes guard, motor assembly, wrench kit, and case </t>
  </si>
  <si>
    <t xml:space="preserve">The 301SP Tube Facing &amp; Squaring Tool precisely machines tube and fitting ends from approximately 0.125″ to 1.125″ (3.2 mm to 28.6 mm) OD, producing flat, burr‑free ends critical for high‑quality weld preparation. Its OD saddle and clamp assemblies hold material securely while the graduated cam feed control ensures consistent cut depth. The tool is supplied with a motor assembly, integrated guard, wrench kit, and carrying case, and supports various drive options including air, electric, or cordless. </t>
  </si>
  <si>
    <t xml:space="preserve">Enhanced Squaring Tool with Stabilized Platform for 0.125″–1.000″ Tubing</t>
  </si>
  <si>
    <t xml:space="preserve">301SP squaring tool is a portable system for tubes 0.125″ to 1.000″ OD, producing precise, square ends. Ergonomic design and smooth cutting action deliver repeatable results for clean, high-quality weld preparation in laboratory and industrial environments.</t>
  </si>
  <si>
    <t xml:space="preserve">- Tube squaring tool for 0.125″–1.125″ OD- Integrated guard and motor assembly- Air, corded, or cordless drive options- Compact industrial design</t>
  </si>
  <si>
    <t xml:space="preserve">- Accurate squaring for weld prep- Smooth and repeatable cuts- Easy to transport- Works with standard tooling</t>
  </si>
  <si>
    <t xml:space="preserve">Get 301SP Squaring Tool 0.125"‑1.000" OD</t>
  </si>
  <si>
    <t xml:space="preserve">The 301SP Squaring Tool offers precise end-preparation for tubes 0.125″ to 1.000″ OD. Its durable construction and reliable operation support repeatable, high-quality weld readiness, making it ideal for production and laboratory orbital welding setups.</t>
  </si>
  <si>
    <t xml:space="preserve">- Q1: What is the 301SP Squaring Tool (0.125" - 1.000" OD)? 
- Q2: How does the 301SP differ from the 301E Squaring Tool? 
- Q3: What is the pipe size range for the 301SP Squaring Tool? 
- Q4: How does the 301SP Squaring Tool ensure precision during squaring? 
- Q5: What industries use the 301SP Squaring Tool for pipe prep?</t>
  </si>
  <si>
    <t xml:space="preserve">- A1: The 301SP Squaring Tool is a more advanced version of the 301E, providing even higher precision for squaring pipe ends. 
- A2: The 301SP offers enhanced features, such as better blade alignment and improved squaring accuracy, making it ideal for more demanding pipe preparation tasks. 
- A3: It is suitable for pipes with diameters ranging from 0.125" to 1.000" (3.2–25.4 mm) OD. 
- A4: The 301SP ensures precision by providing a stable, controlled cutting process with minimal deviation. 
- A5: Industries such as aerospace, power generation, and heavy construction use the 301SP for high-quality pipe end squaring.</t>
  </si>
  <si>
    <t>302</t>
  </si>
  <si>
    <t xml:space="preserve">302E SQUARING TOOL 0.250" - 2.000" OD</t>
  </si>
  <si>
    <t>01-1242</t>
  </si>
  <si>
    <t xml:space="preserve">302E squaring tool for 0.250″–2.000″ OD tubes providing accurate end squaring and prep with portable clamping and controlled feed for autogenous welding prep. </t>
  </si>
  <si>
    <t xml:space="preserve">Tube &amp; Pipe Range</t>
  </si>
  <si>
    <t xml:space="preserve">Squares tube/pipe ~0.250″–2.000″ (6.4–50.8 mm) OD for weld prep</t>
  </si>
  <si>
    <t xml:space="preserve">Power Requirement</t>
  </si>
  <si>
    <t xml:space="preserve">Electric motor configuration at 110 V AC, 50/60 Hz</t>
  </si>
  <si>
    <t xml:space="preserve">Feed Mechanism</t>
  </si>
  <si>
    <t xml:space="preserve">Controlled feed rate with precision cut travel</t>
  </si>
  <si>
    <t xml:space="preserve">Durable machine body for frequent shop use </t>
  </si>
  <si>
    <t xml:space="preserve">The 302E Tube Squaring Tool is designed for precision facing and squaring of larger tubes and fittings ranging from 0.250″ to 2.000″ (6.35 mm to 50.8 mm) OD. Using an OD saddle‑mounted clamping system and in‑line feed mechanism, it produces square, burr‑free ends on a wide range of materials including stainless steel and carbon steel. This tool enhances weld joint quality and repeatability in fabrication and high‑purity industry applications. </t>
  </si>
  <si>
    <t xml:space="preserve">Heavy‑Duty Tube Squaring Tool for 0.250″–2.000″ Diameter Weld Prep</t>
  </si>
  <si>
    <t xml:space="preserve">302E tube squaring tool handles pipes from 0.250″ to 2.000″ OD, delivering accurate, perpendicular cuts with minimal burrs. Its guided cutting mechanism provides repeatable end squareness for optimal weld fit-up in fabrication, process, and structural applications.</t>
  </si>
  <si>
    <t xml:space="preserve">- Tube squaring tool for 0.25″–2.0″ OD- Precision clamping and feed- Designed for industrial welding prep- Robust construction</t>
  </si>
  <si>
    <t xml:space="preserve">- Produces square, aligned ends- Compatible with pneumatic/electric drives- Smooth operation- Reliable for shop or field use</t>
  </si>
  <si>
    <t xml:space="preserve">Request 302E Squaring Tool 0.250"‑2.000" OD</t>
  </si>
  <si>
    <t xml:space="preserve">The 302E Tube Squaring Tool handles tube diameters from 0.250″ to 2.000″ OD. It produces square, burr-free ends for consistent fit-up and weld penetration, supporting efficient workflow in industrial, pharmaceutical, and high-purity process piping applications.</t>
  </si>
  <si>
    <t xml:space="preserve">- Q1: What is the 302E Squaring Tool (0.250" - 2.000" OD)? 
- Q2: What pipe sizes can the 302E Squaring Tool accommodate? 
- Q3: How does the 302E Squaring Tool handle larger pipe sizes? 
- Q4: How does the 302E Squaring Tool ensure high-quality squaring? 
- Q5: What industries typically use the 302E Squaring Tool?</t>
  </si>
  <si>
    <t xml:space="preserve">- A1: The 302E Squaring Tool is designed for squaring larger diameter pipes, ideal for industrial applications requiring higher pipe sizes. 
- A2: It accommodates pipes ranging from 0.250" to 2.000" (6.35–50.8 mm) OD. 
- A3: The tool features precision guides and robust cutting mechanisms, making it effective for larger diameter pipes. 
- A4: It ensures clean, perpendicular cuts, which are essential for preparing pipes for welding and maintaining the integrity of the weld. 
- A5: Industries like oil &amp; gas, construction, and power generation use the 302E for preparing large pipes for welding.</t>
  </si>
  <si>
    <t>574</t>
  </si>
  <si>
    <t xml:space="preserve">574 SEVERMASTER</t>
  </si>
  <si>
    <t xml:space="preserve">Tube Cutting | Pipe Preparation Tool</t>
  </si>
  <si>
    <t xml:space="preserve">574 SeverMaster tube severing machine designed for clean, cold cutting and sectioning of small‑diameter tubes with auto‑cycle feed, quick‑lock collet closure, and burr‑minimized severing performance. </t>
  </si>
  <si>
    <t xml:space="preserve">Tube Severing Range</t>
  </si>
  <si>
    <t xml:space="preserve">Handles tube/pipe from ~0.250″ to ~2.000″ (6.4–50.8 mm) OD with quick lock collet closure</t>
  </si>
  <si>
    <t>Productivity</t>
  </si>
  <si>
    <t xml:space="preserve">Auto‑cycle tool module returns severing bit automatically for rapid cuts</t>
  </si>
  <si>
    <t xml:space="preserve">Adjustable tool feed depth of .001″–.005″ per revolution for cut quality</t>
  </si>
  <si>
    <t xml:space="preserve">Burr Reduction</t>
  </si>
  <si>
    <t xml:space="preserve">Variable speed motor reduces ID burrs and improves tool bit life </t>
  </si>
  <si>
    <t xml:space="preserve">The SeverMASTER series tube severing machine is engineered for efficient, burr‑free cutting of tubes and thin‑wall pipe. With an auto‑cycle tool bit feed mechanism and quick‑lock collet closure, it provides repeatable severing operations with adjustable feed increments. Designed to cut tubing in the mid‑range diameter class, the SeverMASTER enhances productivity by returning the tool bit automatically to home position after each cut, reducing cycle time and maintaining clean, weld‑ready ends across a broad range of materials. </t>
  </si>
  <si>
    <t xml:space="preserve">Industrial Tube Severing Machine with Automated Cut Control</t>
  </si>
  <si>
    <t xml:space="preserve">SeverMaster 574 is a high-speed industrial pipe cutting machine engineered for burr-free, precise cuts across a wide range of pipe sizes. Its robust construction and optimized cutting geometry ensure consistent performance and reduce preparation time before welding and assembly operations.</t>
  </si>
  <si>
    <t xml:space="preserve">- Heavy-duty tube severing and squaring machine- Large capacity for mid-range tubing- Designed to accept sever modules- Industrial steel housing</t>
  </si>
  <si>
    <t xml:space="preserve">- Rapid, clean cuts and square ends- Integrated feed and torque system- Portable field service design- High productivity tool</t>
  </si>
  <si>
    <t xml:space="preserve">Order Your 574 SeverMaster</t>
  </si>
  <si>
    <t xml:space="preserve">The 574 SeverMaster is a heavy-duty pipe cutting and severing tool designed for high-volume fabrication. It delivers clean, precise cuts on pipes of various diameters, supporting fast and efficient material preparation for welding and assembly in industrial and process piping environments.</t>
  </si>
  <si>
    <t xml:space="preserve">- Q1: What is the 574 Severmaster? 
- Q2: How does the 574 Severmaster improve pipe cutting? 
- Q3: What cutting capacity does the 574 Severmaster have? 
- Q4: How does the 574 Severmaster work with tough materials? 
- Q5: Which industries use the 574 Severmaster for cutting?</t>
  </si>
  <si>
    <t xml:space="preserve">- A1: The 574 Severmaster is a heavy-duty pipe cutting tool designed for fast and efficient cutting of pipes, even in tough conditions. 
- A2: The 574 Severmaster uses high-powered motors and durable cutting blades to quickly and accurately cut through various pipe materials. 
- A3: It can handle pipes of various materials and sizes, depending on the model and blade configuration. 
- A4: The 574 Severmaster is capable of cutting through tough materials such as carbon steel, stainless steel, and alloys, making it versatile in harsh environments. 
- A5: It is commonly used in industries such as oil &amp; gas, shipbuilding, and construction, where pipe cutting needs to be fast and precise.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</si>
</sst>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sz val="11.000000"/>
      <color theme="1"/>
      <name val="Arial"/>
      <scheme val="minor"/>
    </font>
    <font>
      <b/>
      <sz val="11.000000"/>
      <color theme="1"/>
      <name val="Calibri"/>
    </font>
    <font>
      <color theme="1"/>
      <name val="Arial"/>
      <scheme val="minor"/>
    </font>
    <font>
      <sz val="11.000000"/>
      <color theme="1"/>
      <name val="Calibri"/>
    </font>
    <font>
      <u/>
      <color indexed="4"/>
    </font>
  </fonts>
  <fills count="5">
    <fill>
      <patternFill patternType="none"/>
    </fill>
    <fill>
      <patternFill patternType="gray125"/>
    </fill>
    <fill>
      <patternFill patternType="solid">
        <fgColor rgb="FFD6D6D6"/>
        <bgColor rgb="FFD6D6D6"/>
      </patternFill>
    </fill>
    <fill>
      <patternFill patternType="solid">
        <fgColor indexed="65"/>
        <bgColor indexed="65"/>
      </patternFill>
    </fill>
    <fill>
      <patternFill patternType="solid">
        <fgColor rgb="FFEFEFEF"/>
        <bgColor rgb="FFEFEFEF"/>
      </patternFill>
    </fill>
  </fills>
  <borders count="1">
    <border>
      <left style="none"/>
      <right style="none"/>
      <top style="none"/>
      <bottom style="none"/>
      <diagonal style="none"/>
    </border>
  </borders>
  <cellStyleXfs count="1">
    <xf fontId="0" fillId="0" borderId="0" numFmtId="0" applyNumberFormat="1" applyFont="1" applyFill="1" applyBorder="1"/>
  </cellStyleXfs>
  <cellXfs count="11">
    <xf fontId="0" fillId="0" borderId="0" numFmtId="0" xfId="0" applyAlignment="1">
      <alignment readingOrder="0"/>
    </xf>
    <xf fontId="1" fillId="2" borderId="0" numFmtId="0" xfId="0" applyFont="1" applyFill="1" applyAlignment="1">
      <alignment horizontal="center" vertical="center"/>
    </xf>
    <xf fontId="1" fillId="3" borderId="0" numFmtId="0" xfId="0" applyFont="1" applyFill="1" applyAlignment="1">
      <alignment horizontal="center" readingOrder="0" vertical="center"/>
    </xf>
    <xf fontId="2" fillId="0" borderId="0" numFmtId="0" xfId="0" applyFont="1"/>
    <xf fontId="2" fillId="0" borderId="0" numFmtId="0" xfId="0" applyFont="1" applyAlignment="1">
      <alignment readingOrder="0"/>
    </xf>
    <xf fontId="2" fillId="0" borderId="0" numFmtId="0" xfId="0" applyFont="1" applyAlignment="1">
      <alignment horizontal="center" readingOrder="0"/>
    </xf>
    <xf fontId="3" fillId="4" borderId="0" numFmtId="0" xfId="0" applyFont="1" applyFill="1" applyAlignment="1">
      <alignment horizontal="center" readingOrder="0" vertical="center"/>
    </xf>
    <xf fontId="2" fillId="3" borderId="0" numFmtId="0" xfId="0" applyFont="1" applyFill="1"/>
    <xf fontId="4" fillId="0" borderId="0" numFmtId="0" xfId="0" applyFont="1" applyAlignment="1">
      <alignment readingOrder="0"/>
    </xf>
    <xf fontId="2" fillId="3" borderId="0" numFmtId="0" xfId="0" applyFont="1" applyFill="1" applyAlignment="1">
      <alignment readingOrder="0"/>
    </xf>
    <xf fontId="2" fillId="3" borderId="0" numFmtId="0" xfId="0" applyFont="1" applyFill="1" applyAlignment="1">
      <alignment horizontal="center" readingOrder="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www.toolec.com.ph/products/multi-process-welders-welding-mig-flux-cored-welders/pipeworx-400-welding-system?utm_source=chatgpt.com" TargetMode="External"/><Relationship  Id="rId2" Type="http://schemas.openxmlformats.org/officeDocument/2006/relationships/hyperlink" Target="https://www.tritool.com/product-catalog/208b?utm_source=chatgpt.com" TargetMode="External"/><Relationship  Id="rId3" Type="http://schemas.openxmlformats.org/officeDocument/2006/relationships/hyperlink" Target="https://justram.com/product/300sts-tube-squaring-machine/?utm_source=chatgpt.com" TargetMode="External"/><Relationship  Id="rId4" Type="http://schemas.openxmlformats.org/officeDocument/2006/relationships/hyperlink" Target="https://isi-llc.com/product/576ac/?utm_source=chatgpt.com" TargetMode="External"/><Relationship  Id="rId5" Type="http://schemas.openxmlformats.org/officeDocument/2006/relationships/hyperlink" Target="https://pdf.directindustry.com/pdf/arc-machines-inc/model-205-the-next-generation-orbital-welding-power-supply/9246-234504.html?utm_source=chatgpt.com" TargetMode="External"/><Relationship  Id="rId6" Type="http://schemas.openxmlformats.org/officeDocument/2006/relationships/hyperlink" Target="https://www.mavin.com/pdf/AMI%20Model%20207A%20Operating%20Manual.pdf?utm_source=chatgpt.com" TargetMode="External"/><Relationship  Id="rId7" Type="http://schemas.openxmlformats.org/officeDocument/2006/relationships/hyperlink" Target="https://www.morganitech.com/wp-content/uploads/2024/05/740063-M227-Oper-Manual-Rev-E.pdf?utm_source=chatgpt.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 customHeight="1"/>
  <cols>
    <col customWidth="1" min="1" max="1" width="35"/>
    <col customWidth="1" min="2" max="2" width="45.880000000000003"/>
    <col customWidth="1" min="3" max="3" width="17.5"/>
    <col customWidth="1" min="4" max="4" width="33.75"/>
    <col customWidth="1" min="5" max="5" width="44.25"/>
    <col customWidth="1" min="6" max="45" width="17.5"/>
    <col customWidth="1" min="46" max="46" width="36.5"/>
    <col customWidth="1" min="47" max="47" width="26"/>
    <col customWidth="1" min="48" max="48" width="21.75"/>
    <col customWidth="1" min="49" max="49" width="33.380000000000003"/>
    <col customWidth="1" min="50" max="50" width="37"/>
    <col customWidth="1" min="51" max="51" width="40"/>
    <col customWidth="1" min="52" max="52" width="38.75"/>
    <col customWidth="1" min="53" max="53" width="36.75"/>
    <col customWidth="1" min="54" max="54" width="45.880000000000003"/>
    <col customWidth="1" min="55" max="55" width="40.880000000000003"/>
    <col customWidth="1" min="56" max="56" width="42.630000000000003"/>
    <col customWidth="1" min="57" max="58" width="49.5"/>
    <col customWidth="1" min="59" max="59" width="36.75"/>
    <col customWidth="1" min="60" max="78" width="17.5"/>
  </cols>
  <sheetData>
    <row r="1" ht="19.5" customHeight="1">
      <c r="A1" s="1" t="s">
        <v>0</v>
      </c>
      <c r="B1" s="1" t="s">
        <v>1</v>
      </c>
      <c r="C1" s="1" t="s">
        <v>2</v>
      </c>
      <c r="D1" s="1" t="s">
        <v>3</v>
      </c>
      <c r="E1" s="1" t="s">
        <v>4</v>
      </c>
      <c r="F1" s="1" t="s">
        <v>5</v>
      </c>
      <c r="G1" s="1" t="s">
        <v>6</v>
      </c>
      <c r="H1" s="1" t="s">
        <v>7</v>
      </c>
      <c r="I1" s="1" t="s">
        <v>8</v>
      </c>
      <c r="J1" s="1" t="s">
        <v>9</v>
      </c>
      <c r="K1" s="1" t="s">
        <v>10</v>
      </c>
      <c r="L1" s="1" t="s">
        <v>11</v>
      </c>
      <c r="M1" s="1" t="s">
        <v>10</v>
      </c>
      <c r="N1" s="1" t="s">
        <v>12</v>
      </c>
      <c r="O1" s="1" t="s">
        <v>10</v>
      </c>
      <c r="P1" s="1" t="s">
        <v>13</v>
      </c>
      <c r="Q1" s="1" t="s">
        <v>10</v>
      </c>
      <c r="R1" s="1" t="s">
        <v>14</v>
      </c>
      <c r="S1" s="1" t="s">
        <v>15</v>
      </c>
      <c r="T1" s="1" t="s">
        <v>16</v>
      </c>
      <c r="U1" s="1" t="s">
        <v>17</v>
      </c>
      <c r="V1" s="1" t="s">
        <v>18</v>
      </c>
      <c r="W1" s="1" t="s">
        <v>19</v>
      </c>
      <c r="X1" s="1" t="s">
        <v>20</v>
      </c>
      <c r="Y1" s="1" t="s">
        <v>21</v>
      </c>
      <c r="Z1" s="1" t="s">
        <v>22</v>
      </c>
      <c r="AA1" s="1" t="s">
        <v>23</v>
      </c>
      <c r="AB1" s="1" t="s">
        <v>24</v>
      </c>
      <c r="AC1" s="1" t="s">
        <v>25</v>
      </c>
      <c r="AD1" s="1" t="s">
        <v>21</v>
      </c>
      <c r="AE1" s="1" t="s">
        <v>18</v>
      </c>
      <c r="AF1" s="1" t="s">
        <v>26</v>
      </c>
      <c r="AG1" s="1" t="s">
        <v>18</v>
      </c>
      <c r="AH1" s="1" t="s">
        <v>27</v>
      </c>
      <c r="AI1" s="1" t="s">
        <v>21</v>
      </c>
      <c r="AJ1" s="1" t="s">
        <v>18</v>
      </c>
      <c r="AK1" s="1" t="s">
        <v>28</v>
      </c>
      <c r="AL1" s="1" t="s">
        <v>18</v>
      </c>
      <c r="AM1" s="1" t="s">
        <v>29</v>
      </c>
      <c r="AN1" s="1" t="s">
        <v>21</v>
      </c>
      <c r="AO1" s="1" t="s">
        <v>18</v>
      </c>
      <c r="AP1" s="1" t="s">
        <v>30</v>
      </c>
      <c r="AQ1" s="1" t="s">
        <v>31</v>
      </c>
      <c r="AR1" s="1" t="s">
        <v>32</v>
      </c>
      <c r="AS1" s="1" t="s">
        <v>33</v>
      </c>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row>
    <row r="2" ht="16.5" customHeight="1">
      <c r="A2" s="3" t="s">
        <v>34</v>
      </c>
      <c r="B2" s="3" t="s">
        <v>35</v>
      </c>
      <c r="C2" s="3" t="s">
        <v>36</v>
      </c>
      <c r="D2" s="3" t="s">
        <v>37</v>
      </c>
      <c r="E2" s="4" t="s">
        <v>38</v>
      </c>
      <c r="F2" s="3">
        <v>4455</v>
      </c>
      <c r="H2" s="5" t="str">
        <f t="shared" ref="H2:H65" si="0">IF(OR(AU2="Yes", AV2="Yes"), "Y", "N")</f>
        <v>N</v>
      </c>
      <c r="I2" s="4" t="s">
        <v>39</v>
      </c>
      <c r="J2" s="4" t="s">
        <v>40</v>
      </c>
      <c r="K2" s="4" t="s">
        <v>41</v>
      </c>
      <c r="L2" s="4" t="s">
        <v>42</v>
      </c>
      <c r="M2" s="4" t="s">
        <v>43</v>
      </c>
      <c r="N2" s="4" t="s">
        <v>44</v>
      </c>
      <c r="O2" s="4" t="s">
        <v>45</v>
      </c>
      <c r="P2" s="4" t="s">
        <v>46</v>
      </c>
      <c r="Q2" s="4" t="s">
        <v>47</v>
      </c>
      <c r="R2" s="4" t="s">
        <v>48</v>
      </c>
      <c r="S2" s="3" t="s">
        <v>49</v>
      </c>
      <c r="T2" s="5" t="str">
        <f t="shared" ref="T2:T65" si="1">IF(OR(AY2&lt;&gt;"Not Found", BA2&lt;&gt;"Not Found"), "Y", "N")</f>
        <v>Y</v>
      </c>
      <c r="U2" s="4" t="s">
        <v>50</v>
      </c>
      <c r="V2" s="4" t="s">
        <v>50</v>
      </c>
      <c r="W2" s="5" t="str">
        <f t="shared" ref="W2:W65" si="2">IF(BC2&lt;&gt;"Not Found", "Y", "N")</f>
        <v>Y</v>
      </c>
      <c r="X2" s="4" t="s">
        <v>51</v>
      </c>
      <c r="Y2" s="3" t="s">
        <v>52</v>
      </c>
      <c r="Z2" s="3" t="s">
        <v>53</v>
      </c>
      <c r="AA2" s="4" t="s">
        <v>54</v>
      </c>
      <c r="AB2" s="4" t="s">
        <v>55</v>
      </c>
      <c r="AC2" s="5" t="s">
        <v>56</v>
      </c>
      <c r="AD2" s="3" t="s">
        <v>57</v>
      </c>
      <c r="AE2" s="3" t="s">
        <v>57</v>
      </c>
      <c r="AF2" s="3" t="s">
        <v>57</v>
      </c>
      <c r="AG2" s="3" t="s">
        <v>57</v>
      </c>
      <c r="AH2" s="5" t="str">
        <f t="shared" ref="AH2:AH65" si="3">IF(BD2&lt;&gt;"Not Found", "Y", "N")</f>
        <v>Y</v>
      </c>
      <c r="AI2" s="3" t="s">
        <v>58</v>
      </c>
      <c r="AJ2" s="3" t="s">
        <v>59</v>
      </c>
      <c r="AK2" s="3" t="s">
        <v>60</v>
      </c>
      <c r="AL2" s="3" t="s">
        <v>61</v>
      </c>
      <c r="AM2" s="4" t="s">
        <v>62</v>
      </c>
      <c r="AN2" s="4" t="s">
        <v>63</v>
      </c>
      <c r="AO2" s="4" t="s">
        <v>64</v>
      </c>
      <c r="AP2" s="6">
        <v>1</v>
      </c>
      <c r="AQ2" s="3" t="s">
        <v>57</v>
      </c>
      <c r="AR2" s="3" t="s">
        <v>57</v>
      </c>
      <c r="AS2" s="3" t="s">
        <v>57</v>
      </c>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row>
    <row r="3" ht="16.5" customHeight="1">
      <c r="A3" s="3" t="s">
        <v>65</v>
      </c>
      <c r="B3" s="3" t="s">
        <v>66</v>
      </c>
      <c r="C3" s="3" t="s">
        <v>67</v>
      </c>
      <c r="D3" s="3" t="s">
        <v>37</v>
      </c>
      <c r="E3" s="4" t="s">
        <v>68</v>
      </c>
      <c r="F3" s="3">
        <v>8874</v>
      </c>
      <c r="H3" s="5" t="str">
        <f t="shared" si="0"/>
        <v>N</v>
      </c>
      <c r="I3" s="4" t="s">
        <v>69</v>
      </c>
      <c r="J3" s="4" t="s">
        <v>40</v>
      </c>
      <c r="K3" s="4" t="s">
        <v>70</v>
      </c>
      <c r="L3" s="4" t="s">
        <v>71</v>
      </c>
      <c r="M3" s="4" t="s">
        <v>72</v>
      </c>
      <c r="N3" s="4" t="s">
        <v>73</v>
      </c>
      <c r="O3" s="4" t="s">
        <v>74</v>
      </c>
      <c r="P3" s="4" t="s">
        <v>75</v>
      </c>
      <c r="Q3" s="4" t="s">
        <v>76</v>
      </c>
      <c r="R3" s="4" t="s">
        <v>77</v>
      </c>
      <c r="S3" s="3" t="s">
        <v>78</v>
      </c>
      <c r="T3" s="5" t="str">
        <f t="shared" si="1"/>
        <v>Y</v>
      </c>
      <c r="W3" s="5" t="str">
        <f t="shared" si="2"/>
        <v>Y</v>
      </c>
      <c r="X3" s="4" t="s">
        <v>51</v>
      </c>
      <c r="Y3" s="3" t="s">
        <v>79</v>
      </c>
      <c r="Z3" s="3" t="s">
        <v>80</v>
      </c>
      <c r="AA3" s="4" t="s">
        <v>81</v>
      </c>
      <c r="AB3" s="4" t="s">
        <v>82</v>
      </c>
      <c r="AC3" s="5" t="s">
        <v>56</v>
      </c>
      <c r="AH3" s="5" t="str">
        <f t="shared" si="3"/>
        <v>Y</v>
      </c>
      <c r="AI3" s="3" t="s">
        <v>83</v>
      </c>
      <c r="AJ3" s="3" t="s">
        <v>84</v>
      </c>
      <c r="AK3" s="3" t="s">
        <v>85</v>
      </c>
      <c r="AL3" s="3" t="s">
        <v>86</v>
      </c>
      <c r="AM3" s="4" t="s">
        <v>62</v>
      </c>
      <c r="AP3" s="5">
        <v>1</v>
      </c>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row>
    <row r="4" ht="16.5" customHeight="1">
      <c r="A4" s="3" t="s">
        <v>87</v>
      </c>
      <c r="B4" s="3" t="s">
        <v>88</v>
      </c>
      <c r="C4" s="3" t="s">
        <v>89</v>
      </c>
      <c r="D4" s="3" t="s">
        <v>37</v>
      </c>
      <c r="E4" s="4" t="s">
        <v>38</v>
      </c>
      <c r="F4" s="3">
        <v>3573</v>
      </c>
      <c r="H4" s="5" t="str">
        <f t="shared" si="0"/>
        <v>N</v>
      </c>
      <c r="I4" s="4" t="s">
        <v>90</v>
      </c>
      <c r="J4" s="4" t="s">
        <v>91</v>
      </c>
      <c r="K4" s="4" t="s">
        <v>92</v>
      </c>
      <c r="L4" s="4" t="s">
        <v>93</v>
      </c>
      <c r="M4" s="4" t="s">
        <v>94</v>
      </c>
      <c r="N4" s="4" t="s">
        <v>95</v>
      </c>
      <c r="O4" s="4" t="s">
        <v>96</v>
      </c>
      <c r="P4" s="4" t="s">
        <v>97</v>
      </c>
      <c r="Q4" s="4" t="s">
        <v>98</v>
      </c>
      <c r="R4" s="4" t="s">
        <v>99</v>
      </c>
      <c r="S4" s="3" t="s">
        <v>100</v>
      </c>
      <c r="T4" s="5" t="str">
        <f t="shared" si="1"/>
        <v>Y</v>
      </c>
      <c r="W4" s="5" t="str">
        <f t="shared" si="2"/>
        <v>Y</v>
      </c>
      <c r="X4" s="4" t="s">
        <v>51</v>
      </c>
      <c r="Y4" s="3" t="s">
        <v>101</v>
      </c>
      <c r="Z4" s="3" t="s">
        <v>102</v>
      </c>
      <c r="AA4" s="4" t="s">
        <v>103</v>
      </c>
      <c r="AB4" s="4" t="s">
        <v>104</v>
      </c>
      <c r="AC4" s="5" t="s">
        <v>56</v>
      </c>
      <c r="AH4" s="5" t="str">
        <f t="shared" si="3"/>
        <v>Y</v>
      </c>
      <c r="AI4" s="3" t="s">
        <v>105</v>
      </c>
      <c r="AJ4" s="3" t="s">
        <v>106</v>
      </c>
      <c r="AK4" s="3" t="s">
        <v>107</v>
      </c>
      <c r="AL4" s="3" t="s">
        <v>108</v>
      </c>
      <c r="AM4" s="4" t="s">
        <v>62</v>
      </c>
      <c r="AP4" s="5">
        <v>1</v>
      </c>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row>
    <row r="5" ht="16.5" customHeight="1">
      <c r="A5" s="3" t="s">
        <v>87</v>
      </c>
      <c r="B5" s="3" t="s">
        <v>88</v>
      </c>
      <c r="C5" s="3" t="s">
        <v>89</v>
      </c>
      <c r="D5" s="3" t="s">
        <v>37</v>
      </c>
      <c r="E5" s="4" t="s">
        <v>38</v>
      </c>
      <c r="F5" s="3">
        <v>3573</v>
      </c>
      <c r="H5" s="5" t="str">
        <f t="shared" si="0"/>
        <v>N</v>
      </c>
      <c r="I5" s="4" t="s">
        <v>90</v>
      </c>
      <c r="J5" s="4" t="s">
        <v>91</v>
      </c>
      <c r="K5" s="4" t="s">
        <v>92</v>
      </c>
      <c r="L5" s="4" t="s">
        <v>93</v>
      </c>
      <c r="M5" s="4" t="s">
        <v>94</v>
      </c>
      <c r="N5" s="4" t="s">
        <v>95</v>
      </c>
      <c r="O5" s="4" t="s">
        <v>96</v>
      </c>
      <c r="P5" s="4" t="s">
        <v>97</v>
      </c>
      <c r="Q5" s="4" t="s">
        <v>98</v>
      </c>
      <c r="R5" s="4" t="s">
        <v>99</v>
      </c>
      <c r="S5" s="3" t="s">
        <v>100</v>
      </c>
      <c r="T5" s="5" t="str">
        <f t="shared" si="1"/>
        <v>Y</v>
      </c>
      <c r="W5" s="5" t="str">
        <f t="shared" si="2"/>
        <v>Y</v>
      </c>
      <c r="X5" s="4" t="s">
        <v>51</v>
      </c>
      <c r="Y5" s="3" t="s">
        <v>101</v>
      </c>
      <c r="Z5" s="3" t="s">
        <v>102</v>
      </c>
      <c r="AA5" s="4" t="s">
        <v>103</v>
      </c>
      <c r="AB5" s="4" t="s">
        <v>104</v>
      </c>
      <c r="AC5" s="5" t="s">
        <v>56</v>
      </c>
      <c r="AH5" s="5" t="str">
        <f t="shared" si="3"/>
        <v>Y</v>
      </c>
      <c r="AI5" s="3" t="s">
        <v>105</v>
      </c>
      <c r="AJ5" s="3" t="s">
        <v>106</v>
      </c>
      <c r="AK5" s="3" t="s">
        <v>107</v>
      </c>
      <c r="AL5" s="3" t="s">
        <v>108</v>
      </c>
      <c r="AM5" s="4" t="s">
        <v>62</v>
      </c>
      <c r="AP5" s="5">
        <v>1</v>
      </c>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row>
    <row r="6" ht="16.5" customHeight="1">
      <c r="A6" s="3" t="s">
        <v>109</v>
      </c>
      <c r="B6" s="3" t="s">
        <v>110</v>
      </c>
      <c r="C6" s="3" t="s">
        <v>111</v>
      </c>
      <c r="D6" s="3" t="s">
        <v>37</v>
      </c>
      <c r="E6" s="4" t="s">
        <v>38</v>
      </c>
      <c r="F6" s="3">
        <v>7189</v>
      </c>
      <c r="H6" s="5" t="str">
        <f t="shared" si="0"/>
        <v>N</v>
      </c>
      <c r="I6" s="4" t="s">
        <v>112</v>
      </c>
      <c r="J6" s="4" t="s">
        <v>91</v>
      </c>
      <c r="K6" s="4" t="s">
        <v>113</v>
      </c>
      <c r="L6" s="4" t="s">
        <v>114</v>
      </c>
      <c r="M6" s="4" t="s">
        <v>115</v>
      </c>
      <c r="N6" s="4" t="s">
        <v>116</v>
      </c>
      <c r="O6" s="4" t="s">
        <v>117</v>
      </c>
      <c r="P6" s="4" t="s">
        <v>118</v>
      </c>
      <c r="Q6" s="4" t="s">
        <v>119</v>
      </c>
      <c r="R6" s="4" t="s">
        <v>120</v>
      </c>
      <c r="S6" s="3" t="s">
        <v>121</v>
      </c>
      <c r="T6" s="5" t="str">
        <f t="shared" si="1"/>
        <v>Y</v>
      </c>
      <c r="W6" s="5" t="str">
        <f t="shared" si="2"/>
        <v>Y</v>
      </c>
      <c r="X6" s="4" t="s">
        <v>51</v>
      </c>
      <c r="Y6" s="3" t="s">
        <v>122</v>
      </c>
      <c r="Z6" s="3" t="s">
        <v>123</v>
      </c>
      <c r="AA6" s="4" t="s">
        <v>124</v>
      </c>
      <c r="AB6" s="4" t="s">
        <v>125</v>
      </c>
      <c r="AC6" s="5" t="s">
        <v>56</v>
      </c>
      <c r="AH6" s="5" t="str">
        <f t="shared" si="3"/>
        <v>Y</v>
      </c>
      <c r="AI6" s="3" t="s">
        <v>126</v>
      </c>
      <c r="AJ6" s="3" t="s">
        <v>127</v>
      </c>
      <c r="AK6" s="3" t="s">
        <v>128</v>
      </c>
      <c r="AL6" s="3" t="s">
        <v>129</v>
      </c>
      <c r="AM6" s="4" t="s">
        <v>62</v>
      </c>
      <c r="AP6" s="5">
        <v>1</v>
      </c>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row>
    <row r="7" ht="16.5" customHeight="1">
      <c r="A7" s="3" t="s">
        <v>109</v>
      </c>
      <c r="B7" s="3" t="s">
        <v>110</v>
      </c>
      <c r="C7" s="3" t="s">
        <v>111</v>
      </c>
      <c r="D7" s="3" t="s">
        <v>37</v>
      </c>
      <c r="E7" s="4" t="s">
        <v>38</v>
      </c>
      <c r="F7" s="3">
        <v>7189</v>
      </c>
      <c r="H7" s="5" t="str">
        <f t="shared" si="0"/>
        <v>N</v>
      </c>
      <c r="I7" s="4" t="s">
        <v>112</v>
      </c>
      <c r="J7" s="4" t="s">
        <v>91</v>
      </c>
      <c r="K7" s="4" t="s">
        <v>113</v>
      </c>
      <c r="L7" s="4" t="s">
        <v>114</v>
      </c>
      <c r="M7" s="4" t="s">
        <v>115</v>
      </c>
      <c r="N7" s="4" t="s">
        <v>116</v>
      </c>
      <c r="O7" s="4" t="s">
        <v>117</v>
      </c>
      <c r="P7" s="4" t="s">
        <v>118</v>
      </c>
      <c r="Q7" s="4" t="s">
        <v>119</v>
      </c>
      <c r="R7" s="4" t="s">
        <v>120</v>
      </c>
      <c r="S7" s="3" t="s">
        <v>121</v>
      </c>
      <c r="T7" s="5" t="str">
        <f t="shared" si="1"/>
        <v>Y</v>
      </c>
      <c r="W7" s="5" t="str">
        <f t="shared" si="2"/>
        <v>Y</v>
      </c>
      <c r="X7" s="4" t="s">
        <v>51</v>
      </c>
      <c r="Y7" s="3" t="s">
        <v>122</v>
      </c>
      <c r="Z7" s="3" t="s">
        <v>123</v>
      </c>
      <c r="AA7" s="4" t="s">
        <v>124</v>
      </c>
      <c r="AB7" s="4" t="s">
        <v>125</v>
      </c>
      <c r="AC7" s="5" t="s">
        <v>56</v>
      </c>
      <c r="AH7" s="5" t="str">
        <f t="shared" si="3"/>
        <v>Y</v>
      </c>
      <c r="AI7" s="3" t="s">
        <v>126</v>
      </c>
      <c r="AJ7" s="3" t="s">
        <v>127</v>
      </c>
      <c r="AK7" s="3" t="s">
        <v>128</v>
      </c>
      <c r="AL7" s="3" t="s">
        <v>129</v>
      </c>
      <c r="AM7" s="4" t="s">
        <v>62</v>
      </c>
      <c r="AP7" s="5">
        <v>1</v>
      </c>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row>
    <row r="8" ht="16.5" customHeight="1">
      <c r="A8" s="3" t="s">
        <v>130</v>
      </c>
      <c r="B8" s="3" t="s">
        <v>131</v>
      </c>
      <c r="C8" s="3" t="s">
        <v>132</v>
      </c>
      <c r="D8" s="3" t="s">
        <v>37</v>
      </c>
      <c r="E8" s="4" t="s">
        <v>133</v>
      </c>
      <c r="F8" s="3">
        <v>3588</v>
      </c>
      <c r="H8" s="5" t="str">
        <f t="shared" si="0"/>
        <v>N</v>
      </c>
      <c r="I8" s="4" t="s">
        <v>134</v>
      </c>
      <c r="J8" s="4" t="s">
        <v>135</v>
      </c>
      <c r="K8" s="4" t="s">
        <v>136</v>
      </c>
      <c r="L8" s="4" t="s">
        <v>137</v>
      </c>
      <c r="M8" s="4" t="s">
        <v>138</v>
      </c>
      <c r="N8" s="4" t="s">
        <v>139</v>
      </c>
      <c r="O8" s="4" t="s">
        <v>140</v>
      </c>
      <c r="P8" s="4" t="s">
        <v>141</v>
      </c>
      <c r="Q8" s="4" t="s">
        <v>142</v>
      </c>
      <c r="R8" s="4" t="s">
        <v>143</v>
      </c>
      <c r="S8" s="3" t="s">
        <v>144</v>
      </c>
      <c r="T8" s="5" t="str">
        <f t="shared" si="1"/>
        <v>Y</v>
      </c>
      <c r="W8" s="5" t="str">
        <f t="shared" si="2"/>
        <v>Y</v>
      </c>
      <c r="X8" s="4" t="s">
        <v>51</v>
      </c>
      <c r="Y8" s="3" t="s">
        <v>145</v>
      </c>
      <c r="Z8" s="3" t="s">
        <v>146</v>
      </c>
      <c r="AA8" s="4" t="s">
        <v>147</v>
      </c>
      <c r="AB8" s="4" t="s">
        <v>148</v>
      </c>
      <c r="AC8" s="5" t="s">
        <v>56</v>
      </c>
      <c r="AH8" s="5" t="str">
        <f t="shared" si="3"/>
        <v>Y</v>
      </c>
      <c r="AI8" s="3" t="s">
        <v>149</v>
      </c>
      <c r="AJ8" s="3" t="s">
        <v>150</v>
      </c>
      <c r="AK8" s="3" t="s">
        <v>151</v>
      </c>
      <c r="AL8" s="3" t="s">
        <v>152</v>
      </c>
      <c r="AM8" s="4" t="s">
        <v>62</v>
      </c>
      <c r="AP8" s="5">
        <v>1</v>
      </c>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row>
    <row r="9" ht="16.5" customHeight="1">
      <c r="A9" s="3" t="s">
        <v>153</v>
      </c>
      <c r="B9" s="3" t="s">
        <v>154</v>
      </c>
      <c r="C9" s="3" t="s">
        <v>155</v>
      </c>
      <c r="D9" s="3" t="s">
        <v>37</v>
      </c>
      <c r="E9" s="4" t="s">
        <v>38</v>
      </c>
      <c r="F9" s="3">
        <v>8869</v>
      </c>
      <c r="H9" s="5" t="str">
        <f t="shared" si="0"/>
        <v>N</v>
      </c>
      <c r="I9" s="4" t="s">
        <v>156</v>
      </c>
      <c r="J9" s="4" t="s">
        <v>157</v>
      </c>
      <c r="K9" s="4" t="s">
        <v>158</v>
      </c>
      <c r="L9" s="4" t="s">
        <v>159</v>
      </c>
      <c r="M9" s="4" t="s">
        <v>160</v>
      </c>
      <c r="N9" s="4" t="s">
        <v>161</v>
      </c>
      <c r="O9" s="4" t="s">
        <v>162</v>
      </c>
      <c r="P9" s="4" t="s">
        <v>163</v>
      </c>
      <c r="Q9" s="4" t="s">
        <v>164</v>
      </c>
      <c r="R9" s="4" t="s">
        <v>165</v>
      </c>
      <c r="S9" s="3" t="s">
        <v>166</v>
      </c>
      <c r="T9" s="5" t="str">
        <f t="shared" si="1"/>
        <v>Y</v>
      </c>
      <c r="W9" s="5" t="str">
        <f t="shared" si="2"/>
        <v>Y</v>
      </c>
      <c r="X9" s="4" t="s">
        <v>51</v>
      </c>
      <c r="Y9" s="3" t="s">
        <v>167</v>
      </c>
      <c r="Z9" s="3" t="s">
        <v>168</v>
      </c>
      <c r="AA9" s="4" t="s">
        <v>169</v>
      </c>
      <c r="AB9" s="4" t="s">
        <v>170</v>
      </c>
      <c r="AC9" s="5" t="s">
        <v>56</v>
      </c>
      <c r="AH9" s="5" t="str">
        <f t="shared" si="3"/>
        <v>Y</v>
      </c>
      <c r="AI9" s="3" t="s">
        <v>171</v>
      </c>
      <c r="AJ9" s="3" t="s">
        <v>172</v>
      </c>
      <c r="AK9" s="3" t="s">
        <v>173</v>
      </c>
      <c r="AL9" s="3" t="s">
        <v>174</v>
      </c>
      <c r="AM9" s="4" t="s">
        <v>62</v>
      </c>
      <c r="AP9" s="5">
        <v>1</v>
      </c>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row>
    <row r="10" ht="16.5" customHeight="1">
      <c r="A10" s="3" t="s">
        <v>153</v>
      </c>
      <c r="B10" s="3" t="s">
        <v>154</v>
      </c>
      <c r="C10" s="3" t="s">
        <v>155</v>
      </c>
      <c r="D10" s="3" t="s">
        <v>37</v>
      </c>
      <c r="E10" s="4" t="s">
        <v>38</v>
      </c>
      <c r="F10" s="3">
        <v>8869</v>
      </c>
      <c r="H10" s="5" t="str">
        <f t="shared" si="0"/>
        <v>N</v>
      </c>
      <c r="I10" s="4" t="s">
        <v>156</v>
      </c>
      <c r="J10" s="4" t="s">
        <v>157</v>
      </c>
      <c r="K10" s="4" t="s">
        <v>158</v>
      </c>
      <c r="L10" s="4" t="s">
        <v>159</v>
      </c>
      <c r="M10" s="4" t="s">
        <v>160</v>
      </c>
      <c r="N10" s="4" t="s">
        <v>161</v>
      </c>
      <c r="O10" s="4" t="s">
        <v>162</v>
      </c>
      <c r="P10" s="4" t="s">
        <v>163</v>
      </c>
      <c r="Q10" s="4" t="s">
        <v>164</v>
      </c>
      <c r="R10" s="4" t="s">
        <v>165</v>
      </c>
      <c r="S10" s="3" t="s">
        <v>166</v>
      </c>
      <c r="T10" s="5" t="str">
        <f t="shared" si="1"/>
        <v>Y</v>
      </c>
      <c r="W10" s="5" t="str">
        <f t="shared" si="2"/>
        <v>Y</v>
      </c>
      <c r="X10" s="4" t="s">
        <v>51</v>
      </c>
      <c r="Y10" s="3" t="s">
        <v>167</v>
      </c>
      <c r="Z10" s="3" t="s">
        <v>168</v>
      </c>
      <c r="AA10" s="4" t="s">
        <v>169</v>
      </c>
      <c r="AB10" s="4" t="s">
        <v>170</v>
      </c>
      <c r="AC10" s="5" t="s">
        <v>56</v>
      </c>
      <c r="AH10" s="5" t="str">
        <f t="shared" si="3"/>
        <v>Y</v>
      </c>
      <c r="AI10" s="3" t="s">
        <v>171</v>
      </c>
      <c r="AJ10" s="3" t="s">
        <v>172</v>
      </c>
      <c r="AK10" s="3" t="s">
        <v>173</v>
      </c>
      <c r="AL10" s="3" t="s">
        <v>174</v>
      </c>
      <c r="AM10" s="4" t="s">
        <v>62</v>
      </c>
      <c r="AP10" s="5">
        <v>1</v>
      </c>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row>
    <row r="11" ht="16.5" customHeight="1">
      <c r="A11" s="3" t="s">
        <v>175</v>
      </c>
      <c r="B11" s="3" t="s">
        <v>176</v>
      </c>
      <c r="C11" s="3" t="s">
        <v>177</v>
      </c>
      <c r="D11" s="3" t="s">
        <v>37</v>
      </c>
      <c r="E11" s="4" t="s">
        <v>38</v>
      </c>
      <c r="F11" s="3">
        <v>10243</v>
      </c>
      <c r="H11" s="5" t="str">
        <f t="shared" si="0"/>
        <v>N</v>
      </c>
      <c r="I11" s="4" t="s">
        <v>178</v>
      </c>
      <c r="J11" s="4" t="s">
        <v>179</v>
      </c>
      <c r="K11" s="4" t="s">
        <v>180</v>
      </c>
      <c r="L11" s="4" t="s">
        <v>157</v>
      </c>
      <c r="M11" s="4" t="s">
        <v>158</v>
      </c>
      <c r="N11" s="4" t="s">
        <v>161</v>
      </c>
      <c r="O11" s="4" t="s">
        <v>162</v>
      </c>
      <c r="P11" s="4" t="s">
        <v>163</v>
      </c>
      <c r="Q11" s="4" t="s">
        <v>164</v>
      </c>
      <c r="R11" s="4" t="s">
        <v>181</v>
      </c>
      <c r="S11" s="3" t="s">
        <v>182</v>
      </c>
      <c r="T11" s="5" t="str">
        <f t="shared" si="1"/>
        <v>Y</v>
      </c>
      <c r="W11" s="5" t="str">
        <f t="shared" si="2"/>
        <v>Y</v>
      </c>
      <c r="X11" s="4" t="s">
        <v>51</v>
      </c>
      <c r="Y11" s="3" t="s">
        <v>183</v>
      </c>
      <c r="Z11" s="3" t="s">
        <v>184</v>
      </c>
      <c r="AA11" s="4" t="s">
        <v>185</v>
      </c>
      <c r="AB11" s="4" t="s">
        <v>186</v>
      </c>
      <c r="AC11" s="5" t="s">
        <v>56</v>
      </c>
      <c r="AH11" s="5" t="str">
        <f t="shared" si="3"/>
        <v>Y</v>
      </c>
      <c r="AI11" s="3" t="s">
        <v>187</v>
      </c>
      <c r="AJ11" s="3" t="s">
        <v>188</v>
      </c>
      <c r="AK11" s="3" t="s">
        <v>189</v>
      </c>
      <c r="AL11" s="3" t="s">
        <v>190</v>
      </c>
      <c r="AM11" s="4" t="s">
        <v>62</v>
      </c>
      <c r="AP11" s="5">
        <v>1</v>
      </c>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row>
    <row r="12" ht="16.5" customHeight="1">
      <c r="A12" s="3" t="s">
        <v>175</v>
      </c>
      <c r="B12" s="3" t="s">
        <v>176</v>
      </c>
      <c r="C12" s="3" t="s">
        <v>177</v>
      </c>
      <c r="D12" s="3" t="s">
        <v>37</v>
      </c>
      <c r="E12" s="4" t="s">
        <v>38</v>
      </c>
      <c r="F12" s="3">
        <v>10243</v>
      </c>
      <c r="H12" s="5" t="str">
        <f t="shared" si="0"/>
        <v>N</v>
      </c>
      <c r="I12" s="4" t="s">
        <v>178</v>
      </c>
      <c r="J12" s="4" t="s">
        <v>179</v>
      </c>
      <c r="K12" s="4" t="s">
        <v>180</v>
      </c>
      <c r="L12" s="4" t="s">
        <v>157</v>
      </c>
      <c r="M12" s="4" t="s">
        <v>158</v>
      </c>
      <c r="N12" s="4" t="s">
        <v>161</v>
      </c>
      <c r="O12" s="4" t="s">
        <v>162</v>
      </c>
      <c r="P12" s="4" t="s">
        <v>163</v>
      </c>
      <c r="Q12" s="4" t="s">
        <v>164</v>
      </c>
      <c r="R12" s="4" t="s">
        <v>181</v>
      </c>
      <c r="S12" s="3" t="s">
        <v>182</v>
      </c>
      <c r="T12" s="5" t="str">
        <f t="shared" si="1"/>
        <v>Y</v>
      </c>
      <c r="W12" s="5" t="str">
        <f t="shared" si="2"/>
        <v>Y</v>
      </c>
      <c r="X12" s="4" t="s">
        <v>51</v>
      </c>
      <c r="Y12" s="3" t="s">
        <v>183</v>
      </c>
      <c r="Z12" s="3" t="s">
        <v>184</v>
      </c>
      <c r="AA12" s="4" t="s">
        <v>185</v>
      </c>
      <c r="AB12" s="4" t="s">
        <v>186</v>
      </c>
      <c r="AC12" s="5" t="s">
        <v>56</v>
      </c>
      <c r="AH12" s="5" t="str">
        <f t="shared" si="3"/>
        <v>Y</v>
      </c>
      <c r="AI12" s="3" t="s">
        <v>187</v>
      </c>
      <c r="AJ12" s="3" t="s">
        <v>188</v>
      </c>
      <c r="AK12" s="3" t="s">
        <v>189</v>
      </c>
      <c r="AL12" s="3" t="s">
        <v>190</v>
      </c>
      <c r="AM12" s="4" t="s">
        <v>62</v>
      </c>
      <c r="AP12" s="5">
        <v>1</v>
      </c>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row>
    <row r="13" ht="16.5" customHeight="1">
      <c r="A13" s="3" t="s">
        <v>191</v>
      </c>
      <c r="B13" s="3" t="s">
        <v>192</v>
      </c>
      <c r="C13" s="3" t="s">
        <v>193</v>
      </c>
      <c r="D13" s="3" t="s">
        <v>37</v>
      </c>
      <c r="E13" s="4" t="s">
        <v>133</v>
      </c>
      <c r="F13" s="3">
        <v>8870</v>
      </c>
      <c r="H13" s="5" t="str">
        <f t="shared" si="0"/>
        <v>N</v>
      </c>
      <c r="I13" s="4" t="s">
        <v>194</v>
      </c>
      <c r="J13" s="4" t="s">
        <v>135</v>
      </c>
      <c r="K13" s="4" t="s">
        <v>195</v>
      </c>
      <c r="L13" s="4" t="s">
        <v>196</v>
      </c>
      <c r="M13" s="4" t="s">
        <v>197</v>
      </c>
      <c r="N13" s="4" t="s">
        <v>198</v>
      </c>
      <c r="O13" s="4" t="s">
        <v>199</v>
      </c>
      <c r="P13" s="4" t="s">
        <v>200</v>
      </c>
      <c r="Q13" s="4" t="s">
        <v>201</v>
      </c>
      <c r="R13" s="4" t="s">
        <v>202</v>
      </c>
      <c r="S13" s="3" t="s">
        <v>203</v>
      </c>
      <c r="T13" s="5" t="str">
        <f t="shared" si="1"/>
        <v>Y</v>
      </c>
      <c r="W13" s="5" t="str">
        <f t="shared" si="2"/>
        <v>Y</v>
      </c>
      <c r="X13" s="4" t="s">
        <v>51</v>
      </c>
      <c r="Y13" s="3" t="s">
        <v>204</v>
      </c>
      <c r="Z13" s="3" t="s">
        <v>205</v>
      </c>
      <c r="AA13" s="4" t="s">
        <v>206</v>
      </c>
      <c r="AB13" s="4" t="s">
        <v>207</v>
      </c>
      <c r="AC13" s="5" t="s">
        <v>56</v>
      </c>
      <c r="AH13" s="5" t="str">
        <f t="shared" si="3"/>
        <v>Y</v>
      </c>
      <c r="AI13" s="3" t="s">
        <v>208</v>
      </c>
      <c r="AJ13" s="3" t="s">
        <v>209</v>
      </c>
      <c r="AK13" s="3" t="s">
        <v>210</v>
      </c>
      <c r="AL13" s="3" t="s">
        <v>211</v>
      </c>
      <c r="AM13" s="4" t="s">
        <v>62</v>
      </c>
      <c r="AP13" s="5">
        <v>1</v>
      </c>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row>
    <row r="14" ht="16.5" customHeight="1">
      <c r="A14" s="3" t="s">
        <v>212</v>
      </c>
      <c r="B14" s="3" t="s">
        <v>213</v>
      </c>
      <c r="C14" s="3" t="s">
        <v>214</v>
      </c>
      <c r="D14" s="3" t="s">
        <v>37</v>
      </c>
      <c r="E14" s="4" t="s">
        <v>38</v>
      </c>
      <c r="F14" s="3">
        <v>2851</v>
      </c>
      <c r="H14" s="5" t="str">
        <f t="shared" si="0"/>
        <v>N</v>
      </c>
      <c r="I14" s="4" t="s">
        <v>215</v>
      </c>
      <c r="J14" s="4" t="s">
        <v>216</v>
      </c>
      <c r="K14" s="4" t="s">
        <v>217</v>
      </c>
      <c r="L14" s="4" t="s">
        <v>218</v>
      </c>
      <c r="M14" s="4" t="s">
        <v>219</v>
      </c>
      <c r="N14" s="4" t="s">
        <v>220</v>
      </c>
      <c r="O14" s="4" t="s">
        <v>221</v>
      </c>
      <c r="P14" s="4" t="s">
        <v>222</v>
      </c>
      <c r="Q14" s="4" t="s">
        <v>223</v>
      </c>
      <c r="R14" s="4" t="s">
        <v>224</v>
      </c>
      <c r="S14" s="3" t="s">
        <v>225</v>
      </c>
      <c r="T14" s="5" t="str">
        <f t="shared" si="1"/>
        <v>Y</v>
      </c>
      <c r="W14" s="5" t="str">
        <f t="shared" si="2"/>
        <v>Y</v>
      </c>
      <c r="X14" s="4" t="s">
        <v>51</v>
      </c>
      <c r="Y14" s="3" t="s">
        <v>226</v>
      </c>
      <c r="Z14" s="3" t="s">
        <v>227</v>
      </c>
      <c r="AA14" s="4" t="s">
        <v>228</v>
      </c>
      <c r="AB14" s="4" t="s">
        <v>229</v>
      </c>
      <c r="AC14" s="5" t="s">
        <v>56</v>
      </c>
      <c r="AH14" s="5" t="str">
        <f t="shared" si="3"/>
        <v>Y</v>
      </c>
      <c r="AI14" s="3" t="s">
        <v>230</v>
      </c>
      <c r="AJ14" s="3" t="s">
        <v>231</v>
      </c>
      <c r="AK14" s="3" t="s">
        <v>232</v>
      </c>
      <c r="AL14" s="3" t="s">
        <v>233</v>
      </c>
      <c r="AM14" s="4" t="s">
        <v>62</v>
      </c>
      <c r="AP14" s="5">
        <v>1</v>
      </c>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row>
    <row r="15" ht="16.5" customHeight="1">
      <c r="A15" s="3" t="s">
        <v>212</v>
      </c>
      <c r="B15" s="3" t="s">
        <v>213</v>
      </c>
      <c r="C15" s="3" t="s">
        <v>214</v>
      </c>
      <c r="D15" s="3" t="s">
        <v>37</v>
      </c>
      <c r="E15" s="4" t="s">
        <v>38</v>
      </c>
      <c r="F15" s="3">
        <v>2851</v>
      </c>
      <c r="H15" s="5" t="str">
        <f t="shared" si="0"/>
        <v>N</v>
      </c>
      <c r="I15" s="4" t="s">
        <v>215</v>
      </c>
      <c r="J15" s="4" t="s">
        <v>216</v>
      </c>
      <c r="K15" s="4" t="s">
        <v>217</v>
      </c>
      <c r="L15" s="4" t="s">
        <v>218</v>
      </c>
      <c r="M15" s="4" t="s">
        <v>219</v>
      </c>
      <c r="N15" s="4" t="s">
        <v>220</v>
      </c>
      <c r="O15" s="4" t="s">
        <v>221</v>
      </c>
      <c r="P15" s="4" t="s">
        <v>222</v>
      </c>
      <c r="Q15" s="4" t="s">
        <v>223</v>
      </c>
      <c r="R15" s="4" t="s">
        <v>224</v>
      </c>
      <c r="S15" s="3" t="s">
        <v>225</v>
      </c>
      <c r="T15" s="5" t="str">
        <f t="shared" si="1"/>
        <v>Y</v>
      </c>
      <c r="W15" s="5" t="str">
        <f t="shared" si="2"/>
        <v>Y</v>
      </c>
      <c r="X15" s="4" t="s">
        <v>51</v>
      </c>
      <c r="Y15" s="3" t="s">
        <v>226</v>
      </c>
      <c r="Z15" s="3" t="s">
        <v>227</v>
      </c>
      <c r="AA15" s="4" t="s">
        <v>228</v>
      </c>
      <c r="AB15" s="4" t="s">
        <v>229</v>
      </c>
      <c r="AC15" s="5" t="s">
        <v>56</v>
      </c>
      <c r="AH15" s="5" t="str">
        <f t="shared" si="3"/>
        <v>Y</v>
      </c>
      <c r="AI15" s="3" t="s">
        <v>230</v>
      </c>
      <c r="AJ15" s="3" t="s">
        <v>231</v>
      </c>
      <c r="AK15" s="3" t="s">
        <v>232</v>
      </c>
      <c r="AL15" s="3" t="s">
        <v>233</v>
      </c>
      <c r="AM15" s="4" t="s">
        <v>62</v>
      </c>
      <c r="AP15" s="5">
        <v>1</v>
      </c>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row>
    <row r="16" ht="16.5" customHeight="1">
      <c r="A16" s="3" t="s">
        <v>234</v>
      </c>
      <c r="B16" s="3" t="s">
        <v>235</v>
      </c>
      <c r="C16" s="3" t="s">
        <v>236</v>
      </c>
      <c r="D16" s="3" t="s">
        <v>37</v>
      </c>
      <c r="E16" s="4" t="s">
        <v>237</v>
      </c>
      <c r="F16" s="3">
        <v>6501</v>
      </c>
      <c r="H16" s="5" t="str">
        <f t="shared" si="0"/>
        <v>N</v>
      </c>
      <c r="I16" s="4" t="s">
        <v>238</v>
      </c>
      <c r="J16" s="4" t="s">
        <v>239</v>
      </c>
      <c r="K16" s="4" t="s">
        <v>240</v>
      </c>
      <c r="L16" s="4" t="s">
        <v>241</v>
      </c>
      <c r="M16" s="4" t="s">
        <v>242</v>
      </c>
      <c r="N16" s="4" t="s">
        <v>243</v>
      </c>
      <c r="O16" s="4" t="s">
        <v>244</v>
      </c>
      <c r="P16" s="4" t="s">
        <v>245</v>
      </c>
      <c r="Q16" s="4" t="s">
        <v>246</v>
      </c>
      <c r="R16" s="4" t="s">
        <v>247</v>
      </c>
      <c r="S16" s="3" t="s">
        <v>248</v>
      </c>
      <c r="T16" s="5" t="str">
        <f t="shared" si="1"/>
        <v>Y</v>
      </c>
      <c r="W16" s="5" t="str">
        <f t="shared" si="2"/>
        <v>Y</v>
      </c>
      <c r="X16" s="4" t="s">
        <v>51</v>
      </c>
      <c r="Y16" s="3" t="s">
        <v>249</v>
      </c>
      <c r="Z16" s="3" t="s">
        <v>250</v>
      </c>
      <c r="AA16" s="4" t="s">
        <v>251</v>
      </c>
      <c r="AB16" s="4" t="s">
        <v>252</v>
      </c>
      <c r="AC16" s="5" t="s">
        <v>56</v>
      </c>
      <c r="AH16" s="5" t="str">
        <f t="shared" si="3"/>
        <v>Y</v>
      </c>
      <c r="AI16" s="3" t="s">
        <v>253</v>
      </c>
      <c r="AJ16" s="3" t="s">
        <v>254</v>
      </c>
      <c r="AK16" s="3" t="s">
        <v>255</v>
      </c>
      <c r="AL16" s="3" t="s">
        <v>256</v>
      </c>
      <c r="AM16" s="4" t="s">
        <v>62</v>
      </c>
      <c r="AP16" s="5">
        <v>1</v>
      </c>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row>
    <row r="17" ht="16.5" customHeight="1">
      <c r="A17" s="3" t="s">
        <v>257</v>
      </c>
      <c r="B17" s="3" t="s">
        <v>258</v>
      </c>
      <c r="C17" s="3" t="s">
        <v>259</v>
      </c>
      <c r="D17" s="3" t="s">
        <v>37</v>
      </c>
      <c r="E17" s="4" t="s">
        <v>237</v>
      </c>
      <c r="F17" s="3">
        <v>9321</v>
      </c>
      <c r="H17" s="5" t="str">
        <f t="shared" si="0"/>
        <v>N</v>
      </c>
      <c r="I17" s="4" t="s">
        <v>260</v>
      </c>
      <c r="J17" s="4" t="s">
        <v>261</v>
      </c>
      <c r="K17" s="4" t="s">
        <v>262</v>
      </c>
      <c r="L17" s="4" t="s">
        <v>263</v>
      </c>
      <c r="M17" s="4" t="s">
        <v>264</v>
      </c>
      <c r="N17" s="4" t="s">
        <v>265</v>
      </c>
      <c r="O17" s="4" t="s">
        <v>266</v>
      </c>
      <c r="P17" s="4" t="s">
        <v>267</v>
      </c>
      <c r="Q17" s="4" t="s">
        <v>268</v>
      </c>
      <c r="R17" s="4" t="s">
        <v>269</v>
      </c>
      <c r="S17" s="3" t="s">
        <v>270</v>
      </c>
      <c r="T17" s="5" t="str">
        <f t="shared" si="1"/>
        <v>Y</v>
      </c>
      <c r="W17" s="5" t="str">
        <f t="shared" si="2"/>
        <v>Y</v>
      </c>
      <c r="X17" s="4" t="s">
        <v>51</v>
      </c>
      <c r="Y17" s="3" t="s">
        <v>271</v>
      </c>
      <c r="Z17" s="3" t="s">
        <v>272</v>
      </c>
      <c r="AA17" s="4" t="s">
        <v>273</v>
      </c>
      <c r="AB17" s="4" t="s">
        <v>274</v>
      </c>
      <c r="AC17" s="5" t="s">
        <v>56</v>
      </c>
      <c r="AH17" s="5" t="str">
        <f t="shared" si="3"/>
        <v>Y</v>
      </c>
      <c r="AI17" s="3" t="s">
        <v>275</v>
      </c>
      <c r="AJ17" s="3" t="s">
        <v>276</v>
      </c>
      <c r="AK17" s="3" t="s">
        <v>277</v>
      </c>
      <c r="AL17" s="3" t="s">
        <v>278</v>
      </c>
      <c r="AM17" s="4" t="s">
        <v>62</v>
      </c>
      <c r="AP17" s="5">
        <v>1</v>
      </c>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row>
    <row r="18" ht="16.5" customHeight="1">
      <c r="A18" s="3" t="s">
        <v>257</v>
      </c>
      <c r="B18" s="3" t="s">
        <v>258</v>
      </c>
      <c r="C18" s="3" t="s">
        <v>259</v>
      </c>
      <c r="D18" s="3" t="s">
        <v>37</v>
      </c>
      <c r="E18" s="4" t="s">
        <v>237</v>
      </c>
      <c r="F18" s="3">
        <v>9321</v>
      </c>
      <c r="H18" s="5" t="str">
        <f t="shared" si="0"/>
        <v>N</v>
      </c>
      <c r="I18" s="4" t="s">
        <v>260</v>
      </c>
      <c r="J18" s="4" t="s">
        <v>261</v>
      </c>
      <c r="K18" s="4" t="s">
        <v>262</v>
      </c>
      <c r="L18" s="4" t="s">
        <v>263</v>
      </c>
      <c r="M18" s="4" t="s">
        <v>264</v>
      </c>
      <c r="N18" s="4" t="s">
        <v>265</v>
      </c>
      <c r="O18" s="4" t="s">
        <v>266</v>
      </c>
      <c r="P18" s="4" t="s">
        <v>267</v>
      </c>
      <c r="Q18" s="4" t="s">
        <v>268</v>
      </c>
      <c r="R18" s="4" t="s">
        <v>279</v>
      </c>
      <c r="S18" s="3" t="s">
        <v>270</v>
      </c>
      <c r="T18" s="5" t="str">
        <f t="shared" si="1"/>
        <v>Y</v>
      </c>
      <c r="W18" s="5" t="str">
        <f t="shared" si="2"/>
        <v>Y</v>
      </c>
      <c r="X18" s="4" t="s">
        <v>51</v>
      </c>
      <c r="Y18" s="3" t="s">
        <v>271</v>
      </c>
      <c r="Z18" s="3" t="s">
        <v>272</v>
      </c>
      <c r="AA18" s="4" t="s">
        <v>273</v>
      </c>
      <c r="AB18" s="4" t="s">
        <v>274</v>
      </c>
      <c r="AC18" s="5" t="s">
        <v>56</v>
      </c>
      <c r="AH18" s="5" t="str">
        <f t="shared" si="3"/>
        <v>Y</v>
      </c>
      <c r="AI18" s="3" t="s">
        <v>275</v>
      </c>
      <c r="AJ18" s="3" t="s">
        <v>276</v>
      </c>
      <c r="AK18" s="3" t="s">
        <v>277</v>
      </c>
      <c r="AL18" s="3" t="s">
        <v>278</v>
      </c>
      <c r="AM18" s="4" t="s">
        <v>62</v>
      </c>
      <c r="AP18" s="5">
        <v>1</v>
      </c>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row>
    <row r="19" ht="16.5" customHeight="1">
      <c r="A19" s="3" t="s">
        <v>280</v>
      </c>
      <c r="B19" s="3" t="s">
        <v>281</v>
      </c>
      <c r="C19" s="3" t="s">
        <v>282</v>
      </c>
      <c r="D19" s="3" t="s">
        <v>37</v>
      </c>
      <c r="E19" s="4" t="s">
        <v>237</v>
      </c>
      <c r="F19" s="3">
        <v>5452</v>
      </c>
      <c r="H19" s="5" t="str">
        <f t="shared" si="0"/>
        <v>N</v>
      </c>
      <c r="I19" s="4" t="s">
        <v>283</v>
      </c>
      <c r="J19" s="4" t="s">
        <v>284</v>
      </c>
      <c r="K19" s="4" t="s">
        <v>285</v>
      </c>
      <c r="L19" s="4" t="s">
        <v>286</v>
      </c>
      <c r="M19" s="4" t="s">
        <v>287</v>
      </c>
      <c r="N19" s="4" t="s">
        <v>288</v>
      </c>
      <c r="O19" s="4" t="s">
        <v>289</v>
      </c>
      <c r="P19" s="4" t="s">
        <v>241</v>
      </c>
      <c r="Q19" s="4" t="s">
        <v>290</v>
      </c>
      <c r="R19" s="4" t="s">
        <v>291</v>
      </c>
      <c r="S19" s="3" t="s">
        <v>182</v>
      </c>
      <c r="T19" s="5" t="str">
        <f t="shared" si="1"/>
        <v>Y</v>
      </c>
      <c r="W19" s="5" t="str">
        <f t="shared" si="2"/>
        <v>Y</v>
      </c>
      <c r="X19" s="4" t="s">
        <v>51</v>
      </c>
      <c r="Y19" s="3" t="s">
        <v>292</v>
      </c>
      <c r="Z19" s="3" t="s">
        <v>293</v>
      </c>
      <c r="AA19" s="4" t="s">
        <v>294</v>
      </c>
      <c r="AB19" s="4" t="s">
        <v>295</v>
      </c>
      <c r="AC19" s="5" t="s">
        <v>56</v>
      </c>
      <c r="AH19" s="5" t="str">
        <f t="shared" si="3"/>
        <v>Y</v>
      </c>
      <c r="AI19" s="3" t="s">
        <v>296</v>
      </c>
      <c r="AJ19" s="3" t="s">
        <v>297</v>
      </c>
      <c r="AK19" s="3" t="s">
        <v>298</v>
      </c>
      <c r="AL19" s="3" t="s">
        <v>299</v>
      </c>
      <c r="AM19" s="4" t="s">
        <v>62</v>
      </c>
      <c r="AP19" s="5">
        <v>1</v>
      </c>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row>
    <row r="20" ht="16.5" customHeight="1">
      <c r="A20" s="3" t="s">
        <v>280</v>
      </c>
      <c r="B20" s="3" t="s">
        <v>281</v>
      </c>
      <c r="C20" s="3" t="s">
        <v>282</v>
      </c>
      <c r="D20" s="3" t="s">
        <v>37</v>
      </c>
      <c r="E20" s="4" t="s">
        <v>237</v>
      </c>
      <c r="F20" s="3">
        <v>5452</v>
      </c>
      <c r="H20" s="5" t="str">
        <f t="shared" si="0"/>
        <v>N</v>
      </c>
      <c r="I20" s="4" t="s">
        <v>283</v>
      </c>
      <c r="J20" s="4" t="s">
        <v>284</v>
      </c>
      <c r="K20" s="4" t="s">
        <v>285</v>
      </c>
      <c r="L20" s="4" t="s">
        <v>286</v>
      </c>
      <c r="M20" s="4" t="s">
        <v>287</v>
      </c>
      <c r="N20" s="4" t="s">
        <v>288</v>
      </c>
      <c r="O20" s="4" t="s">
        <v>289</v>
      </c>
      <c r="P20" s="4" t="s">
        <v>241</v>
      </c>
      <c r="Q20" s="4" t="s">
        <v>290</v>
      </c>
      <c r="R20" s="4" t="s">
        <v>291</v>
      </c>
      <c r="S20" s="3" t="s">
        <v>182</v>
      </c>
      <c r="T20" s="5" t="str">
        <f t="shared" si="1"/>
        <v>Y</v>
      </c>
      <c r="W20" s="5" t="str">
        <f t="shared" si="2"/>
        <v>Y</v>
      </c>
      <c r="X20" s="4" t="s">
        <v>51</v>
      </c>
      <c r="Y20" s="3" t="s">
        <v>292</v>
      </c>
      <c r="Z20" s="3" t="s">
        <v>293</v>
      </c>
      <c r="AA20" s="4" t="s">
        <v>294</v>
      </c>
      <c r="AB20" s="4" t="s">
        <v>295</v>
      </c>
      <c r="AC20" s="5" t="s">
        <v>56</v>
      </c>
      <c r="AH20" s="5" t="str">
        <f t="shared" si="3"/>
        <v>Y</v>
      </c>
      <c r="AI20" s="3" t="s">
        <v>296</v>
      </c>
      <c r="AJ20" s="3" t="s">
        <v>297</v>
      </c>
      <c r="AK20" s="3" t="s">
        <v>298</v>
      </c>
      <c r="AL20" s="3" t="s">
        <v>299</v>
      </c>
      <c r="AM20" s="4" t="s">
        <v>62</v>
      </c>
      <c r="AP20" s="5">
        <v>1</v>
      </c>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row>
    <row r="21" ht="16.5" customHeight="1">
      <c r="A21" s="3" t="s">
        <v>300</v>
      </c>
      <c r="B21" s="3" t="s">
        <v>301</v>
      </c>
      <c r="C21" s="3" t="s">
        <v>302</v>
      </c>
      <c r="D21" s="3" t="s">
        <v>37</v>
      </c>
      <c r="E21" s="4" t="s">
        <v>68</v>
      </c>
      <c r="F21" s="3">
        <v>10039</v>
      </c>
      <c r="H21" s="5" t="str">
        <f t="shared" si="0"/>
        <v>N</v>
      </c>
      <c r="I21" s="4" t="s">
        <v>303</v>
      </c>
      <c r="J21" s="4" t="s">
        <v>304</v>
      </c>
      <c r="K21" s="4" t="s">
        <v>305</v>
      </c>
      <c r="L21" s="4" t="s">
        <v>267</v>
      </c>
      <c r="M21" s="4" t="s">
        <v>306</v>
      </c>
      <c r="N21" s="4" t="s">
        <v>307</v>
      </c>
      <c r="O21" s="4" t="s">
        <v>308</v>
      </c>
      <c r="P21" s="4" t="s">
        <v>309</v>
      </c>
      <c r="Q21" s="4" t="s">
        <v>310</v>
      </c>
      <c r="R21" s="4" t="s">
        <v>311</v>
      </c>
      <c r="S21" s="3" t="s">
        <v>312</v>
      </c>
      <c r="T21" s="5" t="str">
        <f t="shared" si="1"/>
        <v>Y</v>
      </c>
      <c r="W21" s="5" t="str">
        <f t="shared" si="2"/>
        <v>Y</v>
      </c>
      <c r="X21" s="4" t="s">
        <v>51</v>
      </c>
      <c r="Y21" s="3" t="s">
        <v>313</v>
      </c>
      <c r="Z21" s="3" t="s">
        <v>314</v>
      </c>
      <c r="AA21" s="4" t="s">
        <v>315</v>
      </c>
      <c r="AB21" s="4" t="s">
        <v>316</v>
      </c>
      <c r="AC21" s="5" t="s">
        <v>56</v>
      </c>
      <c r="AH21" s="5" t="str">
        <f t="shared" si="3"/>
        <v>Y</v>
      </c>
      <c r="AI21" s="3" t="s">
        <v>317</v>
      </c>
      <c r="AJ21" s="3" t="s">
        <v>318</v>
      </c>
      <c r="AK21" s="3" t="s">
        <v>319</v>
      </c>
      <c r="AL21" s="3" t="s">
        <v>320</v>
      </c>
      <c r="AM21" s="4" t="s">
        <v>62</v>
      </c>
      <c r="AP21" s="5">
        <v>1</v>
      </c>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row>
    <row r="22" ht="16.5" customHeight="1">
      <c r="A22" s="3" t="s">
        <v>321</v>
      </c>
      <c r="B22" s="3" t="s">
        <v>322</v>
      </c>
      <c r="C22" s="3" t="s">
        <v>323</v>
      </c>
      <c r="D22" s="3" t="s">
        <v>37</v>
      </c>
      <c r="E22" s="4" t="s">
        <v>237</v>
      </c>
      <c r="F22" s="3">
        <v>5413</v>
      </c>
      <c r="H22" s="5" t="str">
        <f t="shared" si="0"/>
        <v>N</v>
      </c>
      <c r="I22" s="4" t="s">
        <v>324</v>
      </c>
      <c r="J22" s="4" t="s">
        <v>325</v>
      </c>
      <c r="K22" s="4" t="s">
        <v>326</v>
      </c>
      <c r="L22" s="4" t="s">
        <v>263</v>
      </c>
      <c r="M22" s="4" t="s">
        <v>327</v>
      </c>
      <c r="N22" s="4" t="s">
        <v>328</v>
      </c>
      <c r="O22" s="4" t="s">
        <v>329</v>
      </c>
      <c r="P22" s="4" t="s">
        <v>330</v>
      </c>
      <c r="Q22" s="4" t="s">
        <v>331</v>
      </c>
      <c r="R22" s="4" t="s">
        <v>332</v>
      </c>
      <c r="S22" s="4" t="s">
        <v>203</v>
      </c>
      <c r="T22" s="5" t="str">
        <f t="shared" si="1"/>
        <v>Y</v>
      </c>
      <c r="W22" s="5" t="str">
        <f t="shared" si="2"/>
        <v>Y</v>
      </c>
      <c r="X22" s="4" t="s">
        <v>51</v>
      </c>
      <c r="Y22" s="4" t="s">
        <v>333</v>
      </c>
      <c r="Z22" s="4" t="s">
        <v>334</v>
      </c>
      <c r="AA22" s="4" t="s">
        <v>335</v>
      </c>
      <c r="AB22" s="4" t="s">
        <v>336</v>
      </c>
      <c r="AC22" s="5" t="s">
        <v>56</v>
      </c>
      <c r="AH22" s="5" t="str">
        <f t="shared" si="3"/>
        <v>Y</v>
      </c>
      <c r="AI22" s="4" t="s">
        <v>337</v>
      </c>
      <c r="AJ22" s="4" t="s">
        <v>338</v>
      </c>
      <c r="AK22" s="3" t="s">
        <v>339</v>
      </c>
      <c r="AL22" s="3" t="s">
        <v>340</v>
      </c>
      <c r="AM22" s="4" t="s">
        <v>62</v>
      </c>
      <c r="AP22" s="5">
        <v>1</v>
      </c>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row>
    <row r="23" ht="16.5" customHeight="1">
      <c r="A23" s="3" t="s">
        <v>341</v>
      </c>
      <c r="B23" s="3" t="s">
        <v>322</v>
      </c>
      <c r="C23" s="3" t="s">
        <v>323</v>
      </c>
      <c r="D23" s="3" t="s">
        <v>37</v>
      </c>
      <c r="E23" s="4" t="s">
        <v>237</v>
      </c>
      <c r="F23" s="3">
        <v>3586</v>
      </c>
      <c r="H23" s="5" t="str">
        <f t="shared" si="0"/>
        <v>N</v>
      </c>
      <c r="I23" s="4" t="s">
        <v>324</v>
      </c>
      <c r="J23" s="4" t="s">
        <v>325</v>
      </c>
      <c r="K23" s="4" t="s">
        <v>326</v>
      </c>
      <c r="L23" s="4" t="s">
        <v>263</v>
      </c>
      <c r="M23" s="4" t="s">
        <v>327</v>
      </c>
      <c r="N23" s="4" t="s">
        <v>328</v>
      </c>
      <c r="O23" s="4" t="s">
        <v>329</v>
      </c>
      <c r="P23" s="4" t="s">
        <v>330</v>
      </c>
      <c r="Q23" s="4" t="s">
        <v>331</v>
      </c>
      <c r="R23" s="4" t="s">
        <v>342</v>
      </c>
      <c r="S23" s="4" t="s">
        <v>203</v>
      </c>
      <c r="T23" s="5" t="str">
        <f t="shared" si="1"/>
        <v>Y</v>
      </c>
      <c r="W23" s="5" t="str">
        <f t="shared" si="2"/>
        <v>Y</v>
      </c>
      <c r="X23" s="4" t="s">
        <v>51</v>
      </c>
      <c r="Y23" s="4" t="s">
        <v>333</v>
      </c>
      <c r="Z23" s="4" t="s">
        <v>334</v>
      </c>
      <c r="AA23" s="4" t="s">
        <v>335</v>
      </c>
      <c r="AB23" s="4" t="s">
        <v>336</v>
      </c>
      <c r="AC23" s="5" t="s">
        <v>56</v>
      </c>
      <c r="AH23" s="5" t="str">
        <f t="shared" si="3"/>
        <v>Y</v>
      </c>
      <c r="AI23" s="4" t="s">
        <v>337</v>
      </c>
      <c r="AJ23" s="4" t="s">
        <v>338</v>
      </c>
      <c r="AK23" s="3" t="s">
        <v>339</v>
      </c>
      <c r="AL23" s="3" t="s">
        <v>340</v>
      </c>
      <c r="AM23" s="4" t="s">
        <v>62</v>
      </c>
      <c r="AP23" s="5">
        <v>1</v>
      </c>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row>
    <row r="24" ht="16.5" customHeight="1">
      <c r="A24" s="3" t="s">
        <v>343</v>
      </c>
      <c r="B24" s="3" t="s">
        <v>344</v>
      </c>
      <c r="C24" s="3" t="s">
        <v>345</v>
      </c>
      <c r="D24" s="3" t="s">
        <v>37</v>
      </c>
      <c r="E24" s="4" t="s">
        <v>237</v>
      </c>
      <c r="F24" s="3">
        <v>3585</v>
      </c>
      <c r="H24" s="5" t="str">
        <f t="shared" si="0"/>
        <v>N</v>
      </c>
      <c r="I24" s="4" t="s">
        <v>346</v>
      </c>
      <c r="J24" s="4" t="s">
        <v>265</v>
      </c>
      <c r="K24" s="4" t="s">
        <v>347</v>
      </c>
      <c r="L24" s="4" t="s">
        <v>348</v>
      </c>
      <c r="M24" s="4" t="s">
        <v>349</v>
      </c>
      <c r="N24" s="4" t="s">
        <v>350</v>
      </c>
      <c r="O24" s="4" t="s">
        <v>351</v>
      </c>
      <c r="P24" s="4" t="s">
        <v>241</v>
      </c>
      <c r="Q24" s="4" t="s">
        <v>352</v>
      </c>
      <c r="R24" s="4" t="s">
        <v>353</v>
      </c>
      <c r="S24" s="3" t="s">
        <v>312</v>
      </c>
      <c r="T24" s="5" t="str">
        <f t="shared" si="1"/>
        <v>Y</v>
      </c>
      <c r="W24" s="5" t="str">
        <f t="shared" si="2"/>
        <v>Y</v>
      </c>
      <c r="X24" s="4" t="s">
        <v>51</v>
      </c>
      <c r="Y24" s="3" t="s">
        <v>354</v>
      </c>
      <c r="Z24" s="3" t="s">
        <v>355</v>
      </c>
      <c r="AA24" s="4" t="s">
        <v>356</v>
      </c>
      <c r="AB24" s="4" t="s">
        <v>357</v>
      </c>
      <c r="AC24" s="5" t="s">
        <v>56</v>
      </c>
      <c r="AH24" s="5" t="str">
        <f t="shared" si="3"/>
        <v>Y</v>
      </c>
      <c r="AI24" s="3" t="s">
        <v>358</v>
      </c>
      <c r="AJ24" s="3" t="s">
        <v>359</v>
      </c>
      <c r="AK24" s="3" t="s">
        <v>360</v>
      </c>
      <c r="AL24" s="3" t="s">
        <v>361</v>
      </c>
      <c r="AM24" s="4" t="s">
        <v>62</v>
      </c>
      <c r="AP24" s="5">
        <v>1</v>
      </c>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row>
    <row r="25" ht="16.5" customHeight="1">
      <c r="A25" s="3" t="s">
        <v>343</v>
      </c>
      <c r="B25" s="3" t="s">
        <v>344</v>
      </c>
      <c r="C25" s="3" t="s">
        <v>345</v>
      </c>
      <c r="D25" s="3" t="s">
        <v>37</v>
      </c>
      <c r="E25" s="4" t="s">
        <v>237</v>
      </c>
      <c r="F25" s="3">
        <v>3585</v>
      </c>
      <c r="H25" s="5" t="str">
        <f t="shared" si="0"/>
        <v>N</v>
      </c>
      <c r="I25" s="4" t="s">
        <v>346</v>
      </c>
      <c r="J25" s="4" t="s">
        <v>265</v>
      </c>
      <c r="K25" s="4" t="s">
        <v>347</v>
      </c>
      <c r="L25" s="4" t="s">
        <v>348</v>
      </c>
      <c r="M25" s="4" t="s">
        <v>349</v>
      </c>
      <c r="N25" s="4" t="s">
        <v>350</v>
      </c>
      <c r="O25" s="4" t="s">
        <v>351</v>
      </c>
      <c r="P25" s="4" t="s">
        <v>241</v>
      </c>
      <c r="Q25" s="4" t="s">
        <v>352</v>
      </c>
      <c r="R25" s="4" t="s">
        <v>353</v>
      </c>
      <c r="S25" s="3" t="s">
        <v>312</v>
      </c>
      <c r="T25" s="5" t="str">
        <f t="shared" si="1"/>
        <v>Y</v>
      </c>
      <c r="W25" s="5" t="str">
        <f t="shared" si="2"/>
        <v>Y</v>
      </c>
      <c r="X25" s="4" t="s">
        <v>51</v>
      </c>
      <c r="Y25" s="3" t="s">
        <v>354</v>
      </c>
      <c r="Z25" s="3" t="s">
        <v>355</v>
      </c>
      <c r="AA25" s="4" t="s">
        <v>356</v>
      </c>
      <c r="AB25" s="4" t="s">
        <v>357</v>
      </c>
      <c r="AC25" s="5" t="s">
        <v>56</v>
      </c>
      <c r="AH25" s="5" t="str">
        <f t="shared" si="3"/>
        <v>Y</v>
      </c>
      <c r="AI25" s="3" t="s">
        <v>358</v>
      </c>
      <c r="AJ25" s="3" t="s">
        <v>359</v>
      </c>
      <c r="AK25" s="3" t="s">
        <v>360</v>
      </c>
      <c r="AL25" s="3" t="s">
        <v>361</v>
      </c>
      <c r="AM25" s="4" t="s">
        <v>62</v>
      </c>
      <c r="AP25" s="5">
        <v>1</v>
      </c>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row>
    <row r="26" ht="16.5" customHeight="1">
      <c r="A26" s="3" t="s">
        <v>362</v>
      </c>
      <c r="B26" s="3" t="s">
        <v>363</v>
      </c>
      <c r="C26" s="3" t="s">
        <v>364</v>
      </c>
      <c r="D26" s="3" t="s">
        <v>37</v>
      </c>
      <c r="E26" s="4" t="s">
        <v>237</v>
      </c>
      <c r="F26" s="3">
        <v>3584</v>
      </c>
      <c r="H26" s="5" t="str">
        <f t="shared" si="0"/>
        <v>N</v>
      </c>
      <c r="I26" s="4" t="s">
        <v>365</v>
      </c>
      <c r="J26" s="4" t="s">
        <v>265</v>
      </c>
      <c r="K26" s="4" t="s">
        <v>366</v>
      </c>
      <c r="L26" s="4" t="s">
        <v>263</v>
      </c>
      <c r="M26" s="4" t="s">
        <v>367</v>
      </c>
      <c r="N26" s="4" t="s">
        <v>241</v>
      </c>
      <c r="O26" s="4" t="s">
        <v>368</v>
      </c>
      <c r="P26" s="4" t="s">
        <v>369</v>
      </c>
      <c r="Q26" s="4" t="s">
        <v>370</v>
      </c>
      <c r="R26" s="4" t="s">
        <v>371</v>
      </c>
      <c r="S26" s="3" t="s">
        <v>182</v>
      </c>
      <c r="T26" s="5" t="str">
        <f t="shared" si="1"/>
        <v>Y</v>
      </c>
      <c r="W26" s="5" t="str">
        <f t="shared" si="2"/>
        <v>Y</v>
      </c>
      <c r="X26" s="4" t="s">
        <v>51</v>
      </c>
      <c r="Y26" s="3" t="s">
        <v>372</v>
      </c>
      <c r="Z26" s="3" t="s">
        <v>373</v>
      </c>
      <c r="AA26" s="4" t="s">
        <v>374</v>
      </c>
      <c r="AB26" s="4" t="s">
        <v>375</v>
      </c>
      <c r="AC26" s="5" t="s">
        <v>56</v>
      </c>
      <c r="AH26" s="5" t="str">
        <f t="shared" si="3"/>
        <v>Y</v>
      </c>
      <c r="AI26" s="3" t="s">
        <v>376</v>
      </c>
      <c r="AJ26" s="3" t="s">
        <v>377</v>
      </c>
      <c r="AK26" s="3" t="s">
        <v>378</v>
      </c>
      <c r="AL26" s="3" t="s">
        <v>379</v>
      </c>
      <c r="AM26" s="4" t="s">
        <v>62</v>
      </c>
      <c r="AP26" s="5">
        <v>1</v>
      </c>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row>
    <row r="27" ht="16.5" customHeight="1">
      <c r="A27" s="3" t="s">
        <v>362</v>
      </c>
      <c r="B27" s="3" t="s">
        <v>363</v>
      </c>
      <c r="C27" s="3" t="s">
        <v>364</v>
      </c>
      <c r="D27" s="3" t="s">
        <v>37</v>
      </c>
      <c r="E27" s="4" t="s">
        <v>237</v>
      </c>
      <c r="F27" s="3">
        <v>3584</v>
      </c>
      <c r="H27" s="5" t="str">
        <f t="shared" si="0"/>
        <v>N</v>
      </c>
      <c r="I27" s="4" t="s">
        <v>365</v>
      </c>
      <c r="J27" s="4" t="s">
        <v>265</v>
      </c>
      <c r="K27" s="4" t="s">
        <v>366</v>
      </c>
      <c r="L27" s="4" t="s">
        <v>263</v>
      </c>
      <c r="M27" s="4" t="s">
        <v>367</v>
      </c>
      <c r="N27" s="4" t="s">
        <v>241</v>
      </c>
      <c r="O27" s="4" t="s">
        <v>368</v>
      </c>
      <c r="P27" s="4" t="s">
        <v>369</v>
      </c>
      <c r="Q27" s="4" t="s">
        <v>370</v>
      </c>
      <c r="R27" s="4" t="s">
        <v>371</v>
      </c>
      <c r="S27" s="3" t="s">
        <v>182</v>
      </c>
      <c r="T27" s="5" t="str">
        <f t="shared" si="1"/>
        <v>Y</v>
      </c>
      <c r="W27" s="5" t="str">
        <f t="shared" si="2"/>
        <v>Y</v>
      </c>
      <c r="X27" s="4" t="s">
        <v>51</v>
      </c>
      <c r="Y27" s="3" t="s">
        <v>372</v>
      </c>
      <c r="Z27" s="3" t="s">
        <v>373</v>
      </c>
      <c r="AA27" s="4" t="s">
        <v>374</v>
      </c>
      <c r="AB27" s="4" t="s">
        <v>375</v>
      </c>
      <c r="AC27" s="5" t="s">
        <v>56</v>
      </c>
      <c r="AH27" s="5" t="str">
        <f t="shared" si="3"/>
        <v>Y</v>
      </c>
      <c r="AI27" s="3" t="s">
        <v>376</v>
      </c>
      <c r="AJ27" s="3" t="s">
        <v>377</v>
      </c>
      <c r="AK27" s="3" t="s">
        <v>378</v>
      </c>
      <c r="AL27" s="3" t="s">
        <v>379</v>
      </c>
      <c r="AM27" s="4" t="s">
        <v>62</v>
      </c>
      <c r="AP27" s="5">
        <v>1</v>
      </c>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row>
    <row r="28" ht="16.5" customHeight="1">
      <c r="A28" s="3" t="s">
        <v>380</v>
      </c>
      <c r="B28" s="3" t="s">
        <v>381</v>
      </c>
      <c r="C28" s="3" t="s">
        <v>382</v>
      </c>
      <c r="D28" s="3" t="s">
        <v>37</v>
      </c>
      <c r="E28" s="4" t="s">
        <v>237</v>
      </c>
      <c r="F28" s="3">
        <v>3583</v>
      </c>
      <c r="H28" s="5" t="str">
        <f t="shared" si="0"/>
        <v>N</v>
      </c>
      <c r="I28" s="4" t="s">
        <v>383</v>
      </c>
      <c r="J28" s="4" t="s">
        <v>265</v>
      </c>
      <c r="K28" s="4" t="s">
        <v>384</v>
      </c>
      <c r="L28" s="4" t="s">
        <v>348</v>
      </c>
      <c r="M28" s="4" t="s">
        <v>385</v>
      </c>
      <c r="N28" s="4" t="s">
        <v>386</v>
      </c>
      <c r="O28" s="4" t="s">
        <v>387</v>
      </c>
      <c r="P28" s="4" t="s">
        <v>241</v>
      </c>
      <c r="Q28" s="4" t="s">
        <v>388</v>
      </c>
      <c r="R28" s="4" t="s">
        <v>389</v>
      </c>
      <c r="S28" s="3" t="s">
        <v>203</v>
      </c>
      <c r="T28" s="5" t="str">
        <f t="shared" si="1"/>
        <v>Y</v>
      </c>
      <c r="W28" s="5" t="str">
        <f t="shared" si="2"/>
        <v>Y</v>
      </c>
      <c r="X28" s="4" t="s">
        <v>51</v>
      </c>
      <c r="Y28" s="3" t="s">
        <v>390</v>
      </c>
      <c r="Z28" s="3" t="s">
        <v>391</v>
      </c>
      <c r="AA28" s="4" t="s">
        <v>392</v>
      </c>
      <c r="AB28" s="4" t="s">
        <v>393</v>
      </c>
      <c r="AC28" s="5" t="s">
        <v>56</v>
      </c>
      <c r="AH28" s="5" t="str">
        <f t="shared" si="3"/>
        <v>Y</v>
      </c>
      <c r="AI28" s="3" t="s">
        <v>394</v>
      </c>
      <c r="AJ28" s="3" t="s">
        <v>395</v>
      </c>
      <c r="AK28" s="3" t="s">
        <v>396</v>
      </c>
      <c r="AL28" s="3" t="s">
        <v>397</v>
      </c>
      <c r="AM28" s="4" t="s">
        <v>62</v>
      </c>
      <c r="AP28" s="5">
        <v>1</v>
      </c>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row>
    <row r="29" ht="16.5" customHeight="1">
      <c r="A29" s="3" t="s">
        <v>380</v>
      </c>
      <c r="B29" s="3" t="s">
        <v>381</v>
      </c>
      <c r="C29" s="3" t="s">
        <v>382</v>
      </c>
      <c r="D29" s="3" t="s">
        <v>37</v>
      </c>
      <c r="E29" s="4" t="s">
        <v>237</v>
      </c>
      <c r="F29" s="3">
        <v>3583</v>
      </c>
      <c r="H29" s="5" t="str">
        <f t="shared" si="0"/>
        <v>N</v>
      </c>
      <c r="I29" s="4" t="s">
        <v>383</v>
      </c>
      <c r="J29" s="4" t="s">
        <v>265</v>
      </c>
      <c r="K29" s="4" t="s">
        <v>384</v>
      </c>
      <c r="L29" s="4" t="s">
        <v>348</v>
      </c>
      <c r="M29" s="4" t="s">
        <v>385</v>
      </c>
      <c r="N29" s="4" t="s">
        <v>386</v>
      </c>
      <c r="O29" s="4" t="s">
        <v>387</v>
      </c>
      <c r="P29" s="4" t="s">
        <v>241</v>
      </c>
      <c r="Q29" s="4" t="s">
        <v>388</v>
      </c>
      <c r="R29" s="4" t="s">
        <v>398</v>
      </c>
      <c r="S29" s="3" t="s">
        <v>203</v>
      </c>
      <c r="T29" s="5" t="str">
        <f t="shared" si="1"/>
        <v>Y</v>
      </c>
      <c r="W29" s="5" t="str">
        <f t="shared" si="2"/>
        <v>Y</v>
      </c>
      <c r="X29" s="4" t="s">
        <v>51</v>
      </c>
      <c r="Y29" s="3" t="s">
        <v>390</v>
      </c>
      <c r="Z29" s="3" t="s">
        <v>391</v>
      </c>
      <c r="AA29" s="4" t="s">
        <v>392</v>
      </c>
      <c r="AB29" s="4" t="s">
        <v>393</v>
      </c>
      <c r="AC29" s="5" t="s">
        <v>56</v>
      </c>
      <c r="AH29" s="5" t="str">
        <f t="shared" si="3"/>
        <v>Y</v>
      </c>
      <c r="AI29" s="3" t="s">
        <v>394</v>
      </c>
      <c r="AJ29" s="3" t="s">
        <v>395</v>
      </c>
      <c r="AK29" s="3" t="s">
        <v>396</v>
      </c>
      <c r="AL29" s="3" t="s">
        <v>397</v>
      </c>
      <c r="AM29" s="4" t="s">
        <v>62</v>
      </c>
      <c r="AP29" s="5">
        <v>1</v>
      </c>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row>
    <row r="30" ht="16.5" customHeight="1">
      <c r="A30" s="3" t="s">
        <v>399</v>
      </c>
      <c r="B30" s="3" t="s">
        <v>400</v>
      </c>
      <c r="C30" s="3" t="s">
        <v>401</v>
      </c>
      <c r="D30" s="3" t="s">
        <v>37</v>
      </c>
      <c r="E30" s="4" t="s">
        <v>237</v>
      </c>
      <c r="F30" s="3">
        <v>3582</v>
      </c>
      <c r="H30" s="5" t="str">
        <f t="shared" si="0"/>
        <v>N</v>
      </c>
      <c r="I30" s="4" t="s">
        <v>402</v>
      </c>
      <c r="J30" s="4" t="s">
        <v>403</v>
      </c>
      <c r="K30" s="4" t="s">
        <v>404</v>
      </c>
      <c r="L30" s="4" t="s">
        <v>405</v>
      </c>
      <c r="M30" s="4" t="s">
        <v>406</v>
      </c>
      <c r="N30" s="4" t="s">
        <v>386</v>
      </c>
      <c r="O30" s="4" t="s">
        <v>407</v>
      </c>
      <c r="P30" s="4" t="s">
        <v>408</v>
      </c>
      <c r="Q30" s="4" t="s">
        <v>409</v>
      </c>
      <c r="R30" s="4" t="s">
        <v>410</v>
      </c>
      <c r="S30" s="3" t="s">
        <v>312</v>
      </c>
      <c r="T30" s="5" t="str">
        <f t="shared" si="1"/>
        <v>Y</v>
      </c>
      <c r="W30" s="5" t="str">
        <f t="shared" si="2"/>
        <v>Y</v>
      </c>
      <c r="X30" s="4" t="s">
        <v>51</v>
      </c>
      <c r="Y30" s="3" t="s">
        <v>411</v>
      </c>
      <c r="Z30" s="3" t="s">
        <v>412</v>
      </c>
      <c r="AA30" s="4" t="s">
        <v>413</v>
      </c>
      <c r="AB30" s="4" t="s">
        <v>414</v>
      </c>
      <c r="AC30" s="5" t="s">
        <v>56</v>
      </c>
      <c r="AH30" s="5" t="str">
        <f t="shared" si="3"/>
        <v>Y</v>
      </c>
      <c r="AI30" s="3" t="s">
        <v>415</v>
      </c>
      <c r="AJ30" s="3" t="s">
        <v>416</v>
      </c>
      <c r="AK30" s="3" t="s">
        <v>417</v>
      </c>
      <c r="AL30" s="3" t="s">
        <v>418</v>
      </c>
      <c r="AM30" s="4" t="s">
        <v>62</v>
      </c>
      <c r="AP30" s="5">
        <v>1</v>
      </c>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row>
    <row r="31" ht="16.5" customHeight="1">
      <c r="A31" s="3" t="s">
        <v>419</v>
      </c>
      <c r="B31" s="3" t="s">
        <v>420</v>
      </c>
      <c r="C31" s="3" t="s">
        <v>421</v>
      </c>
      <c r="D31" s="3" t="s">
        <v>37</v>
      </c>
      <c r="E31" s="4" t="s">
        <v>237</v>
      </c>
      <c r="F31" s="3">
        <v>3581</v>
      </c>
      <c r="H31" s="5" t="str">
        <f t="shared" si="0"/>
        <v>N</v>
      </c>
      <c r="I31" s="4" t="s">
        <v>422</v>
      </c>
      <c r="J31" s="4" t="s">
        <v>265</v>
      </c>
      <c r="K31" s="4" t="s">
        <v>423</v>
      </c>
      <c r="L31" s="4" t="s">
        <v>348</v>
      </c>
      <c r="M31" s="4" t="s">
        <v>424</v>
      </c>
      <c r="N31" s="4" t="s">
        <v>386</v>
      </c>
      <c r="O31" s="4" t="s">
        <v>425</v>
      </c>
      <c r="P31" s="4" t="s">
        <v>241</v>
      </c>
      <c r="Q31" s="4" t="s">
        <v>426</v>
      </c>
      <c r="R31" s="4" t="s">
        <v>427</v>
      </c>
      <c r="S31" s="3" t="s">
        <v>428</v>
      </c>
      <c r="T31" s="5" t="str">
        <f t="shared" si="1"/>
        <v>Y</v>
      </c>
      <c r="W31" s="5" t="str">
        <f t="shared" si="2"/>
        <v>Y</v>
      </c>
      <c r="X31" s="4" t="s">
        <v>51</v>
      </c>
      <c r="Y31" s="3" t="s">
        <v>429</v>
      </c>
      <c r="Z31" s="3" t="s">
        <v>430</v>
      </c>
      <c r="AA31" s="4" t="s">
        <v>431</v>
      </c>
      <c r="AB31" s="4" t="s">
        <v>432</v>
      </c>
      <c r="AC31" s="5" t="s">
        <v>56</v>
      </c>
      <c r="AH31" s="5" t="str">
        <f t="shared" si="3"/>
        <v>Y</v>
      </c>
      <c r="AI31" s="3" t="s">
        <v>433</v>
      </c>
      <c r="AJ31" s="3" t="s">
        <v>434</v>
      </c>
      <c r="AK31" s="3" t="s">
        <v>435</v>
      </c>
      <c r="AL31" s="3" t="s">
        <v>436</v>
      </c>
      <c r="AM31" s="4" t="s">
        <v>62</v>
      </c>
      <c r="AP31" s="5">
        <v>1</v>
      </c>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row>
    <row r="32" ht="16.5" customHeight="1">
      <c r="A32" s="3" t="s">
        <v>419</v>
      </c>
      <c r="B32" s="3" t="s">
        <v>420</v>
      </c>
      <c r="C32" s="3" t="s">
        <v>421</v>
      </c>
      <c r="D32" s="3" t="s">
        <v>37</v>
      </c>
      <c r="E32" s="4" t="s">
        <v>237</v>
      </c>
      <c r="F32" s="3">
        <v>3581</v>
      </c>
      <c r="H32" s="5" t="str">
        <f t="shared" si="0"/>
        <v>N</v>
      </c>
      <c r="I32" s="4" t="s">
        <v>422</v>
      </c>
      <c r="J32" s="4" t="s">
        <v>265</v>
      </c>
      <c r="K32" s="4" t="s">
        <v>423</v>
      </c>
      <c r="L32" s="4" t="s">
        <v>348</v>
      </c>
      <c r="M32" s="4" t="s">
        <v>424</v>
      </c>
      <c r="N32" s="4" t="s">
        <v>386</v>
      </c>
      <c r="O32" s="4" t="s">
        <v>425</v>
      </c>
      <c r="P32" s="4" t="s">
        <v>241</v>
      </c>
      <c r="Q32" s="4" t="s">
        <v>426</v>
      </c>
      <c r="R32" s="4" t="s">
        <v>427</v>
      </c>
      <c r="S32" s="3" t="s">
        <v>428</v>
      </c>
      <c r="T32" s="5" t="str">
        <f t="shared" si="1"/>
        <v>Y</v>
      </c>
      <c r="W32" s="5" t="str">
        <f t="shared" si="2"/>
        <v>Y</v>
      </c>
      <c r="X32" s="4" t="s">
        <v>51</v>
      </c>
      <c r="Y32" s="3" t="s">
        <v>429</v>
      </c>
      <c r="Z32" s="3" t="s">
        <v>430</v>
      </c>
      <c r="AA32" s="4" t="s">
        <v>431</v>
      </c>
      <c r="AB32" s="4" t="s">
        <v>432</v>
      </c>
      <c r="AC32" s="5" t="s">
        <v>56</v>
      </c>
      <c r="AH32" s="5" t="str">
        <f t="shared" si="3"/>
        <v>Y</v>
      </c>
      <c r="AI32" s="3" t="s">
        <v>433</v>
      </c>
      <c r="AJ32" s="3" t="s">
        <v>434</v>
      </c>
      <c r="AK32" s="3" t="s">
        <v>435</v>
      </c>
      <c r="AL32" s="3" t="s">
        <v>436</v>
      </c>
      <c r="AM32" s="4" t="s">
        <v>62</v>
      </c>
      <c r="AP32" s="5">
        <v>1</v>
      </c>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row>
    <row r="33" ht="16.5" customHeight="1">
      <c r="A33" s="3" t="s">
        <v>437</v>
      </c>
      <c r="B33" s="3" t="s">
        <v>438</v>
      </c>
      <c r="C33" s="3" t="s">
        <v>439</v>
      </c>
      <c r="D33" s="3" t="s">
        <v>37</v>
      </c>
      <c r="E33" s="4" t="s">
        <v>237</v>
      </c>
      <c r="F33" s="3">
        <v>5540</v>
      </c>
      <c r="H33" s="5" t="str">
        <f t="shared" si="0"/>
        <v>N</v>
      </c>
      <c r="I33" s="4" t="s">
        <v>440</v>
      </c>
      <c r="J33" s="4" t="s">
        <v>265</v>
      </c>
      <c r="K33" s="4" t="s">
        <v>441</v>
      </c>
      <c r="L33" s="4" t="s">
        <v>348</v>
      </c>
      <c r="M33" s="4" t="s">
        <v>442</v>
      </c>
      <c r="N33" s="4" t="s">
        <v>386</v>
      </c>
      <c r="O33" s="4" t="s">
        <v>387</v>
      </c>
      <c r="P33" s="4" t="s">
        <v>241</v>
      </c>
      <c r="Q33" s="4" t="s">
        <v>443</v>
      </c>
      <c r="R33" s="4" t="s">
        <v>444</v>
      </c>
      <c r="S33" s="3" t="s">
        <v>182</v>
      </c>
      <c r="T33" s="5" t="str">
        <f t="shared" si="1"/>
        <v>Y</v>
      </c>
      <c r="W33" s="5" t="str">
        <f t="shared" si="2"/>
        <v>Y</v>
      </c>
      <c r="X33" s="4" t="s">
        <v>51</v>
      </c>
      <c r="Y33" s="3" t="s">
        <v>445</v>
      </c>
      <c r="Z33" s="3" t="s">
        <v>446</v>
      </c>
      <c r="AA33" s="4" t="s">
        <v>447</v>
      </c>
      <c r="AB33" s="4" t="s">
        <v>448</v>
      </c>
      <c r="AC33" s="5" t="s">
        <v>56</v>
      </c>
      <c r="AH33" s="5" t="str">
        <f t="shared" si="3"/>
        <v>Y</v>
      </c>
      <c r="AI33" s="3" t="s">
        <v>449</v>
      </c>
      <c r="AJ33" s="3" t="s">
        <v>450</v>
      </c>
      <c r="AK33" s="3" t="s">
        <v>451</v>
      </c>
      <c r="AL33" s="3" t="s">
        <v>452</v>
      </c>
      <c r="AM33" s="4" t="s">
        <v>62</v>
      </c>
      <c r="AP33" s="5">
        <v>1</v>
      </c>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row>
    <row r="34" ht="16.5" customHeight="1">
      <c r="A34" s="3" t="s">
        <v>437</v>
      </c>
      <c r="B34" s="3" t="s">
        <v>438</v>
      </c>
      <c r="C34" s="3" t="s">
        <v>439</v>
      </c>
      <c r="D34" s="3" t="s">
        <v>37</v>
      </c>
      <c r="E34" s="4" t="s">
        <v>237</v>
      </c>
      <c r="F34" s="3">
        <v>5540</v>
      </c>
      <c r="H34" s="5" t="str">
        <f t="shared" si="0"/>
        <v>N</v>
      </c>
      <c r="I34" s="4" t="s">
        <v>453</v>
      </c>
      <c r="J34" s="4" t="s">
        <v>265</v>
      </c>
      <c r="K34" s="4" t="s">
        <v>441</v>
      </c>
      <c r="L34" s="4" t="s">
        <v>348</v>
      </c>
      <c r="M34" s="4" t="s">
        <v>442</v>
      </c>
      <c r="N34" s="4" t="s">
        <v>386</v>
      </c>
      <c r="O34" s="4" t="s">
        <v>387</v>
      </c>
      <c r="P34" s="4" t="s">
        <v>241</v>
      </c>
      <c r="Q34" s="4" t="s">
        <v>443</v>
      </c>
      <c r="R34" s="4" t="s">
        <v>454</v>
      </c>
      <c r="S34" s="3" t="s">
        <v>182</v>
      </c>
      <c r="T34" s="5" t="str">
        <f t="shared" si="1"/>
        <v>Y</v>
      </c>
      <c r="W34" s="5" t="str">
        <f t="shared" si="2"/>
        <v>Y</v>
      </c>
      <c r="X34" s="4" t="s">
        <v>51</v>
      </c>
      <c r="Y34" s="3" t="s">
        <v>445</v>
      </c>
      <c r="Z34" s="3" t="s">
        <v>446</v>
      </c>
      <c r="AA34" s="4" t="s">
        <v>447</v>
      </c>
      <c r="AB34" s="4" t="s">
        <v>448</v>
      </c>
      <c r="AC34" s="5" t="s">
        <v>56</v>
      </c>
      <c r="AH34" s="5" t="str">
        <f t="shared" si="3"/>
        <v>Y</v>
      </c>
      <c r="AI34" s="3" t="s">
        <v>449</v>
      </c>
      <c r="AJ34" s="3" t="s">
        <v>450</v>
      </c>
      <c r="AK34" s="3" t="s">
        <v>455</v>
      </c>
      <c r="AL34" s="3" t="s">
        <v>456</v>
      </c>
      <c r="AM34" s="4" t="s">
        <v>62</v>
      </c>
      <c r="AP34" s="5">
        <v>1</v>
      </c>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row>
    <row r="35" ht="16.5" customHeight="1">
      <c r="A35" s="3" t="s">
        <v>457</v>
      </c>
      <c r="B35" s="3" t="s">
        <v>458</v>
      </c>
      <c r="C35" s="3" t="s">
        <v>459</v>
      </c>
      <c r="D35" s="3" t="s">
        <v>37</v>
      </c>
      <c r="E35" s="4" t="s">
        <v>237</v>
      </c>
      <c r="F35" s="3">
        <v>3579</v>
      </c>
      <c r="H35" s="5" t="str">
        <f t="shared" si="0"/>
        <v>N</v>
      </c>
      <c r="I35" s="4" t="s">
        <v>460</v>
      </c>
      <c r="J35" s="4" t="s">
        <v>265</v>
      </c>
      <c r="K35" s="4" t="s">
        <v>461</v>
      </c>
      <c r="L35" s="4" t="s">
        <v>263</v>
      </c>
      <c r="M35" s="4" t="s">
        <v>462</v>
      </c>
      <c r="N35" s="4" t="s">
        <v>241</v>
      </c>
      <c r="O35" s="4" t="s">
        <v>463</v>
      </c>
      <c r="P35" s="4" t="s">
        <v>386</v>
      </c>
      <c r="Q35" s="4" t="s">
        <v>464</v>
      </c>
      <c r="R35" s="4" t="s">
        <v>465</v>
      </c>
      <c r="S35" s="3" t="s">
        <v>203</v>
      </c>
      <c r="T35" s="5" t="str">
        <f t="shared" si="1"/>
        <v>Y</v>
      </c>
      <c r="W35" s="5" t="str">
        <f t="shared" si="2"/>
        <v>Y</v>
      </c>
      <c r="X35" s="4" t="s">
        <v>51</v>
      </c>
      <c r="Y35" s="3" t="s">
        <v>466</v>
      </c>
      <c r="Z35" s="3" t="s">
        <v>467</v>
      </c>
      <c r="AA35" s="4" t="s">
        <v>468</v>
      </c>
      <c r="AB35" s="4" t="s">
        <v>469</v>
      </c>
      <c r="AC35" s="5" t="s">
        <v>56</v>
      </c>
      <c r="AH35" s="5" t="str">
        <f t="shared" si="3"/>
        <v>Y</v>
      </c>
      <c r="AI35" s="3" t="s">
        <v>470</v>
      </c>
      <c r="AJ35" s="3" t="s">
        <v>471</v>
      </c>
      <c r="AK35" s="3" t="s">
        <v>451</v>
      </c>
      <c r="AL35" s="3" t="s">
        <v>452</v>
      </c>
      <c r="AM35" s="4" t="s">
        <v>62</v>
      </c>
      <c r="AP35" s="5">
        <v>1</v>
      </c>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row>
    <row r="36" ht="16.5" customHeight="1">
      <c r="A36" s="3" t="s">
        <v>457</v>
      </c>
      <c r="B36" s="3" t="s">
        <v>458</v>
      </c>
      <c r="C36" s="3" t="s">
        <v>459</v>
      </c>
      <c r="D36" s="3" t="s">
        <v>37</v>
      </c>
      <c r="E36" s="4" t="s">
        <v>237</v>
      </c>
      <c r="F36" s="3">
        <v>3579</v>
      </c>
      <c r="H36" s="5" t="str">
        <f t="shared" si="0"/>
        <v>N</v>
      </c>
      <c r="I36" s="4" t="s">
        <v>460</v>
      </c>
      <c r="J36" s="4" t="s">
        <v>265</v>
      </c>
      <c r="K36" s="4" t="s">
        <v>461</v>
      </c>
      <c r="L36" s="4" t="s">
        <v>263</v>
      </c>
      <c r="M36" s="4" t="s">
        <v>462</v>
      </c>
      <c r="N36" s="4" t="s">
        <v>241</v>
      </c>
      <c r="O36" s="4" t="s">
        <v>463</v>
      </c>
      <c r="P36" s="4" t="s">
        <v>386</v>
      </c>
      <c r="Q36" s="4" t="s">
        <v>464</v>
      </c>
      <c r="R36" s="4" t="s">
        <v>465</v>
      </c>
      <c r="S36" s="3" t="s">
        <v>203</v>
      </c>
      <c r="T36" s="5" t="str">
        <f t="shared" si="1"/>
        <v>Y</v>
      </c>
      <c r="W36" s="5" t="str">
        <f t="shared" si="2"/>
        <v>Y</v>
      </c>
      <c r="X36" s="4" t="s">
        <v>51</v>
      </c>
      <c r="Y36" s="3" t="s">
        <v>466</v>
      </c>
      <c r="Z36" s="3" t="s">
        <v>467</v>
      </c>
      <c r="AA36" s="4" t="s">
        <v>468</v>
      </c>
      <c r="AB36" s="4" t="s">
        <v>469</v>
      </c>
      <c r="AC36" s="5" t="s">
        <v>56</v>
      </c>
      <c r="AH36" s="5" t="str">
        <f t="shared" si="3"/>
        <v>Y</v>
      </c>
      <c r="AI36" s="3" t="s">
        <v>470</v>
      </c>
      <c r="AJ36" s="3" t="s">
        <v>471</v>
      </c>
      <c r="AK36" s="3" t="s">
        <v>472</v>
      </c>
      <c r="AL36" s="3" t="s">
        <v>473</v>
      </c>
      <c r="AM36" s="4" t="s">
        <v>62</v>
      </c>
      <c r="AP36" s="5">
        <v>1</v>
      </c>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row>
    <row r="37" ht="16.5" customHeight="1">
      <c r="A37" s="3" t="s">
        <v>474</v>
      </c>
      <c r="B37" s="3" t="s">
        <v>475</v>
      </c>
      <c r="C37" s="3" t="s">
        <v>476</v>
      </c>
      <c r="D37" s="3" t="s">
        <v>37</v>
      </c>
      <c r="E37" s="4" t="s">
        <v>237</v>
      </c>
      <c r="F37" s="3">
        <v>4424</v>
      </c>
      <c r="H37" s="5" t="str">
        <f t="shared" si="0"/>
        <v>N</v>
      </c>
      <c r="I37" s="4" t="s">
        <v>477</v>
      </c>
      <c r="J37" s="4" t="s">
        <v>403</v>
      </c>
      <c r="K37" s="4" t="s">
        <v>478</v>
      </c>
      <c r="L37" s="4" t="s">
        <v>348</v>
      </c>
      <c r="M37" s="4" t="s">
        <v>479</v>
      </c>
      <c r="N37" s="4" t="s">
        <v>480</v>
      </c>
      <c r="O37" s="4" t="s">
        <v>481</v>
      </c>
      <c r="P37" s="4" t="s">
        <v>241</v>
      </c>
      <c r="Q37" s="4" t="s">
        <v>482</v>
      </c>
      <c r="R37" s="4" t="s">
        <v>483</v>
      </c>
      <c r="S37" s="3" t="s">
        <v>312</v>
      </c>
      <c r="T37" s="5" t="str">
        <f t="shared" si="1"/>
        <v>Y</v>
      </c>
      <c r="W37" s="5" t="str">
        <f t="shared" si="2"/>
        <v>Y</v>
      </c>
      <c r="X37" s="4" t="s">
        <v>51</v>
      </c>
      <c r="Y37" s="3" t="s">
        <v>484</v>
      </c>
      <c r="Z37" s="3" t="s">
        <v>485</v>
      </c>
      <c r="AA37" s="4" t="s">
        <v>486</v>
      </c>
      <c r="AB37" s="4" t="s">
        <v>487</v>
      </c>
      <c r="AC37" s="5" t="s">
        <v>56</v>
      </c>
      <c r="AH37" s="5" t="str">
        <f t="shared" si="3"/>
        <v>Y</v>
      </c>
      <c r="AI37" s="3" t="s">
        <v>488</v>
      </c>
      <c r="AJ37" s="3" t="s">
        <v>489</v>
      </c>
      <c r="AK37" s="3" t="s">
        <v>472</v>
      </c>
      <c r="AL37" s="3" t="s">
        <v>473</v>
      </c>
      <c r="AM37" s="4" t="s">
        <v>62</v>
      </c>
      <c r="AP37" s="5">
        <v>1</v>
      </c>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row>
    <row r="38" ht="16.5" customHeight="1">
      <c r="A38" s="3" t="s">
        <v>490</v>
      </c>
      <c r="B38" s="3" t="s">
        <v>491</v>
      </c>
      <c r="C38" s="3" t="s">
        <v>492</v>
      </c>
      <c r="D38" s="3" t="s">
        <v>37</v>
      </c>
      <c r="E38" s="4" t="s">
        <v>237</v>
      </c>
      <c r="F38" s="3">
        <v>7848</v>
      </c>
      <c r="H38" s="5" t="str">
        <f t="shared" si="0"/>
        <v>N</v>
      </c>
      <c r="I38" s="4" t="s">
        <v>493</v>
      </c>
      <c r="J38" s="4" t="s">
        <v>494</v>
      </c>
      <c r="K38" s="4" t="s">
        <v>495</v>
      </c>
      <c r="L38" s="4" t="s">
        <v>265</v>
      </c>
      <c r="M38" s="4" t="s">
        <v>496</v>
      </c>
      <c r="N38" s="4" t="s">
        <v>497</v>
      </c>
      <c r="O38" s="4" t="s">
        <v>498</v>
      </c>
      <c r="P38" s="4" t="s">
        <v>499</v>
      </c>
      <c r="Q38" s="4" t="s">
        <v>500</v>
      </c>
      <c r="R38" s="4" t="s">
        <v>501</v>
      </c>
      <c r="S38" s="3" t="s">
        <v>182</v>
      </c>
      <c r="T38" s="5" t="str">
        <f t="shared" si="1"/>
        <v>Y</v>
      </c>
      <c r="W38" s="5" t="str">
        <f t="shared" si="2"/>
        <v>Y</v>
      </c>
      <c r="X38" s="4" t="s">
        <v>51</v>
      </c>
      <c r="Y38" s="3" t="s">
        <v>502</v>
      </c>
      <c r="Z38" s="3" t="s">
        <v>503</v>
      </c>
      <c r="AA38" s="4" t="s">
        <v>504</v>
      </c>
      <c r="AB38" s="4" t="s">
        <v>505</v>
      </c>
      <c r="AC38" s="5" t="s">
        <v>56</v>
      </c>
      <c r="AH38" s="5" t="str">
        <f t="shared" si="3"/>
        <v>Y</v>
      </c>
      <c r="AI38" s="3" t="s">
        <v>506</v>
      </c>
      <c r="AJ38" s="3" t="s">
        <v>507</v>
      </c>
      <c r="AK38" s="3" t="s">
        <v>508</v>
      </c>
      <c r="AL38" s="3" t="s">
        <v>509</v>
      </c>
      <c r="AM38" s="4" t="s">
        <v>62</v>
      </c>
      <c r="AP38" s="5">
        <v>1</v>
      </c>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row>
    <row r="39" ht="16.5" customHeight="1">
      <c r="A39" s="3" t="s">
        <v>510</v>
      </c>
      <c r="B39" s="3" t="s">
        <v>511</v>
      </c>
      <c r="C39" s="3" t="s">
        <v>512</v>
      </c>
      <c r="D39" s="3" t="s">
        <v>37</v>
      </c>
      <c r="E39" s="4" t="s">
        <v>513</v>
      </c>
      <c r="F39" s="3">
        <v>9326</v>
      </c>
      <c r="H39" s="5" t="str">
        <f t="shared" si="0"/>
        <v>N</v>
      </c>
      <c r="I39" s="4" t="s">
        <v>514</v>
      </c>
      <c r="J39" s="4" t="s">
        <v>515</v>
      </c>
      <c r="K39" s="4" t="s">
        <v>516</v>
      </c>
      <c r="L39" s="4" t="s">
        <v>517</v>
      </c>
      <c r="M39" s="4" t="s">
        <v>518</v>
      </c>
      <c r="N39" s="4" t="s">
        <v>519</v>
      </c>
      <c r="O39" s="4" t="s">
        <v>520</v>
      </c>
      <c r="P39" s="4" t="s">
        <v>521</v>
      </c>
      <c r="Q39" s="4" t="s">
        <v>522</v>
      </c>
      <c r="R39" s="4" t="s">
        <v>523</v>
      </c>
      <c r="S39" s="3" t="s">
        <v>312</v>
      </c>
      <c r="T39" s="5" t="str">
        <f t="shared" si="1"/>
        <v>Y</v>
      </c>
      <c r="W39" s="5" t="str">
        <f t="shared" si="2"/>
        <v>Y</v>
      </c>
      <c r="X39" s="4" t="s">
        <v>51</v>
      </c>
      <c r="Y39" s="3" t="s">
        <v>524</v>
      </c>
      <c r="Z39" s="3" t="s">
        <v>525</v>
      </c>
      <c r="AA39" s="4" t="s">
        <v>526</v>
      </c>
      <c r="AB39" s="4" t="s">
        <v>527</v>
      </c>
      <c r="AC39" s="5" t="s">
        <v>56</v>
      </c>
      <c r="AH39" s="5" t="str">
        <f t="shared" si="3"/>
        <v>Y</v>
      </c>
      <c r="AI39" s="3" t="s">
        <v>528</v>
      </c>
      <c r="AJ39" s="3" t="s">
        <v>529</v>
      </c>
      <c r="AK39" s="3" t="s">
        <v>530</v>
      </c>
      <c r="AL39" s="3" t="s">
        <v>531</v>
      </c>
      <c r="AM39" s="4" t="s">
        <v>62</v>
      </c>
      <c r="AP39" s="5">
        <v>1</v>
      </c>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row>
    <row r="40" ht="16.5" customHeight="1">
      <c r="A40" s="3" t="s">
        <v>510</v>
      </c>
      <c r="B40" s="3" t="s">
        <v>511</v>
      </c>
      <c r="C40" s="3" t="s">
        <v>512</v>
      </c>
      <c r="D40" s="3" t="s">
        <v>37</v>
      </c>
      <c r="E40" s="4" t="s">
        <v>513</v>
      </c>
      <c r="F40" s="3">
        <v>9326</v>
      </c>
      <c r="H40" s="5" t="str">
        <f t="shared" si="0"/>
        <v>N</v>
      </c>
      <c r="I40" s="4" t="s">
        <v>514</v>
      </c>
      <c r="J40" s="4" t="s">
        <v>515</v>
      </c>
      <c r="K40" s="4" t="s">
        <v>516</v>
      </c>
      <c r="L40" s="4" t="s">
        <v>517</v>
      </c>
      <c r="M40" s="4" t="s">
        <v>518</v>
      </c>
      <c r="N40" s="4" t="s">
        <v>519</v>
      </c>
      <c r="O40" s="4" t="s">
        <v>520</v>
      </c>
      <c r="P40" s="4" t="s">
        <v>521</v>
      </c>
      <c r="Q40" s="4" t="s">
        <v>522</v>
      </c>
      <c r="R40" s="4" t="s">
        <v>523</v>
      </c>
      <c r="S40" s="3" t="s">
        <v>312</v>
      </c>
      <c r="T40" s="5" t="str">
        <f t="shared" si="1"/>
        <v>Y</v>
      </c>
      <c r="W40" s="5" t="str">
        <f t="shared" si="2"/>
        <v>Y</v>
      </c>
      <c r="X40" s="4" t="s">
        <v>51</v>
      </c>
      <c r="Y40" s="3" t="s">
        <v>524</v>
      </c>
      <c r="Z40" s="3" t="s">
        <v>525</v>
      </c>
      <c r="AA40" s="4" t="s">
        <v>526</v>
      </c>
      <c r="AB40" s="4" t="s">
        <v>527</v>
      </c>
      <c r="AC40" s="5" t="s">
        <v>56</v>
      </c>
      <c r="AH40" s="5" t="str">
        <f t="shared" si="3"/>
        <v>Y</v>
      </c>
      <c r="AI40" s="3" t="s">
        <v>528</v>
      </c>
      <c r="AJ40" s="3" t="s">
        <v>529</v>
      </c>
      <c r="AK40" s="3" t="s">
        <v>532</v>
      </c>
      <c r="AL40" s="3" t="s">
        <v>533</v>
      </c>
      <c r="AM40" s="4" t="s">
        <v>62</v>
      </c>
      <c r="AP40" s="5">
        <v>1</v>
      </c>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row>
    <row r="41" ht="16.5" customHeight="1">
      <c r="A41" s="3" t="s">
        <v>534</v>
      </c>
      <c r="B41" s="3" t="s">
        <v>535</v>
      </c>
      <c r="C41" s="3" t="s">
        <v>536</v>
      </c>
      <c r="D41" s="3" t="s">
        <v>37</v>
      </c>
      <c r="E41" s="4" t="s">
        <v>237</v>
      </c>
      <c r="F41" s="3">
        <v>5946</v>
      </c>
      <c r="H41" s="5" t="str">
        <f t="shared" si="0"/>
        <v>N</v>
      </c>
      <c r="I41" s="4" t="s">
        <v>537</v>
      </c>
      <c r="J41" s="4" t="s">
        <v>538</v>
      </c>
      <c r="K41" s="4" t="s">
        <v>539</v>
      </c>
      <c r="L41" s="4" t="s">
        <v>480</v>
      </c>
      <c r="M41" s="4" t="s">
        <v>540</v>
      </c>
      <c r="N41" s="4" t="s">
        <v>348</v>
      </c>
      <c r="O41" s="4" t="s">
        <v>541</v>
      </c>
      <c r="P41" s="4" t="s">
        <v>386</v>
      </c>
      <c r="Q41" s="4" t="s">
        <v>387</v>
      </c>
      <c r="R41" s="4" t="s">
        <v>542</v>
      </c>
      <c r="S41" s="3" t="s">
        <v>182</v>
      </c>
      <c r="T41" s="5" t="str">
        <f t="shared" si="1"/>
        <v>Y</v>
      </c>
      <c r="W41" s="5" t="str">
        <f t="shared" si="2"/>
        <v>Y</v>
      </c>
      <c r="X41" s="4" t="s">
        <v>51</v>
      </c>
      <c r="Y41" s="3" t="s">
        <v>543</v>
      </c>
      <c r="Z41" s="3" t="s">
        <v>544</v>
      </c>
      <c r="AA41" s="4" t="s">
        <v>545</v>
      </c>
      <c r="AB41" s="4" t="s">
        <v>546</v>
      </c>
      <c r="AC41" s="5" t="s">
        <v>56</v>
      </c>
      <c r="AH41" s="5" t="str">
        <f t="shared" si="3"/>
        <v>Y</v>
      </c>
      <c r="AI41" s="3" t="s">
        <v>547</v>
      </c>
      <c r="AJ41" s="3" t="s">
        <v>548</v>
      </c>
      <c r="AK41" s="3" t="s">
        <v>549</v>
      </c>
      <c r="AL41" s="3" t="s">
        <v>550</v>
      </c>
      <c r="AM41" s="4" t="s">
        <v>62</v>
      </c>
      <c r="AP41" s="5">
        <v>1</v>
      </c>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row>
    <row r="42" ht="16.5" customHeight="1">
      <c r="A42" s="3" t="s">
        <v>534</v>
      </c>
      <c r="B42" s="3" t="s">
        <v>535</v>
      </c>
      <c r="C42" s="3" t="s">
        <v>536</v>
      </c>
      <c r="D42" s="3" t="s">
        <v>37</v>
      </c>
      <c r="E42" s="4" t="s">
        <v>237</v>
      </c>
      <c r="F42" s="3">
        <v>5946</v>
      </c>
      <c r="H42" s="5" t="str">
        <f t="shared" si="0"/>
        <v>N</v>
      </c>
      <c r="I42" s="4" t="s">
        <v>537</v>
      </c>
      <c r="J42" s="4" t="s">
        <v>538</v>
      </c>
      <c r="K42" s="4" t="s">
        <v>539</v>
      </c>
      <c r="L42" s="4" t="s">
        <v>480</v>
      </c>
      <c r="M42" s="4" t="s">
        <v>540</v>
      </c>
      <c r="N42" s="4" t="s">
        <v>348</v>
      </c>
      <c r="O42" s="4" t="s">
        <v>541</v>
      </c>
      <c r="P42" s="4" t="s">
        <v>386</v>
      </c>
      <c r="Q42" s="4" t="s">
        <v>387</v>
      </c>
      <c r="R42" s="4" t="s">
        <v>542</v>
      </c>
      <c r="S42" s="3" t="s">
        <v>182</v>
      </c>
      <c r="T42" s="5" t="str">
        <f t="shared" si="1"/>
        <v>Y</v>
      </c>
      <c r="W42" s="5" t="str">
        <f t="shared" si="2"/>
        <v>Y</v>
      </c>
      <c r="X42" s="4" t="s">
        <v>51</v>
      </c>
      <c r="Y42" s="3" t="s">
        <v>543</v>
      </c>
      <c r="Z42" s="3" t="s">
        <v>544</v>
      </c>
      <c r="AA42" s="4" t="s">
        <v>545</v>
      </c>
      <c r="AB42" s="4" t="s">
        <v>546</v>
      </c>
      <c r="AC42" s="5" t="s">
        <v>56</v>
      </c>
      <c r="AH42" s="5" t="str">
        <f t="shared" si="3"/>
        <v>Y</v>
      </c>
      <c r="AI42" s="3" t="s">
        <v>547</v>
      </c>
      <c r="AJ42" s="3" t="s">
        <v>548</v>
      </c>
      <c r="AK42" s="3" t="s">
        <v>549</v>
      </c>
      <c r="AL42" s="3" t="s">
        <v>550</v>
      </c>
      <c r="AM42" s="4" t="s">
        <v>62</v>
      </c>
      <c r="AP42" s="5">
        <v>1</v>
      </c>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row>
    <row r="43" ht="16.5" customHeight="1">
      <c r="A43" s="3" t="s">
        <v>551</v>
      </c>
      <c r="B43" s="3" t="s">
        <v>552</v>
      </c>
      <c r="C43" s="3" t="s">
        <v>553</v>
      </c>
      <c r="D43" s="3" t="s">
        <v>37</v>
      </c>
      <c r="E43" s="4" t="s">
        <v>237</v>
      </c>
      <c r="F43" s="3">
        <v>3575</v>
      </c>
      <c r="H43" s="5" t="str">
        <f t="shared" si="0"/>
        <v>N</v>
      </c>
      <c r="I43" s="4" t="s">
        <v>554</v>
      </c>
      <c r="J43" s="4" t="s">
        <v>555</v>
      </c>
      <c r="K43" s="4" t="s">
        <v>556</v>
      </c>
      <c r="L43" s="4" t="s">
        <v>263</v>
      </c>
      <c r="M43" s="4" t="s">
        <v>557</v>
      </c>
      <c r="N43" s="4" t="s">
        <v>241</v>
      </c>
      <c r="O43" s="4" t="s">
        <v>558</v>
      </c>
      <c r="P43" s="4" t="s">
        <v>386</v>
      </c>
      <c r="Q43" s="4" t="s">
        <v>464</v>
      </c>
      <c r="R43" s="4" t="s">
        <v>559</v>
      </c>
      <c r="S43" s="3" t="s">
        <v>428</v>
      </c>
      <c r="T43" s="5" t="str">
        <f t="shared" si="1"/>
        <v>Y</v>
      </c>
      <c r="W43" s="5" t="str">
        <f t="shared" si="2"/>
        <v>Y</v>
      </c>
      <c r="X43" s="4" t="s">
        <v>51</v>
      </c>
      <c r="Y43" s="3" t="s">
        <v>560</v>
      </c>
      <c r="Z43" s="3" t="s">
        <v>561</v>
      </c>
      <c r="AA43" s="4" t="s">
        <v>562</v>
      </c>
      <c r="AB43" s="4" t="s">
        <v>563</v>
      </c>
      <c r="AC43" s="5" t="s">
        <v>56</v>
      </c>
      <c r="AH43" s="5" t="str">
        <f t="shared" si="3"/>
        <v>Y</v>
      </c>
      <c r="AI43" s="3" t="s">
        <v>564</v>
      </c>
      <c r="AJ43" s="3" t="s">
        <v>565</v>
      </c>
      <c r="AK43" s="3" t="s">
        <v>566</v>
      </c>
      <c r="AL43" s="3" t="s">
        <v>567</v>
      </c>
      <c r="AM43" s="4" t="s">
        <v>62</v>
      </c>
      <c r="AP43" s="5">
        <v>1</v>
      </c>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row>
    <row r="44" ht="16.5" customHeight="1">
      <c r="A44" s="3" t="s">
        <v>551</v>
      </c>
      <c r="B44" s="3" t="s">
        <v>552</v>
      </c>
      <c r="C44" s="3" t="s">
        <v>553</v>
      </c>
      <c r="D44" s="3" t="s">
        <v>37</v>
      </c>
      <c r="E44" s="4" t="s">
        <v>237</v>
      </c>
      <c r="F44" s="3">
        <v>3575</v>
      </c>
      <c r="H44" s="5" t="str">
        <f t="shared" si="0"/>
        <v>N</v>
      </c>
      <c r="I44" s="4" t="s">
        <v>554</v>
      </c>
      <c r="J44" s="4" t="s">
        <v>555</v>
      </c>
      <c r="K44" s="4" t="s">
        <v>556</v>
      </c>
      <c r="L44" s="4" t="s">
        <v>263</v>
      </c>
      <c r="M44" s="4" t="s">
        <v>557</v>
      </c>
      <c r="N44" s="4" t="s">
        <v>241</v>
      </c>
      <c r="O44" s="4" t="s">
        <v>558</v>
      </c>
      <c r="P44" s="4" t="s">
        <v>386</v>
      </c>
      <c r="Q44" s="4" t="s">
        <v>464</v>
      </c>
      <c r="R44" s="4" t="s">
        <v>568</v>
      </c>
      <c r="S44" s="3" t="s">
        <v>428</v>
      </c>
      <c r="T44" s="5" t="str">
        <f t="shared" si="1"/>
        <v>Y</v>
      </c>
      <c r="W44" s="5" t="str">
        <f t="shared" si="2"/>
        <v>Y</v>
      </c>
      <c r="X44" s="4" t="s">
        <v>51</v>
      </c>
      <c r="Y44" s="3" t="s">
        <v>560</v>
      </c>
      <c r="Z44" s="3" t="s">
        <v>561</v>
      </c>
      <c r="AA44" s="4" t="s">
        <v>562</v>
      </c>
      <c r="AB44" s="4" t="s">
        <v>563</v>
      </c>
      <c r="AC44" s="5" t="s">
        <v>56</v>
      </c>
      <c r="AH44" s="5" t="str">
        <f t="shared" si="3"/>
        <v>Y</v>
      </c>
      <c r="AI44" s="3" t="s">
        <v>564</v>
      </c>
      <c r="AJ44" s="3" t="s">
        <v>565</v>
      </c>
      <c r="AK44" s="3" t="s">
        <v>566</v>
      </c>
      <c r="AL44" s="3" t="s">
        <v>567</v>
      </c>
      <c r="AM44" s="4" t="s">
        <v>62</v>
      </c>
      <c r="AP44" s="5">
        <v>1</v>
      </c>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row>
    <row r="45" ht="16.5" customHeight="1">
      <c r="A45" s="3" t="s">
        <v>569</v>
      </c>
      <c r="B45" s="3" t="s">
        <v>570</v>
      </c>
      <c r="C45" s="3" t="s">
        <v>571</v>
      </c>
      <c r="D45" s="3" t="s">
        <v>37</v>
      </c>
      <c r="E45" s="4" t="s">
        <v>237</v>
      </c>
      <c r="F45" s="3">
        <v>3574</v>
      </c>
      <c r="H45" s="5" t="str">
        <f t="shared" si="0"/>
        <v>N</v>
      </c>
      <c r="I45" s="4" t="s">
        <v>572</v>
      </c>
      <c r="J45" s="4" t="s">
        <v>573</v>
      </c>
      <c r="K45" s="4" t="s">
        <v>574</v>
      </c>
      <c r="L45" s="4" t="s">
        <v>575</v>
      </c>
      <c r="M45" s="4" t="s">
        <v>576</v>
      </c>
      <c r="N45" s="4" t="s">
        <v>577</v>
      </c>
      <c r="O45" s="4" t="s">
        <v>578</v>
      </c>
      <c r="P45" s="4" t="s">
        <v>241</v>
      </c>
      <c r="Q45" s="4" t="s">
        <v>579</v>
      </c>
      <c r="R45" s="4" t="s">
        <v>580</v>
      </c>
      <c r="S45" s="3" t="s">
        <v>581</v>
      </c>
      <c r="T45" s="5" t="str">
        <f t="shared" si="1"/>
        <v>Y</v>
      </c>
      <c r="W45" s="5" t="str">
        <f t="shared" si="2"/>
        <v>Y</v>
      </c>
      <c r="X45" s="4" t="s">
        <v>51</v>
      </c>
      <c r="Y45" s="3" t="s">
        <v>582</v>
      </c>
      <c r="Z45" s="3" t="s">
        <v>583</v>
      </c>
      <c r="AA45" s="4" t="s">
        <v>584</v>
      </c>
      <c r="AB45" s="4" t="s">
        <v>585</v>
      </c>
      <c r="AC45" s="5" t="s">
        <v>56</v>
      </c>
      <c r="AH45" s="5" t="str">
        <f t="shared" si="3"/>
        <v>Y</v>
      </c>
      <c r="AI45" s="3" t="s">
        <v>586</v>
      </c>
      <c r="AJ45" s="3" t="s">
        <v>587</v>
      </c>
      <c r="AK45" s="3" t="s">
        <v>588</v>
      </c>
      <c r="AL45" s="3" t="s">
        <v>589</v>
      </c>
      <c r="AM45" s="4" t="s">
        <v>62</v>
      </c>
      <c r="AP45" s="5">
        <v>1</v>
      </c>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row>
    <row r="46" ht="16.5" customHeight="1">
      <c r="A46" s="3" t="s">
        <v>569</v>
      </c>
      <c r="B46" s="3" t="s">
        <v>570</v>
      </c>
      <c r="C46" s="3" t="s">
        <v>571</v>
      </c>
      <c r="D46" s="3" t="s">
        <v>37</v>
      </c>
      <c r="E46" s="4" t="s">
        <v>237</v>
      </c>
      <c r="F46" s="3">
        <v>3574</v>
      </c>
      <c r="H46" s="5" t="str">
        <f t="shared" si="0"/>
        <v>N</v>
      </c>
      <c r="I46" s="4" t="s">
        <v>572</v>
      </c>
      <c r="J46" s="4" t="s">
        <v>573</v>
      </c>
      <c r="K46" s="4" t="s">
        <v>574</v>
      </c>
      <c r="L46" s="4" t="s">
        <v>575</v>
      </c>
      <c r="M46" s="4" t="s">
        <v>576</v>
      </c>
      <c r="N46" s="4" t="s">
        <v>577</v>
      </c>
      <c r="O46" s="4" t="s">
        <v>578</v>
      </c>
      <c r="P46" s="4" t="s">
        <v>241</v>
      </c>
      <c r="Q46" s="4" t="s">
        <v>579</v>
      </c>
      <c r="R46" s="4" t="s">
        <v>580</v>
      </c>
      <c r="S46" s="3" t="s">
        <v>581</v>
      </c>
      <c r="T46" s="5" t="str">
        <f t="shared" si="1"/>
        <v>Y</v>
      </c>
      <c r="W46" s="5" t="str">
        <f t="shared" si="2"/>
        <v>Y</v>
      </c>
      <c r="X46" s="4" t="s">
        <v>51</v>
      </c>
      <c r="Y46" s="3" t="s">
        <v>582</v>
      </c>
      <c r="Z46" s="3" t="s">
        <v>583</v>
      </c>
      <c r="AA46" s="4" t="s">
        <v>584</v>
      </c>
      <c r="AB46" s="4" t="s">
        <v>585</v>
      </c>
      <c r="AC46" s="5" t="s">
        <v>56</v>
      </c>
      <c r="AH46" s="5" t="str">
        <f t="shared" si="3"/>
        <v>Y</v>
      </c>
      <c r="AI46" s="3" t="s">
        <v>586</v>
      </c>
      <c r="AJ46" s="3" t="s">
        <v>587</v>
      </c>
      <c r="AK46" s="3" t="s">
        <v>588</v>
      </c>
      <c r="AL46" s="3" t="s">
        <v>589</v>
      </c>
      <c r="AM46" s="4" t="s">
        <v>62</v>
      </c>
      <c r="AP46" s="5">
        <v>1</v>
      </c>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row>
    <row r="47" ht="16.5" customHeight="1">
      <c r="A47" s="3" t="s">
        <v>590</v>
      </c>
      <c r="B47" s="3" t="s">
        <v>591</v>
      </c>
      <c r="C47" s="3" t="s">
        <v>592</v>
      </c>
      <c r="D47" s="3" t="s">
        <v>593</v>
      </c>
      <c r="E47" s="4" t="s">
        <v>594</v>
      </c>
      <c r="F47" s="3">
        <v>4430</v>
      </c>
      <c r="H47" s="5" t="str">
        <f t="shared" si="0"/>
        <v>N</v>
      </c>
      <c r="I47" s="4" t="s">
        <v>595</v>
      </c>
      <c r="J47" s="4" t="s">
        <v>596</v>
      </c>
      <c r="K47" s="4" t="s">
        <v>597</v>
      </c>
      <c r="L47" s="4" t="s">
        <v>598</v>
      </c>
      <c r="M47" s="4" t="s">
        <v>599</v>
      </c>
      <c r="N47" s="4" t="s">
        <v>600</v>
      </c>
      <c r="O47" s="4" t="s">
        <v>601</v>
      </c>
      <c r="P47" s="4" t="s">
        <v>602</v>
      </c>
      <c r="Q47" s="4" t="s">
        <v>603</v>
      </c>
      <c r="R47" s="4" t="s">
        <v>604</v>
      </c>
      <c r="S47" s="3" t="s">
        <v>428</v>
      </c>
      <c r="T47" s="5" t="str">
        <f t="shared" si="1"/>
        <v>Y</v>
      </c>
      <c r="W47" s="5" t="str">
        <f t="shared" si="2"/>
        <v>Y</v>
      </c>
      <c r="X47" s="4" t="s">
        <v>51</v>
      </c>
      <c r="Y47" s="3" t="s">
        <v>605</v>
      </c>
      <c r="Z47" s="3" t="s">
        <v>606</v>
      </c>
      <c r="AA47" s="4" t="s">
        <v>607</v>
      </c>
      <c r="AB47" s="4" t="s">
        <v>608</v>
      </c>
      <c r="AC47" s="5" t="s">
        <v>56</v>
      </c>
      <c r="AH47" s="5" t="str">
        <f t="shared" si="3"/>
        <v>Y</v>
      </c>
      <c r="AI47" s="3" t="s">
        <v>609</v>
      </c>
      <c r="AJ47" s="3" t="s">
        <v>610</v>
      </c>
      <c r="AK47" s="3" t="s">
        <v>611</v>
      </c>
      <c r="AL47" s="3" t="s">
        <v>612</v>
      </c>
      <c r="AM47" s="4" t="s">
        <v>62</v>
      </c>
      <c r="AP47" s="5">
        <v>1</v>
      </c>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row>
    <row r="48" ht="16.5" customHeight="1">
      <c r="A48" s="3" t="s">
        <v>590</v>
      </c>
      <c r="B48" s="3" t="s">
        <v>591</v>
      </c>
      <c r="C48" s="3" t="s">
        <v>592</v>
      </c>
      <c r="D48" s="3" t="s">
        <v>593</v>
      </c>
      <c r="E48" s="4" t="s">
        <v>594</v>
      </c>
      <c r="F48" s="3">
        <v>4430</v>
      </c>
      <c r="H48" s="5" t="str">
        <f t="shared" si="0"/>
        <v>N</v>
      </c>
      <c r="I48" s="4" t="s">
        <v>595</v>
      </c>
      <c r="J48" s="4" t="s">
        <v>596</v>
      </c>
      <c r="K48" s="4" t="s">
        <v>597</v>
      </c>
      <c r="L48" s="4" t="s">
        <v>598</v>
      </c>
      <c r="M48" s="4" t="s">
        <v>599</v>
      </c>
      <c r="N48" s="4" t="s">
        <v>600</v>
      </c>
      <c r="O48" s="4" t="s">
        <v>601</v>
      </c>
      <c r="P48" s="4" t="s">
        <v>602</v>
      </c>
      <c r="Q48" s="4" t="s">
        <v>603</v>
      </c>
      <c r="R48" s="4" t="s">
        <v>604</v>
      </c>
      <c r="S48" s="3" t="s">
        <v>428</v>
      </c>
      <c r="T48" s="5" t="str">
        <f t="shared" si="1"/>
        <v>Y</v>
      </c>
      <c r="W48" s="5" t="str">
        <f t="shared" si="2"/>
        <v>Y</v>
      </c>
      <c r="X48" s="4" t="s">
        <v>51</v>
      </c>
      <c r="Y48" s="3" t="s">
        <v>605</v>
      </c>
      <c r="Z48" s="3" t="s">
        <v>606</v>
      </c>
      <c r="AA48" s="4" t="s">
        <v>607</v>
      </c>
      <c r="AB48" s="4" t="s">
        <v>608</v>
      </c>
      <c r="AC48" s="5" t="s">
        <v>56</v>
      </c>
      <c r="AH48" s="5" t="str">
        <f t="shared" si="3"/>
        <v>Y</v>
      </c>
      <c r="AI48" s="3" t="s">
        <v>609</v>
      </c>
      <c r="AJ48" s="3" t="s">
        <v>610</v>
      </c>
      <c r="AK48" s="3" t="s">
        <v>611</v>
      </c>
      <c r="AL48" s="3" t="s">
        <v>612</v>
      </c>
      <c r="AM48" s="4" t="s">
        <v>62</v>
      </c>
      <c r="AP48" s="5">
        <v>1</v>
      </c>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row>
    <row r="49" ht="16.5" customHeight="1">
      <c r="A49" s="3" t="s">
        <v>613</v>
      </c>
      <c r="B49" s="3" t="s">
        <v>614</v>
      </c>
      <c r="C49" s="3" t="s">
        <v>615</v>
      </c>
      <c r="D49" s="3" t="s">
        <v>593</v>
      </c>
      <c r="E49" s="4" t="s">
        <v>616</v>
      </c>
      <c r="F49" s="3">
        <v>4250</v>
      </c>
      <c r="H49" s="5" t="str">
        <f t="shared" si="0"/>
        <v>N</v>
      </c>
      <c r="I49" s="4" t="s">
        <v>617</v>
      </c>
      <c r="J49" s="4" t="s">
        <v>618</v>
      </c>
      <c r="K49" s="4" t="s">
        <v>619</v>
      </c>
      <c r="L49" s="4" t="s">
        <v>196</v>
      </c>
      <c r="M49" s="4" t="s">
        <v>620</v>
      </c>
      <c r="N49" s="4" t="s">
        <v>161</v>
      </c>
      <c r="O49" s="4" t="s">
        <v>621</v>
      </c>
      <c r="P49" s="4" t="s">
        <v>622</v>
      </c>
      <c r="Q49" s="4" t="s">
        <v>623</v>
      </c>
      <c r="R49" s="4" t="s">
        <v>624</v>
      </c>
      <c r="S49" s="3" t="s">
        <v>428</v>
      </c>
      <c r="T49" s="5" t="str">
        <f t="shared" si="1"/>
        <v>Y</v>
      </c>
      <c r="W49" s="5" t="str">
        <f t="shared" si="2"/>
        <v>Y</v>
      </c>
      <c r="X49" s="4" t="s">
        <v>51</v>
      </c>
      <c r="Y49" s="3" t="s">
        <v>625</v>
      </c>
      <c r="Z49" s="3" t="s">
        <v>626</v>
      </c>
      <c r="AA49" s="4" t="s">
        <v>627</v>
      </c>
      <c r="AB49" s="4" t="s">
        <v>628</v>
      </c>
      <c r="AC49" s="5" t="s">
        <v>56</v>
      </c>
      <c r="AH49" s="5" t="str">
        <f t="shared" si="3"/>
        <v>Y</v>
      </c>
      <c r="AI49" s="3" t="s">
        <v>629</v>
      </c>
      <c r="AJ49" s="3" t="s">
        <v>630</v>
      </c>
      <c r="AK49" s="3" t="s">
        <v>631</v>
      </c>
      <c r="AL49" s="3" t="s">
        <v>632</v>
      </c>
      <c r="AM49" s="4" t="s">
        <v>62</v>
      </c>
      <c r="AP49" s="5">
        <v>1</v>
      </c>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row>
    <row r="50" ht="16.5" customHeight="1">
      <c r="A50" s="3" t="s">
        <v>633</v>
      </c>
      <c r="B50" s="3" t="s">
        <v>634</v>
      </c>
      <c r="C50" s="3" t="s">
        <v>635</v>
      </c>
      <c r="D50" s="3" t="s">
        <v>593</v>
      </c>
      <c r="E50" s="4" t="s">
        <v>594</v>
      </c>
      <c r="F50" s="3">
        <v>7333</v>
      </c>
      <c r="H50" s="5" t="str">
        <f t="shared" si="0"/>
        <v>N</v>
      </c>
      <c r="I50" s="4" t="s">
        <v>636</v>
      </c>
      <c r="J50" s="4" t="s">
        <v>637</v>
      </c>
      <c r="K50" s="4" t="s">
        <v>638</v>
      </c>
      <c r="L50" s="4" t="s">
        <v>639</v>
      </c>
      <c r="M50" s="4" t="s">
        <v>640</v>
      </c>
      <c r="N50" s="4" t="s">
        <v>263</v>
      </c>
      <c r="O50" s="4" t="s">
        <v>641</v>
      </c>
      <c r="P50" s="4" t="s">
        <v>642</v>
      </c>
      <c r="Q50" s="4" t="s">
        <v>643</v>
      </c>
      <c r="R50" s="4" t="s">
        <v>644</v>
      </c>
      <c r="S50" s="4" t="s">
        <v>312</v>
      </c>
      <c r="T50" s="5" t="str">
        <f t="shared" si="1"/>
        <v>Y</v>
      </c>
      <c r="W50" s="5" t="str">
        <f t="shared" si="2"/>
        <v>Y</v>
      </c>
      <c r="X50" s="4" t="s">
        <v>51</v>
      </c>
      <c r="Y50" s="4" t="s">
        <v>645</v>
      </c>
      <c r="Z50" s="4" t="s">
        <v>646</v>
      </c>
      <c r="AA50" s="4" t="s">
        <v>647</v>
      </c>
      <c r="AB50" s="4" t="s">
        <v>648</v>
      </c>
      <c r="AC50" s="5" t="s">
        <v>56</v>
      </c>
      <c r="AH50" s="5" t="str">
        <f t="shared" si="3"/>
        <v>Y</v>
      </c>
      <c r="AI50" s="4" t="s">
        <v>649</v>
      </c>
      <c r="AJ50" s="4" t="s">
        <v>650</v>
      </c>
      <c r="AK50" s="3" t="s">
        <v>651</v>
      </c>
      <c r="AL50" s="3" t="s">
        <v>652</v>
      </c>
      <c r="AM50" s="4" t="s">
        <v>62</v>
      </c>
      <c r="AP50" s="5">
        <v>1</v>
      </c>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row>
    <row r="51" ht="16.5" customHeight="1">
      <c r="A51" s="3" t="s">
        <v>633</v>
      </c>
      <c r="B51" s="3" t="s">
        <v>634</v>
      </c>
      <c r="C51" s="3" t="s">
        <v>635</v>
      </c>
      <c r="D51" s="3" t="s">
        <v>593</v>
      </c>
      <c r="E51" s="4" t="s">
        <v>594</v>
      </c>
      <c r="F51" s="3">
        <v>7333</v>
      </c>
      <c r="H51" s="5" t="str">
        <f t="shared" si="0"/>
        <v>N</v>
      </c>
      <c r="I51" s="4" t="s">
        <v>636</v>
      </c>
      <c r="J51" s="4" t="s">
        <v>637</v>
      </c>
      <c r="K51" s="4" t="s">
        <v>638</v>
      </c>
      <c r="L51" s="4" t="s">
        <v>639</v>
      </c>
      <c r="M51" s="4" t="s">
        <v>640</v>
      </c>
      <c r="N51" s="4" t="s">
        <v>263</v>
      </c>
      <c r="O51" s="4" t="s">
        <v>641</v>
      </c>
      <c r="P51" s="4" t="s">
        <v>642</v>
      </c>
      <c r="Q51" s="4" t="s">
        <v>643</v>
      </c>
      <c r="R51" s="4" t="s">
        <v>644</v>
      </c>
      <c r="S51" s="4" t="s">
        <v>312</v>
      </c>
      <c r="T51" s="5" t="str">
        <f t="shared" si="1"/>
        <v>Y</v>
      </c>
      <c r="W51" s="5" t="str">
        <f t="shared" si="2"/>
        <v>Y</v>
      </c>
      <c r="X51" s="4" t="s">
        <v>51</v>
      </c>
      <c r="Y51" s="4" t="s">
        <v>645</v>
      </c>
      <c r="Z51" s="4" t="s">
        <v>646</v>
      </c>
      <c r="AA51" s="4" t="s">
        <v>647</v>
      </c>
      <c r="AB51" s="4" t="s">
        <v>648</v>
      </c>
      <c r="AC51" s="5" t="s">
        <v>56</v>
      </c>
      <c r="AH51" s="5" t="str">
        <f t="shared" si="3"/>
        <v>Y</v>
      </c>
      <c r="AI51" s="4" t="s">
        <v>649</v>
      </c>
      <c r="AJ51" s="4" t="s">
        <v>650</v>
      </c>
      <c r="AK51" s="3" t="s">
        <v>651</v>
      </c>
      <c r="AL51" s="3" t="s">
        <v>652</v>
      </c>
      <c r="AM51" s="4" t="s">
        <v>62</v>
      </c>
      <c r="AP51" s="5">
        <v>1</v>
      </c>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row>
    <row r="52" ht="16.5" customHeight="1">
      <c r="A52" s="3" t="s">
        <v>653</v>
      </c>
      <c r="B52" s="3" t="s">
        <v>654</v>
      </c>
      <c r="C52" s="3" t="s">
        <v>655</v>
      </c>
      <c r="D52" s="3" t="s">
        <v>593</v>
      </c>
      <c r="E52" s="4" t="s">
        <v>594</v>
      </c>
      <c r="F52" s="3">
        <v>4742</v>
      </c>
      <c r="H52" s="5" t="str">
        <f t="shared" si="0"/>
        <v>N</v>
      </c>
      <c r="I52" s="4" t="s">
        <v>656</v>
      </c>
      <c r="J52" s="4" t="s">
        <v>657</v>
      </c>
      <c r="K52" s="4" t="s">
        <v>658</v>
      </c>
      <c r="L52" s="4" t="s">
        <v>577</v>
      </c>
      <c r="M52" s="4" t="s">
        <v>659</v>
      </c>
      <c r="N52" s="4" t="s">
        <v>660</v>
      </c>
      <c r="O52" s="4" t="s">
        <v>661</v>
      </c>
      <c r="P52" s="4" t="s">
        <v>662</v>
      </c>
      <c r="Q52" s="4" t="s">
        <v>663</v>
      </c>
      <c r="R52" s="4" t="s">
        <v>664</v>
      </c>
      <c r="S52" s="3" t="s">
        <v>428</v>
      </c>
      <c r="T52" s="5" t="str">
        <f t="shared" si="1"/>
        <v>Y</v>
      </c>
      <c r="W52" s="5" t="str">
        <f t="shared" si="2"/>
        <v>Y</v>
      </c>
      <c r="X52" s="4" t="s">
        <v>51</v>
      </c>
      <c r="Y52" s="3" t="s">
        <v>665</v>
      </c>
      <c r="Z52" s="3" t="s">
        <v>666</v>
      </c>
      <c r="AA52" s="4" t="s">
        <v>667</v>
      </c>
      <c r="AB52" s="4" t="s">
        <v>668</v>
      </c>
      <c r="AC52" s="5" t="s">
        <v>56</v>
      </c>
      <c r="AH52" s="5" t="str">
        <f t="shared" si="3"/>
        <v>Y</v>
      </c>
      <c r="AI52" s="3" t="s">
        <v>669</v>
      </c>
      <c r="AJ52" s="3" t="s">
        <v>670</v>
      </c>
      <c r="AK52" s="3" t="s">
        <v>671</v>
      </c>
      <c r="AL52" s="3" t="s">
        <v>672</v>
      </c>
      <c r="AM52" s="4" t="s">
        <v>62</v>
      </c>
      <c r="AP52" s="5">
        <v>1</v>
      </c>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row>
    <row r="53" ht="16.5" customHeight="1">
      <c r="A53" s="3" t="s">
        <v>653</v>
      </c>
      <c r="B53" s="3" t="s">
        <v>654</v>
      </c>
      <c r="C53" s="3" t="s">
        <v>655</v>
      </c>
      <c r="D53" s="3" t="s">
        <v>593</v>
      </c>
      <c r="E53" s="4" t="s">
        <v>594</v>
      </c>
      <c r="F53" s="3">
        <v>4742</v>
      </c>
      <c r="H53" s="5" t="str">
        <f t="shared" si="0"/>
        <v>N</v>
      </c>
      <c r="I53" s="4" t="s">
        <v>656</v>
      </c>
      <c r="J53" s="4" t="s">
        <v>657</v>
      </c>
      <c r="K53" s="4" t="s">
        <v>658</v>
      </c>
      <c r="L53" s="4" t="s">
        <v>577</v>
      </c>
      <c r="M53" s="4" t="s">
        <v>659</v>
      </c>
      <c r="N53" s="4" t="s">
        <v>660</v>
      </c>
      <c r="O53" s="4" t="s">
        <v>661</v>
      </c>
      <c r="P53" s="4" t="s">
        <v>662</v>
      </c>
      <c r="Q53" s="4" t="s">
        <v>663</v>
      </c>
      <c r="R53" s="4" t="s">
        <v>664</v>
      </c>
      <c r="S53" s="3" t="s">
        <v>428</v>
      </c>
      <c r="T53" s="5" t="str">
        <f t="shared" si="1"/>
        <v>Y</v>
      </c>
      <c r="W53" s="5" t="str">
        <f t="shared" si="2"/>
        <v>Y</v>
      </c>
      <c r="X53" s="4" t="s">
        <v>51</v>
      </c>
      <c r="Y53" s="3" t="s">
        <v>665</v>
      </c>
      <c r="Z53" s="3" t="s">
        <v>666</v>
      </c>
      <c r="AA53" s="4" t="s">
        <v>667</v>
      </c>
      <c r="AB53" s="4" t="s">
        <v>668</v>
      </c>
      <c r="AC53" s="5" t="s">
        <v>56</v>
      </c>
      <c r="AH53" s="5" t="str">
        <f t="shared" si="3"/>
        <v>Y</v>
      </c>
      <c r="AI53" s="3" t="s">
        <v>669</v>
      </c>
      <c r="AJ53" s="3" t="s">
        <v>670</v>
      </c>
      <c r="AK53" s="3" t="s">
        <v>671</v>
      </c>
      <c r="AL53" s="3" t="s">
        <v>672</v>
      </c>
      <c r="AM53" s="4" t="s">
        <v>62</v>
      </c>
      <c r="AP53" s="5">
        <v>1</v>
      </c>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row>
    <row r="54" ht="16.5" customHeight="1">
      <c r="A54" s="3" t="s">
        <v>673</v>
      </c>
      <c r="B54" s="3" t="s">
        <v>674</v>
      </c>
      <c r="C54" s="3" t="s">
        <v>675</v>
      </c>
      <c r="D54" s="3" t="s">
        <v>593</v>
      </c>
      <c r="E54" s="4" t="s">
        <v>594</v>
      </c>
      <c r="F54" s="3">
        <v>4429</v>
      </c>
      <c r="H54" s="5" t="str">
        <f t="shared" si="0"/>
        <v>N</v>
      </c>
      <c r="I54" s="4" t="s">
        <v>676</v>
      </c>
      <c r="J54" s="4" t="s">
        <v>657</v>
      </c>
      <c r="K54" s="4" t="s">
        <v>677</v>
      </c>
      <c r="L54" s="4" t="s">
        <v>577</v>
      </c>
      <c r="M54" s="4" t="s">
        <v>678</v>
      </c>
      <c r="N54" s="4" t="s">
        <v>662</v>
      </c>
      <c r="O54" s="4" t="s">
        <v>679</v>
      </c>
      <c r="P54" s="4" t="s">
        <v>680</v>
      </c>
      <c r="Q54" s="4" t="s">
        <v>681</v>
      </c>
      <c r="R54" s="4" t="s">
        <v>682</v>
      </c>
      <c r="S54" s="3" t="s">
        <v>428</v>
      </c>
      <c r="T54" s="5" t="str">
        <f t="shared" si="1"/>
        <v>Y</v>
      </c>
      <c r="W54" s="5" t="str">
        <f t="shared" si="2"/>
        <v>Y</v>
      </c>
      <c r="X54" s="4" t="s">
        <v>51</v>
      </c>
      <c r="Y54" s="3" t="s">
        <v>683</v>
      </c>
      <c r="Z54" s="3" t="s">
        <v>684</v>
      </c>
      <c r="AA54" s="4" t="s">
        <v>685</v>
      </c>
      <c r="AB54" s="4" t="s">
        <v>686</v>
      </c>
      <c r="AC54" s="5" t="s">
        <v>56</v>
      </c>
      <c r="AH54" s="5" t="str">
        <f t="shared" si="3"/>
        <v>Y</v>
      </c>
      <c r="AI54" s="3" t="s">
        <v>687</v>
      </c>
      <c r="AJ54" s="3" t="s">
        <v>688</v>
      </c>
      <c r="AK54" s="3" t="s">
        <v>689</v>
      </c>
      <c r="AL54" s="3" t="s">
        <v>690</v>
      </c>
      <c r="AM54" s="4" t="s">
        <v>62</v>
      </c>
      <c r="AP54" s="5">
        <v>1</v>
      </c>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row>
    <row r="55" ht="16.5" customHeight="1">
      <c r="A55" s="3" t="s">
        <v>673</v>
      </c>
      <c r="B55" s="3" t="s">
        <v>674</v>
      </c>
      <c r="C55" s="3" t="s">
        <v>675</v>
      </c>
      <c r="D55" s="3" t="s">
        <v>593</v>
      </c>
      <c r="E55" s="4" t="s">
        <v>594</v>
      </c>
      <c r="F55" s="3">
        <v>4429</v>
      </c>
      <c r="H55" s="5" t="str">
        <f t="shared" si="0"/>
        <v>N</v>
      </c>
      <c r="I55" s="4" t="s">
        <v>676</v>
      </c>
      <c r="J55" s="4" t="s">
        <v>657</v>
      </c>
      <c r="K55" s="4" t="s">
        <v>677</v>
      </c>
      <c r="L55" s="4" t="s">
        <v>577</v>
      </c>
      <c r="M55" s="4" t="s">
        <v>678</v>
      </c>
      <c r="N55" s="4" t="s">
        <v>662</v>
      </c>
      <c r="O55" s="4" t="s">
        <v>679</v>
      </c>
      <c r="P55" s="4" t="s">
        <v>680</v>
      </c>
      <c r="Q55" s="4" t="s">
        <v>681</v>
      </c>
      <c r="R55" s="4" t="s">
        <v>682</v>
      </c>
      <c r="S55" s="3" t="s">
        <v>428</v>
      </c>
      <c r="T55" s="5" t="str">
        <f t="shared" si="1"/>
        <v>Y</v>
      </c>
      <c r="W55" s="5" t="str">
        <f t="shared" si="2"/>
        <v>Y</v>
      </c>
      <c r="X55" s="4" t="s">
        <v>51</v>
      </c>
      <c r="Y55" s="3" t="s">
        <v>683</v>
      </c>
      <c r="Z55" s="3" t="s">
        <v>684</v>
      </c>
      <c r="AA55" s="4" t="s">
        <v>685</v>
      </c>
      <c r="AB55" s="4" t="s">
        <v>686</v>
      </c>
      <c r="AC55" s="5" t="s">
        <v>56</v>
      </c>
      <c r="AH55" s="5" t="str">
        <f t="shared" si="3"/>
        <v>Y</v>
      </c>
      <c r="AI55" s="3" t="s">
        <v>687</v>
      </c>
      <c r="AJ55" s="3" t="s">
        <v>688</v>
      </c>
      <c r="AK55" s="3" t="s">
        <v>689</v>
      </c>
      <c r="AL55" s="3" t="s">
        <v>690</v>
      </c>
      <c r="AM55" s="4" t="s">
        <v>62</v>
      </c>
      <c r="AP55" s="5">
        <v>1</v>
      </c>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row>
    <row r="56" ht="16.5" customHeight="1">
      <c r="A56" s="3" t="s">
        <v>691</v>
      </c>
      <c r="B56" s="3" t="s">
        <v>692</v>
      </c>
      <c r="C56" s="3" t="s">
        <v>693</v>
      </c>
      <c r="D56" s="3" t="s">
        <v>593</v>
      </c>
      <c r="E56" s="4" t="s">
        <v>694</v>
      </c>
      <c r="F56" s="3">
        <v>4745</v>
      </c>
      <c r="H56" s="5" t="str">
        <f t="shared" si="0"/>
        <v>N</v>
      </c>
      <c r="I56" s="4" t="s">
        <v>695</v>
      </c>
      <c r="J56" s="4" t="s">
        <v>696</v>
      </c>
      <c r="K56" s="4" t="s">
        <v>697</v>
      </c>
      <c r="L56" s="4" t="s">
        <v>577</v>
      </c>
      <c r="M56" s="4" t="s">
        <v>698</v>
      </c>
      <c r="N56" s="4" t="s">
        <v>699</v>
      </c>
      <c r="O56" s="4" t="s">
        <v>700</v>
      </c>
      <c r="P56" s="4" t="s">
        <v>701</v>
      </c>
      <c r="Q56" s="4" t="s">
        <v>702</v>
      </c>
      <c r="R56" s="4" t="s">
        <v>703</v>
      </c>
      <c r="S56" s="3" t="s">
        <v>428</v>
      </c>
      <c r="T56" s="5" t="str">
        <f t="shared" si="1"/>
        <v>Y</v>
      </c>
      <c r="W56" s="5" t="str">
        <f t="shared" si="2"/>
        <v>Y</v>
      </c>
      <c r="X56" s="4" t="s">
        <v>51</v>
      </c>
      <c r="Y56" s="3" t="s">
        <v>704</v>
      </c>
      <c r="Z56" s="3" t="s">
        <v>705</v>
      </c>
      <c r="AA56" s="4" t="s">
        <v>706</v>
      </c>
      <c r="AB56" s="4" t="s">
        <v>707</v>
      </c>
      <c r="AC56" s="5" t="s">
        <v>56</v>
      </c>
      <c r="AH56" s="5" t="str">
        <f t="shared" si="3"/>
        <v>Y</v>
      </c>
      <c r="AI56" s="3" t="s">
        <v>708</v>
      </c>
      <c r="AJ56" s="3" t="s">
        <v>709</v>
      </c>
      <c r="AK56" s="3" t="s">
        <v>710</v>
      </c>
      <c r="AL56" s="3" t="s">
        <v>711</v>
      </c>
      <c r="AM56" s="4" t="s">
        <v>62</v>
      </c>
      <c r="AP56" s="5">
        <v>1</v>
      </c>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row>
    <row r="57" ht="16.5" customHeight="1">
      <c r="A57" s="3" t="s">
        <v>691</v>
      </c>
      <c r="B57" s="3" t="s">
        <v>692</v>
      </c>
      <c r="C57" s="3" t="s">
        <v>693</v>
      </c>
      <c r="D57" s="3" t="s">
        <v>593</v>
      </c>
      <c r="E57" s="4" t="s">
        <v>694</v>
      </c>
      <c r="F57" s="3">
        <v>4745</v>
      </c>
      <c r="H57" s="5" t="str">
        <f t="shared" si="0"/>
        <v>N</v>
      </c>
      <c r="I57" s="4" t="s">
        <v>695</v>
      </c>
      <c r="J57" s="4" t="s">
        <v>696</v>
      </c>
      <c r="K57" s="4" t="s">
        <v>697</v>
      </c>
      <c r="L57" s="4" t="s">
        <v>577</v>
      </c>
      <c r="M57" s="4" t="s">
        <v>698</v>
      </c>
      <c r="N57" s="4" t="s">
        <v>699</v>
      </c>
      <c r="O57" s="4" t="s">
        <v>700</v>
      </c>
      <c r="P57" s="4" t="s">
        <v>701</v>
      </c>
      <c r="Q57" s="4" t="s">
        <v>702</v>
      </c>
      <c r="R57" s="4" t="s">
        <v>703</v>
      </c>
      <c r="S57" s="3" t="s">
        <v>428</v>
      </c>
      <c r="T57" s="5" t="str">
        <f t="shared" si="1"/>
        <v>Y</v>
      </c>
      <c r="W57" s="5" t="str">
        <f t="shared" si="2"/>
        <v>Y</v>
      </c>
      <c r="X57" s="4" t="s">
        <v>51</v>
      </c>
      <c r="Y57" s="3" t="s">
        <v>704</v>
      </c>
      <c r="Z57" s="3" t="s">
        <v>705</v>
      </c>
      <c r="AA57" s="4" t="s">
        <v>706</v>
      </c>
      <c r="AB57" s="4" t="s">
        <v>707</v>
      </c>
      <c r="AC57" s="5" t="s">
        <v>56</v>
      </c>
      <c r="AH57" s="5" t="str">
        <f t="shared" si="3"/>
        <v>Y</v>
      </c>
      <c r="AI57" s="3" t="s">
        <v>708</v>
      </c>
      <c r="AJ57" s="3" t="s">
        <v>709</v>
      </c>
      <c r="AK57" s="3" t="s">
        <v>710</v>
      </c>
      <c r="AL57" s="3" t="s">
        <v>711</v>
      </c>
      <c r="AM57" s="4" t="s">
        <v>62</v>
      </c>
      <c r="AP57" s="5">
        <v>1</v>
      </c>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row>
    <row r="58" ht="16.5" customHeight="1">
      <c r="A58" s="3" t="s">
        <v>712</v>
      </c>
      <c r="B58" s="3" t="s">
        <v>713</v>
      </c>
      <c r="C58" s="3" t="s">
        <v>714</v>
      </c>
      <c r="D58" s="3" t="s">
        <v>593</v>
      </c>
      <c r="E58" s="4" t="s">
        <v>694</v>
      </c>
      <c r="F58" s="3">
        <v>4746</v>
      </c>
      <c r="H58" s="5" t="str">
        <f t="shared" si="0"/>
        <v>N</v>
      </c>
      <c r="I58" s="4" t="s">
        <v>715</v>
      </c>
      <c r="J58" s="4" t="s">
        <v>696</v>
      </c>
      <c r="K58" s="4" t="s">
        <v>716</v>
      </c>
      <c r="L58" s="4" t="s">
        <v>577</v>
      </c>
      <c r="M58" s="4" t="s">
        <v>717</v>
      </c>
      <c r="N58" s="4" t="s">
        <v>699</v>
      </c>
      <c r="O58" s="4" t="s">
        <v>718</v>
      </c>
      <c r="P58" s="4" t="s">
        <v>701</v>
      </c>
      <c r="Q58" s="4" t="s">
        <v>719</v>
      </c>
      <c r="R58" s="4" t="s">
        <v>720</v>
      </c>
      <c r="S58" s="3" t="s">
        <v>428</v>
      </c>
      <c r="T58" s="5" t="str">
        <f t="shared" si="1"/>
        <v>Y</v>
      </c>
      <c r="W58" s="5" t="str">
        <f t="shared" si="2"/>
        <v>Y</v>
      </c>
      <c r="X58" s="4" t="s">
        <v>51</v>
      </c>
      <c r="Y58" s="3" t="s">
        <v>721</v>
      </c>
      <c r="Z58" s="3" t="s">
        <v>722</v>
      </c>
      <c r="AA58" s="4" t="s">
        <v>723</v>
      </c>
      <c r="AB58" s="4" t="s">
        <v>724</v>
      </c>
      <c r="AC58" s="5" t="s">
        <v>56</v>
      </c>
      <c r="AH58" s="5" t="str">
        <f t="shared" si="3"/>
        <v>Y</v>
      </c>
      <c r="AI58" s="3" t="s">
        <v>725</v>
      </c>
      <c r="AJ58" s="3" t="s">
        <v>726</v>
      </c>
      <c r="AK58" s="3" t="s">
        <v>727</v>
      </c>
      <c r="AL58" s="3" t="s">
        <v>728</v>
      </c>
      <c r="AM58" s="4" t="s">
        <v>62</v>
      </c>
      <c r="AP58" s="5">
        <v>1</v>
      </c>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row>
    <row r="59" ht="16.5" customHeight="1">
      <c r="A59" s="3" t="s">
        <v>712</v>
      </c>
      <c r="B59" s="3" t="s">
        <v>713</v>
      </c>
      <c r="C59" s="3" t="s">
        <v>714</v>
      </c>
      <c r="D59" s="3" t="s">
        <v>593</v>
      </c>
      <c r="E59" s="4" t="s">
        <v>694</v>
      </c>
      <c r="F59" s="3">
        <v>4746</v>
      </c>
      <c r="H59" s="5" t="str">
        <f t="shared" si="0"/>
        <v>N</v>
      </c>
      <c r="I59" s="4" t="s">
        <v>715</v>
      </c>
      <c r="J59" s="4" t="s">
        <v>696</v>
      </c>
      <c r="K59" s="4" t="s">
        <v>716</v>
      </c>
      <c r="L59" s="4" t="s">
        <v>577</v>
      </c>
      <c r="M59" s="4" t="s">
        <v>717</v>
      </c>
      <c r="N59" s="4" t="s">
        <v>699</v>
      </c>
      <c r="O59" s="4" t="s">
        <v>718</v>
      </c>
      <c r="P59" s="4" t="s">
        <v>701</v>
      </c>
      <c r="Q59" s="4" t="s">
        <v>719</v>
      </c>
      <c r="R59" s="4" t="s">
        <v>729</v>
      </c>
      <c r="S59" s="3" t="s">
        <v>428</v>
      </c>
      <c r="T59" s="5" t="str">
        <f t="shared" si="1"/>
        <v>Y</v>
      </c>
      <c r="W59" s="5" t="str">
        <f t="shared" si="2"/>
        <v>Y</v>
      </c>
      <c r="X59" s="4" t="s">
        <v>51</v>
      </c>
      <c r="Y59" s="3" t="s">
        <v>721</v>
      </c>
      <c r="Z59" s="3" t="s">
        <v>722</v>
      </c>
      <c r="AA59" s="4" t="s">
        <v>723</v>
      </c>
      <c r="AB59" s="4" t="s">
        <v>724</v>
      </c>
      <c r="AC59" s="5" t="s">
        <v>56</v>
      </c>
      <c r="AH59" s="5" t="str">
        <f t="shared" si="3"/>
        <v>Y</v>
      </c>
      <c r="AI59" s="3" t="s">
        <v>725</v>
      </c>
      <c r="AJ59" s="3" t="s">
        <v>726</v>
      </c>
      <c r="AK59" s="3" t="s">
        <v>727</v>
      </c>
      <c r="AL59" s="3" t="s">
        <v>728</v>
      </c>
      <c r="AM59" s="4" t="s">
        <v>62</v>
      </c>
      <c r="AP59" s="5">
        <v>1</v>
      </c>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row>
    <row r="60" ht="16.5" customHeight="1">
      <c r="A60" s="3" t="s">
        <v>730</v>
      </c>
      <c r="B60" s="3" t="s">
        <v>731</v>
      </c>
      <c r="C60" s="3" t="s">
        <v>732</v>
      </c>
      <c r="D60" s="3" t="s">
        <v>593</v>
      </c>
      <c r="E60" s="4" t="s">
        <v>733</v>
      </c>
      <c r="F60" s="3">
        <v>4426</v>
      </c>
      <c r="H60" s="5" t="str">
        <f t="shared" si="0"/>
        <v>N</v>
      </c>
      <c r="I60" s="4" t="s">
        <v>734</v>
      </c>
      <c r="J60" s="4" t="s">
        <v>735</v>
      </c>
      <c r="K60" s="4" t="s">
        <v>736</v>
      </c>
      <c r="L60" s="4" t="s">
        <v>577</v>
      </c>
      <c r="M60" s="4" t="s">
        <v>737</v>
      </c>
      <c r="N60" s="4" t="s">
        <v>738</v>
      </c>
      <c r="O60" s="4" t="s">
        <v>739</v>
      </c>
      <c r="P60" s="4" t="s">
        <v>740</v>
      </c>
      <c r="Q60" s="4" t="s">
        <v>741</v>
      </c>
      <c r="R60" s="4" t="s">
        <v>742</v>
      </c>
      <c r="S60" s="3" t="s">
        <v>428</v>
      </c>
      <c r="T60" s="5" t="str">
        <f t="shared" si="1"/>
        <v>Y</v>
      </c>
      <c r="W60" s="5" t="str">
        <f t="shared" si="2"/>
        <v>Y</v>
      </c>
      <c r="X60" s="4" t="s">
        <v>51</v>
      </c>
      <c r="Y60" s="3" t="s">
        <v>743</v>
      </c>
      <c r="Z60" s="3" t="s">
        <v>744</v>
      </c>
      <c r="AA60" s="4" t="s">
        <v>745</v>
      </c>
      <c r="AB60" s="4" t="s">
        <v>746</v>
      </c>
      <c r="AC60" s="5" t="s">
        <v>56</v>
      </c>
      <c r="AH60" s="5" t="str">
        <f t="shared" si="3"/>
        <v>Y</v>
      </c>
      <c r="AI60" s="3" t="s">
        <v>747</v>
      </c>
      <c r="AJ60" s="3" t="s">
        <v>748</v>
      </c>
      <c r="AK60" s="3" t="s">
        <v>749</v>
      </c>
      <c r="AL60" s="3" t="s">
        <v>750</v>
      </c>
      <c r="AM60" s="4" t="s">
        <v>62</v>
      </c>
      <c r="AP60" s="5">
        <v>1</v>
      </c>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row>
    <row r="61" ht="16.5" customHeight="1">
      <c r="A61" s="3" t="s">
        <v>730</v>
      </c>
      <c r="B61" s="3" t="s">
        <v>731</v>
      </c>
      <c r="C61" s="3" t="s">
        <v>732</v>
      </c>
      <c r="D61" s="3" t="s">
        <v>593</v>
      </c>
      <c r="E61" s="4" t="s">
        <v>733</v>
      </c>
      <c r="F61" s="3">
        <v>4426</v>
      </c>
      <c r="H61" s="5" t="str">
        <f t="shared" si="0"/>
        <v>N</v>
      </c>
      <c r="I61" s="4" t="s">
        <v>734</v>
      </c>
      <c r="J61" s="4" t="s">
        <v>735</v>
      </c>
      <c r="K61" s="4" t="s">
        <v>736</v>
      </c>
      <c r="L61" s="4" t="s">
        <v>577</v>
      </c>
      <c r="M61" s="4" t="s">
        <v>737</v>
      </c>
      <c r="N61" s="4" t="s">
        <v>738</v>
      </c>
      <c r="O61" s="4" t="s">
        <v>739</v>
      </c>
      <c r="P61" s="4" t="s">
        <v>740</v>
      </c>
      <c r="Q61" s="4" t="s">
        <v>741</v>
      </c>
      <c r="R61" s="4" t="s">
        <v>742</v>
      </c>
      <c r="S61" s="3" t="s">
        <v>428</v>
      </c>
      <c r="T61" s="5" t="str">
        <f t="shared" si="1"/>
        <v>Y</v>
      </c>
      <c r="W61" s="5" t="str">
        <f t="shared" si="2"/>
        <v>Y</v>
      </c>
      <c r="X61" s="4" t="s">
        <v>51</v>
      </c>
      <c r="Y61" s="3" t="s">
        <v>743</v>
      </c>
      <c r="Z61" s="3" t="s">
        <v>744</v>
      </c>
      <c r="AA61" s="4" t="s">
        <v>745</v>
      </c>
      <c r="AB61" s="4" t="s">
        <v>746</v>
      </c>
      <c r="AC61" s="5" t="s">
        <v>56</v>
      </c>
      <c r="AH61" s="5" t="str">
        <f t="shared" si="3"/>
        <v>Y</v>
      </c>
      <c r="AI61" s="3" t="s">
        <v>747</v>
      </c>
      <c r="AJ61" s="3" t="s">
        <v>748</v>
      </c>
      <c r="AK61" s="3" t="s">
        <v>749</v>
      </c>
      <c r="AL61" s="3" t="s">
        <v>750</v>
      </c>
      <c r="AM61" s="4" t="s">
        <v>62</v>
      </c>
      <c r="AP61" s="5">
        <v>1</v>
      </c>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row>
    <row r="62" ht="16.5" customHeight="1">
      <c r="A62" s="3" t="s">
        <v>751</v>
      </c>
      <c r="B62" s="3" t="s">
        <v>752</v>
      </c>
      <c r="C62" s="3" t="s">
        <v>753</v>
      </c>
      <c r="D62" s="3" t="s">
        <v>593</v>
      </c>
      <c r="E62" s="4" t="s">
        <v>733</v>
      </c>
      <c r="F62" s="3">
        <v>4743</v>
      </c>
      <c r="H62" s="5" t="str">
        <f t="shared" si="0"/>
        <v>N</v>
      </c>
      <c r="I62" s="4" t="s">
        <v>754</v>
      </c>
      <c r="J62" s="4" t="s">
        <v>755</v>
      </c>
      <c r="K62" s="4" t="s">
        <v>756</v>
      </c>
      <c r="L62" s="4" t="s">
        <v>161</v>
      </c>
      <c r="M62" s="4" t="s">
        <v>757</v>
      </c>
      <c r="N62" s="4" t="s">
        <v>758</v>
      </c>
      <c r="O62" s="4" t="s">
        <v>759</v>
      </c>
      <c r="P62" s="4" t="s">
        <v>760</v>
      </c>
      <c r="Q62" s="4" t="s">
        <v>761</v>
      </c>
      <c r="R62" s="4" t="s">
        <v>762</v>
      </c>
      <c r="S62" s="3" t="s">
        <v>763</v>
      </c>
      <c r="T62" s="5" t="str">
        <f t="shared" si="1"/>
        <v>Y</v>
      </c>
      <c r="W62" s="5" t="str">
        <f t="shared" si="2"/>
        <v>Y</v>
      </c>
      <c r="X62" s="4" t="s">
        <v>51</v>
      </c>
      <c r="Y62" s="3" t="s">
        <v>764</v>
      </c>
      <c r="Z62" s="3" t="s">
        <v>765</v>
      </c>
      <c r="AA62" s="4" t="s">
        <v>766</v>
      </c>
      <c r="AB62" s="4" t="s">
        <v>767</v>
      </c>
      <c r="AC62" s="5" t="s">
        <v>56</v>
      </c>
      <c r="AH62" s="5" t="str">
        <f t="shared" si="3"/>
        <v>Y</v>
      </c>
      <c r="AI62" s="3" t="s">
        <v>768</v>
      </c>
      <c r="AJ62" s="3" t="s">
        <v>769</v>
      </c>
      <c r="AK62" s="3" t="s">
        <v>770</v>
      </c>
      <c r="AL62" s="3" t="s">
        <v>771</v>
      </c>
      <c r="AM62" s="4" t="s">
        <v>62</v>
      </c>
      <c r="AP62" s="5">
        <v>1</v>
      </c>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row>
    <row r="63" ht="16.5" customHeight="1">
      <c r="A63" s="3" t="s">
        <v>751</v>
      </c>
      <c r="B63" s="3" t="s">
        <v>752</v>
      </c>
      <c r="C63" s="3" t="s">
        <v>753</v>
      </c>
      <c r="D63" s="3" t="s">
        <v>593</v>
      </c>
      <c r="E63" s="4" t="s">
        <v>733</v>
      </c>
      <c r="F63" s="3">
        <v>4743</v>
      </c>
      <c r="H63" s="5" t="str">
        <f t="shared" si="0"/>
        <v>N</v>
      </c>
      <c r="I63" s="4" t="s">
        <v>754</v>
      </c>
      <c r="J63" s="4" t="s">
        <v>755</v>
      </c>
      <c r="K63" s="4" t="s">
        <v>756</v>
      </c>
      <c r="L63" s="4" t="s">
        <v>161</v>
      </c>
      <c r="M63" s="4" t="s">
        <v>757</v>
      </c>
      <c r="N63" s="4" t="s">
        <v>758</v>
      </c>
      <c r="O63" s="4" t="s">
        <v>759</v>
      </c>
      <c r="P63" s="4" t="s">
        <v>760</v>
      </c>
      <c r="Q63" s="4" t="s">
        <v>761</v>
      </c>
      <c r="R63" s="4" t="s">
        <v>762</v>
      </c>
      <c r="S63" s="3" t="s">
        <v>763</v>
      </c>
      <c r="T63" s="5" t="str">
        <f t="shared" si="1"/>
        <v>Y</v>
      </c>
      <c r="W63" s="5" t="str">
        <f t="shared" si="2"/>
        <v>Y</v>
      </c>
      <c r="X63" s="4" t="s">
        <v>51</v>
      </c>
      <c r="Y63" s="3" t="s">
        <v>764</v>
      </c>
      <c r="Z63" s="3" t="s">
        <v>765</v>
      </c>
      <c r="AA63" s="4" t="s">
        <v>766</v>
      </c>
      <c r="AB63" s="4" t="s">
        <v>767</v>
      </c>
      <c r="AC63" s="5" t="s">
        <v>56</v>
      </c>
      <c r="AH63" s="5" t="str">
        <f t="shared" si="3"/>
        <v>Y</v>
      </c>
      <c r="AI63" s="3" t="s">
        <v>768</v>
      </c>
      <c r="AJ63" s="3" t="s">
        <v>769</v>
      </c>
      <c r="AK63" s="3" t="s">
        <v>770</v>
      </c>
      <c r="AL63" s="3" t="s">
        <v>771</v>
      </c>
      <c r="AM63" s="4" t="s">
        <v>62</v>
      </c>
      <c r="AP63" s="5">
        <v>1</v>
      </c>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row>
    <row r="64" ht="16.5" customHeight="1">
      <c r="A64" s="3" t="s">
        <v>772</v>
      </c>
      <c r="B64" s="3" t="s">
        <v>773</v>
      </c>
      <c r="C64" s="3" t="s">
        <v>774</v>
      </c>
      <c r="D64" s="3" t="s">
        <v>593</v>
      </c>
      <c r="E64" s="4" t="s">
        <v>733</v>
      </c>
      <c r="F64" s="3">
        <v>4744</v>
      </c>
      <c r="H64" s="5" t="str">
        <f t="shared" si="0"/>
        <v>N</v>
      </c>
      <c r="I64" s="4" t="s">
        <v>775</v>
      </c>
      <c r="J64" s="4" t="s">
        <v>755</v>
      </c>
      <c r="K64" s="4" t="s">
        <v>776</v>
      </c>
      <c r="L64" s="4" t="s">
        <v>161</v>
      </c>
      <c r="M64" s="4" t="s">
        <v>777</v>
      </c>
      <c r="N64" s="4" t="s">
        <v>577</v>
      </c>
      <c r="O64" s="4" t="s">
        <v>778</v>
      </c>
      <c r="P64" s="4" t="s">
        <v>760</v>
      </c>
      <c r="Q64" s="4" t="s">
        <v>779</v>
      </c>
      <c r="R64" s="4" t="s">
        <v>780</v>
      </c>
      <c r="S64" s="3" t="s">
        <v>781</v>
      </c>
      <c r="T64" s="5" t="str">
        <f t="shared" si="1"/>
        <v>Y</v>
      </c>
      <c r="W64" s="5" t="str">
        <f t="shared" si="2"/>
        <v>Y</v>
      </c>
      <c r="X64" s="4" t="s">
        <v>51</v>
      </c>
      <c r="Y64" s="3" t="s">
        <v>782</v>
      </c>
      <c r="Z64" s="3" t="s">
        <v>783</v>
      </c>
      <c r="AA64" s="4" t="s">
        <v>784</v>
      </c>
      <c r="AB64" s="4" t="s">
        <v>785</v>
      </c>
      <c r="AC64" s="5" t="s">
        <v>56</v>
      </c>
      <c r="AH64" s="5" t="str">
        <f t="shared" si="3"/>
        <v>Y</v>
      </c>
      <c r="AI64" s="3" t="s">
        <v>786</v>
      </c>
      <c r="AJ64" s="3" t="s">
        <v>787</v>
      </c>
      <c r="AK64" s="3" t="s">
        <v>788</v>
      </c>
      <c r="AL64" s="3" t="s">
        <v>789</v>
      </c>
      <c r="AM64" s="4" t="s">
        <v>62</v>
      </c>
      <c r="AP64" s="5">
        <v>1</v>
      </c>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row>
    <row r="65" ht="16.5" customHeight="1">
      <c r="A65" s="3" t="s">
        <v>772</v>
      </c>
      <c r="B65" s="3" t="s">
        <v>773</v>
      </c>
      <c r="C65" s="3" t="s">
        <v>774</v>
      </c>
      <c r="D65" s="3" t="s">
        <v>593</v>
      </c>
      <c r="E65" s="4" t="s">
        <v>733</v>
      </c>
      <c r="F65" s="3">
        <v>4744</v>
      </c>
      <c r="H65" s="5" t="str">
        <f t="shared" si="0"/>
        <v>N</v>
      </c>
      <c r="I65" s="4" t="s">
        <v>775</v>
      </c>
      <c r="J65" s="4" t="s">
        <v>755</v>
      </c>
      <c r="K65" s="4" t="s">
        <v>776</v>
      </c>
      <c r="L65" s="4" t="s">
        <v>161</v>
      </c>
      <c r="M65" s="4" t="s">
        <v>777</v>
      </c>
      <c r="N65" s="4" t="s">
        <v>577</v>
      </c>
      <c r="O65" s="4" t="s">
        <v>778</v>
      </c>
      <c r="P65" s="4" t="s">
        <v>760</v>
      </c>
      <c r="Q65" s="4" t="s">
        <v>779</v>
      </c>
      <c r="R65" s="4" t="s">
        <v>780</v>
      </c>
      <c r="S65" s="3" t="s">
        <v>781</v>
      </c>
      <c r="T65" s="5" t="str">
        <f t="shared" si="1"/>
        <v>Y</v>
      </c>
      <c r="W65" s="5" t="str">
        <f t="shared" si="2"/>
        <v>Y</v>
      </c>
      <c r="X65" s="4" t="s">
        <v>51</v>
      </c>
      <c r="Y65" s="3" t="s">
        <v>782</v>
      </c>
      <c r="Z65" s="3" t="s">
        <v>783</v>
      </c>
      <c r="AA65" s="4" t="s">
        <v>784</v>
      </c>
      <c r="AB65" s="4" t="s">
        <v>785</v>
      </c>
      <c r="AC65" s="5" t="s">
        <v>56</v>
      </c>
      <c r="AH65" s="5" t="str">
        <f t="shared" si="3"/>
        <v>Y</v>
      </c>
      <c r="AI65" s="3" t="s">
        <v>786</v>
      </c>
      <c r="AJ65" s="3" t="s">
        <v>787</v>
      </c>
      <c r="AK65" s="3" t="s">
        <v>788</v>
      </c>
      <c r="AL65" s="3" t="s">
        <v>789</v>
      </c>
      <c r="AM65" s="4" t="s">
        <v>62</v>
      </c>
      <c r="AP65" s="5">
        <v>1</v>
      </c>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row>
    <row r="66" ht="16.5" customHeight="1">
      <c r="A66" s="3" t="s">
        <v>790</v>
      </c>
      <c r="B66" s="3" t="s">
        <v>791</v>
      </c>
      <c r="C66" s="3" t="s">
        <v>792</v>
      </c>
      <c r="D66" s="3" t="s">
        <v>593</v>
      </c>
      <c r="E66" s="4" t="s">
        <v>793</v>
      </c>
      <c r="F66" s="3">
        <v>4858</v>
      </c>
      <c r="H66" s="5" t="str">
        <f t="shared" ref="H66:H129" si="4">IF(OR(AU66="Yes",AV66="Yes"),"Y","N")</f>
        <v>N</v>
      </c>
      <c r="I66" s="4" t="s">
        <v>794</v>
      </c>
      <c r="J66" s="4" t="s">
        <v>795</v>
      </c>
      <c r="K66" s="4" t="s">
        <v>796</v>
      </c>
      <c r="L66" s="4" t="s">
        <v>577</v>
      </c>
      <c r="M66" s="4" t="s">
        <v>797</v>
      </c>
      <c r="N66" s="4" t="s">
        <v>798</v>
      </c>
      <c r="O66" s="4" t="s">
        <v>799</v>
      </c>
      <c r="P66" s="4" t="s">
        <v>800</v>
      </c>
      <c r="Q66" s="4" t="s">
        <v>801</v>
      </c>
      <c r="R66" s="4" t="s">
        <v>802</v>
      </c>
      <c r="S66" s="3" t="s">
        <v>803</v>
      </c>
      <c r="T66" s="5" t="str">
        <f t="shared" ref="T66:T129" si="5">IF(OR(AY66&lt;&gt;"Not Found",BA66&lt;&gt;"Not Found"),"Y","N")</f>
        <v>Y</v>
      </c>
      <c r="W66" s="5" t="str">
        <f t="shared" ref="W66:W129" si="6">IF(BC66&lt;&gt;"Not Found","Y","N")</f>
        <v>Y</v>
      </c>
      <c r="X66" s="4" t="s">
        <v>51</v>
      </c>
      <c r="Y66" s="3" t="s">
        <v>804</v>
      </c>
      <c r="Z66" s="3" t="s">
        <v>805</v>
      </c>
      <c r="AA66" s="4" t="s">
        <v>806</v>
      </c>
      <c r="AB66" s="4" t="s">
        <v>807</v>
      </c>
      <c r="AC66" s="5" t="s">
        <v>56</v>
      </c>
      <c r="AH66" s="5" t="str">
        <f t="shared" ref="AH66:AH129" si="7">IF(BD66&lt;&gt;"Not Found","Y","N")</f>
        <v>Y</v>
      </c>
      <c r="AI66" s="3" t="s">
        <v>808</v>
      </c>
      <c r="AJ66" s="3" t="s">
        <v>809</v>
      </c>
      <c r="AK66" s="3" t="s">
        <v>810</v>
      </c>
      <c r="AL66" s="3" t="s">
        <v>811</v>
      </c>
      <c r="AM66" s="4" t="s">
        <v>62</v>
      </c>
      <c r="AP66" s="5">
        <v>1</v>
      </c>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row>
    <row r="67" ht="16.5" customHeight="1">
      <c r="A67" s="3" t="s">
        <v>790</v>
      </c>
      <c r="B67" s="3" t="s">
        <v>791</v>
      </c>
      <c r="C67" s="3" t="s">
        <v>792</v>
      </c>
      <c r="D67" s="3" t="s">
        <v>593</v>
      </c>
      <c r="E67" s="4" t="s">
        <v>793</v>
      </c>
      <c r="F67" s="3">
        <v>4858</v>
      </c>
      <c r="H67" s="5" t="str">
        <f t="shared" si="4"/>
        <v>N</v>
      </c>
      <c r="I67" s="4" t="s">
        <v>794</v>
      </c>
      <c r="J67" s="4" t="s">
        <v>795</v>
      </c>
      <c r="K67" s="4" t="s">
        <v>796</v>
      </c>
      <c r="L67" s="4" t="s">
        <v>577</v>
      </c>
      <c r="M67" s="4" t="s">
        <v>797</v>
      </c>
      <c r="N67" s="4" t="s">
        <v>798</v>
      </c>
      <c r="O67" s="4" t="s">
        <v>799</v>
      </c>
      <c r="P67" s="4" t="s">
        <v>800</v>
      </c>
      <c r="Q67" s="4" t="s">
        <v>801</v>
      </c>
      <c r="R67" s="4" t="s">
        <v>802</v>
      </c>
      <c r="S67" s="3" t="s">
        <v>803</v>
      </c>
      <c r="T67" s="5" t="str">
        <f t="shared" si="5"/>
        <v>Y</v>
      </c>
      <c r="W67" s="5" t="str">
        <f t="shared" si="6"/>
        <v>Y</v>
      </c>
      <c r="X67" s="4" t="s">
        <v>51</v>
      </c>
      <c r="Y67" s="3" t="s">
        <v>804</v>
      </c>
      <c r="Z67" s="3" t="s">
        <v>805</v>
      </c>
      <c r="AA67" s="4" t="s">
        <v>806</v>
      </c>
      <c r="AB67" s="4" t="s">
        <v>807</v>
      </c>
      <c r="AC67" s="5" t="s">
        <v>56</v>
      </c>
      <c r="AH67" s="5" t="str">
        <f t="shared" si="7"/>
        <v>Y</v>
      </c>
      <c r="AI67" s="3" t="s">
        <v>808</v>
      </c>
      <c r="AJ67" s="3" t="s">
        <v>809</v>
      </c>
      <c r="AK67" s="3" t="s">
        <v>810</v>
      </c>
      <c r="AL67" s="3" t="s">
        <v>811</v>
      </c>
      <c r="AM67" s="4" t="s">
        <v>62</v>
      </c>
      <c r="AP67" s="5">
        <v>1</v>
      </c>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row>
    <row r="68" ht="16.5" customHeight="1">
      <c r="A68" s="3" t="s">
        <v>812</v>
      </c>
      <c r="B68" s="3" t="s">
        <v>813</v>
      </c>
      <c r="C68" s="3" t="s">
        <v>814</v>
      </c>
      <c r="D68" s="3" t="s">
        <v>593</v>
      </c>
      <c r="E68" s="4" t="s">
        <v>594</v>
      </c>
      <c r="F68" s="3">
        <v>5042</v>
      </c>
      <c r="H68" s="5" t="str">
        <f t="shared" si="4"/>
        <v>N</v>
      </c>
      <c r="I68" s="4" t="s">
        <v>815</v>
      </c>
      <c r="J68" s="4" t="s">
        <v>637</v>
      </c>
      <c r="K68" s="4" t="s">
        <v>816</v>
      </c>
      <c r="L68" s="4" t="s">
        <v>817</v>
      </c>
      <c r="M68" s="4" t="s">
        <v>818</v>
      </c>
      <c r="N68" s="4" t="s">
        <v>263</v>
      </c>
      <c r="O68" s="4" t="s">
        <v>819</v>
      </c>
      <c r="P68" s="4" t="s">
        <v>820</v>
      </c>
      <c r="Q68" s="4" t="s">
        <v>821</v>
      </c>
      <c r="R68" s="4" t="s">
        <v>822</v>
      </c>
      <c r="S68" s="3" t="s">
        <v>823</v>
      </c>
      <c r="T68" s="5" t="str">
        <f t="shared" si="5"/>
        <v>Y</v>
      </c>
      <c r="W68" s="5" t="str">
        <f t="shared" si="6"/>
        <v>Y</v>
      </c>
      <c r="X68" s="4" t="s">
        <v>51</v>
      </c>
      <c r="Y68" s="4" t="s">
        <v>824</v>
      </c>
      <c r="Z68" s="4" t="s">
        <v>825</v>
      </c>
      <c r="AA68" s="4" t="s">
        <v>826</v>
      </c>
      <c r="AB68" s="4" t="s">
        <v>827</v>
      </c>
      <c r="AC68" s="5" t="s">
        <v>56</v>
      </c>
      <c r="AH68" s="5" t="str">
        <f t="shared" si="7"/>
        <v>Y</v>
      </c>
      <c r="AI68" s="4" t="s">
        <v>828</v>
      </c>
      <c r="AJ68" s="4" t="s">
        <v>829</v>
      </c>
      <c r="AK68" s="3" t="s">
        <v>830</v>
      </c>
      <c r="AL68" s="3" t="s">
        <v>831</v>
      </c>
      <c r="AM68" s="4" t="s">
        <v>62</v>
      </c>
      <c r="AP68" s="5">
        <v>1</v>
      </c>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row>
    <row r="69" ht="16.5" customHeight="1">
      <c r="A69" s="3" t="s">
        <v>832</v>
      </c>
      <c r="B69" s="3" t="s">
        <v>813</v>
      </c>
      <c r="C69" s="3" t="s">
        <v>833</v>
      </c>
      <c r="D69" s="3" t="s">
        <v>593</v>
      </c>
      <c r="E69" s="4" t="s">
        <v>594</v>
      </c>
      <c r="F69" s="3">
        <v>4428</v>
      </c>
      <c r="H69" s="5" t="str">
        <f t="shared" si="4"/>
        <v>N</v>
      </c>
      <c r="I69" s="4" t="s">
        <v>815</v>
      </c>
      <c r="J69" s="4" t="s">
        <v>637</v>
      </c>
      <c r="K69" s="4" t="s">
        <v>816</v>
      </c>
      <c r="L69" s="4" t="s">
        <v>817</v>
      </c>
      <c r="M69" s="4" t="s">
        <v>818</v>
      </c>
      <c r="N69" s="4" t="s">
        <v>263</v>
      </c>
      <c r="O69" s="4" t="s">
        <v>819</v>
      </c>
      <c r="P69" s="4" t="s">
        <v>820</v>
      </c>
      <c r="Q69" s="4" t="s">
        <v>821</v>
      </c>
      <c r="R69" s="4" t="s">
        <v>822</v>
      </c>
      <c r="S69" s="3" t="s">
        <v>823</v>
      </c>
      <c r="T69" s="5" t="str">
        <f t="shared" si="5"/>
        <v>Y</v>
      </c>
      <c r="W69" s="5" t="str">
        <f t="shared" si="6"/>
        <v>Y</v>
      </c>
      <c r="X69" s="4" t="s">
        <v>51</v>
      </c>
      <c r="Y69" s="4" t="s">
        <v>824</v>
      </c>
      <c r="Z69" s="4" t="s">
        <v>825</v>
      </c>
      <c r="AA69" s="4" t="s">
        <v>826</v>
      </c>
      <c r="AB69" s="4" t="s">
        <v>827</v>
      </c>
      <c r="AC69" s="5" t="s">
        <v>56</v>
      </c>
      <c r="AH69" s="5" t="str">
        <f t="shared" si="7"/>
        <v>Y</v>
      </c>
      <c r="AI69" s="4" t="s">
        <v>828</v>
      </c>
      <c r="AJ69" s="4" t="s">
        <v>829</v>
      </c>
      <c r="AK69" s="3" t="s">
        <v>830</v>
      </c>
      <c r="AL69" s="3" t="s">
        <v>831</v>
      </c>
      <c r="AM69" s="4" t="s">
        <v>62</v>
      </c>
      <c r="AP69" s="5">
        <v>1</v>
      </c>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row>
    <row r="70" ht="16.5" customHeight="1">
      <c r="A70" s="3" t="s">
        <v>832</v>
      </c>
      <c r="B70" s="3" t="s">
        <v>813</v>
      </c>
      <c r="C70" s="3" t="s">
        <v>833</v>
      </c>
      <c r="D70" s="3" t="s">
        <v>593</v>
      </c>
      <c r="E70" s="4" t="s">
        <v>594</v>
      </c>
      <c r="F70" s="3">
        <v>4428</v>
      </c>
      <c r="H70" s="5" t="str">
        <f t="shared" si="4"/>
        <v>N</v>
      </c>
      <c r="I70" s="4" t="s">
        <v>815</v>
      </c>
      <c r="J70" s="4" t="s">
        <v>637</v>
      </c>
      <c r="K70" s="4" t="s">
        <v>816</v>
      </c>
      <c r="L70" s="4" t="s">
        <v>817</v>
      </c>
      <c r="M70" s="4" t="s">
        <v>818</v>
      </c>
      <c r="N70" s="4" t="s">
        <v>263</v>
      </c>
      <c r="O70" s="4" t="s">
        <v>819</v>
      </c>
      <c r="P70" s="4" t="s">
        <v>820</v>
      </c>
      <c r="Q70" s="4" t="s">
        <v>821</v>
      </c>
      <c r="R70" s="4" t="s">
        <v>822</v>
      </c>
      <c r="S70" s="3" t="s">
        <v>823</v>
      </c>
      <c r="T70" s="5" t="str">
        <f t="shared" si="5"/>
        <v>Y</v>
      </c>
      <c r="W70" s="5" t="str">
        <f t="shared" si="6"/>
        <v>Y</v>
      </c>
      <c r="X70" s="4" t="s">
        <v>51</v>
      </c>
      <c r="Y70" s="4" t="s">
        <v>824</v>
      </c>
      <c r="Z70" s="4" t="s">
        <v>825</v>
      </c>
      <c r="AA70" s="4" t="s">
        <v>826</v>
      </c>
      <c r="AB70" s="4" t="s">
        <v>827</v>
      </c>
      <c r="AC70" s="5" t="s">
        <v>56</v>
      </c>
      <c r="AH70" s="5" t="str">
        <f t="shared" si="7"/>
        <v>Y</v>
      </c>
      <c r="AI70" s="4" t="s">
        <v>828</v>
      </c>
      <c r="AJ70" s="4" t="s">
        <v>829</v>
      </c>
      <c r="AK70" s="3" t="s">
        <v>830</v>
      </c>
      <c r="AL70" s="3" t="s">
        <v>831</v>
      </c>
      <c r="AM70" s="4" t="s">
        <v>62</v>
      </c>
      <c r="AP70" s="5">
        <v>1</v>
      </c>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row>
    <row r="71" ht="16.5" customHeight="1">
      <c r="A71" s="3" t="s">
        <v>834</v>
      </c>
      <c r="B71" s="3" t="s">
        <v>835</v>
      </c>
      <c r="C71" s="3" t="s">
        <v>836</v>
      </c>
      <c r="D71" s="3" t="s">
        <v>593</v>
      </c>
      <c r="E71" s="4" t="s">
        <v>594</v>
      </c>
      <c r="F71" s="3">
        <v>10447</v>
      </c>
      <c r="H71" s="5" t="str">
        <f t="shared" si="4"/>
        <v>N</v>
      </c>
      <c r="I71" s="4" t="s">
        <v>837</v>
      </c>
      <c r="J71" s="4" t="s">
        <v>657</v>
      </c>
      <c r="K71" s="4" t="s">
        <v>838</v>
      </c>
      <c r="L71" s="4" t="s">
        <v>596</v>
      </c>
      <c r="M71" s="4" t="s">
        <v>839</v>
      </c>
      <c r="N71" s="4" t="s">
        <v>840</v>
      </c>
      <c r="O71" s="4" t="s">
        <v>841</v>
      </c>
      <c r="P71" s="4" t="s">
        <v>842</v>
      </c>
      <c r="Q71" s="4" t="s">
        <v>842</v>
      </c>
      <c r="R71" s="4" t="s">
        <v>843</v>
      </c>
      <c r="S71" s="3" t="s">
        <v>428</v>
      </c>
      <c r="T71" s="5" t="str">
        <f t="shared" si="5"/>
        <v>Y</v>
      </c>
      <c r="W71" s="5" t="str">
        <f t="shared" si="6"/>
        <v>Y</v>
      </c>
      <c r="X71" s="4" t="s">
        <v>51</v>
      </c>
      <c r="Y71" s="3" t="s">
        <v>844</v>
      </c>
      <c r="Z71" s="3" t="s">
        <v>845</v>
      </c>
      <c r="AA71" s="4" t="s">
        <v>846</v>
      </c>
      <c r="AB71" s="4" t="s">
        <v>847</v>
      </c>
      <c r="AC71" s="5" t="s">
        <v>56</v>
      </c>
      <c r="AH71" s="5" t="str">
        <f t="shared" si="7"/>
        <v>Y</v>
      </c>
      <c r="AI71" s="3" t="s">
        <v>848</v>
      </c>
      <c r="AJ71" s="3" t="s">
        <v>849</v>
      </c>
      <c r="AK71" s="3" t="s">
        <v>850</v>
      </c>
      <c r="AL71" s="3" t="s">
        <v>851</v>
      </c>
      <c r="AM71" s="4" t="s">
        <v>62</v>
      </c>
      <c r="AP71" s="5">
        <v>1</v>
      </c>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row>
    <row r="72" ht="16.5" customHeight="1">
      <c r="A72" s="3" t="s">
        <v>852</v>
      </c>
      <c r="B72" s="3" t="s">
        <v>853</v>
      </c>
      <c r="C72" s="3" t="s">
        <v>854</v>
      </c>
      <c r="D72" s="3" t="s">
        <v>593</v>
      </c>
      <c r="E72" s="4" t="s">
        <v>594</v>
      </c>
      <c r="F72" s="3">
        <v>6337</v>
      </c>
      <c r="H72" s="5" t="str">
        <f t="shared" si="4"/>
        <v>N</v>
      </c>
      <c r="I72" s="4" t="s">
        <v>855</v>
      </c>
      <c r="J72" s="4" t="s">
        <v>657</v>
      </c>
      <c r="K72" s="4" t="s">
        <v>856</v>
      </c>
      <c r="L72" s="4" t="s">
        <v>596</v>
      </c>
      <c r="M72" s="4" t="s">
        <v>857</v>
      </c>
      <c r="N72" s="4" t="s">
        <v>858</v>
      </c>
      <c r="O72" s="4" t="s">
        <v>859</v>
      </c>
      <c r="P72" s="4" t="s">
        <v>842</v>
      </c>
      <c r="Q72" s="4" t="s">
        <v>842</v>
      </c>
      <c r="R72" s="4" t="s">
        <v>860</v>
      </c>
      <c r="S72" s="3" t="s">
        <v>823</v>
      </c>
      <c r="T72" s="5" t="str">
        <f t="shared" si="5"/>
        <v>Y</v>
      </c>
      <c r="W72" s="5" t="str">
        <f t="shared" si="6"/>
        <v>Y</v>
      </c>
      <c r="X72" s="4" t="s">
        <v>51</v>
      </c>
      <c r="Y72" s="3" t="s">
        <v>861</v>
      </c>
      <c r="Z72" s="3" t="s">
        <v>862</v>
      </c>
      <c r="AA72" s="4" t="s">
        <v>863</v>
      </c>
      <c r="AB72" s="4" t="s">
        <v>864</v>
      </c>
      <c r="AC72" s="5" t="s">
        <v>56</v>
      </c>
      <c r="AH72" s="5" t="str">
        <f t="shared" si="7"/>
        <v>Y</v>
      </c>
      <c r="AI72" s="3" t="s">
        <v>865</v>
      </c>
      <c r="AJ72" s="3" t="s">
        <v>866</v>
      </c>
      <c r="AK72" s="3" t="s">
        <v>867</v>
      </c>
      <c r="AL72" s="3" t="s">
        <v>868</v>
      </c>
      <c r="AM72" s="4" t="s">
        <v>62</v>
      </c>
      <c r="AP72" s="5">
        <v>1</v>
      </c>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row>
    <row r="73" ht="16.5" customHeight="1">
      <c r="A73" s="3" t="s">
        <v>852</v>
      </c>
      <c r="B73" s="3" t="s">
        <v>853</v>
      </c>
      <c r="C73" s="3" t="s">
        <v>854</v>
      </c>
      <c r="D73" s="3" t="s">
        <v>593</v>
      </c>
      <c r="E73" s="4" t="s">
        <v>594</v>
      </c>
      <c r="F73" s="3">
        <v>6337</v>
      </c>
      <c r="H73" s="5" t="str">
        <f t="shared" si="4"/>
        <v>N</v>
      </c>
      <c r="I73" s="4" t="s">
        <v>855</v>
      </c>
      <c r="J73" s="4" t="s">
        <v>657</v>
      </c>
      <c r="K73" s="4" t="s">
        <v>856</v>
      </c>
      <c r="L73" s="4" t="s">
        <v>596</v>
      </c>
      <c r="M73" s="4" t="s">
        <v>857</v>
      </c>
      <c r="N73" s="4" t="s">
        <v>858</v>
      </c>
      <c r="O73" s="4" t="s">
        <v>859</v>
      </c>
      <c r="P73" s="4" t="s">
        <v>842</v>
      </c>
      <c r="Q73" s="4" t="s">
        <v>842</v>
      </c>
      <c r="R73" s="4" t="s">
        <v>860</v>
      </c>
      <c r="S73" s="3" t="s">
        <v>823</v>
      </c>
      <c r="T73" s="5" t="str">
        <f t="shared" si="5"/>
        <v>Y</v>
      </c>
      <c r="W73" s="5" t="str">
        <f t="shared" si="6"/>
        <v>Y</v>
      </c>
      <c r="X73" s="4" t="s">
        <v>51</v>
      </c>
      <c r="Y73" s="3" t="s">
        <v>861</v>
      </c>
      <c r="Z73" s="3" t="s">
        <v>862</v>
      </c>
      <c r="AA73" s="4" t="s">
        <v>863</v>
      </c>
      <c r="AB73" s="4" t="s">
        <v>864</v>
      </c>
      <c r="AC73" s="5" t="s">
        <v>56</v>
      </c>
      <c r="AH73" s="5" t="str">
        <f t="shared" si="7"/>
        <v>Y</v>
      </c>
      <c r="AI73" s="3" t="s">
        <v>865</v>
      </c>
      <c r="AJ73" s="3" t="s">
        <v>866</v>
      </c>
      <c r="AK73" s="3" t="s">
        <v>867</v>
      </c>
      <c r="AL73" s="3" t="s">
        <v>868</v>
      </c>
      <c r="AM73" s="4" t="s">
        <v>62</v>
      </c>
      <c r="AP73" s="5">
        <v>1</v>
      </c>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row>
    <row r="74" ht="16.5" customHeight="1">
      <c r="A74" s="3" t="s">
        <v>869</v>
      </c>
      <c r="B74" s="3" t="s">
        <v>870</v>
      </c>
      <c r="C74" s="3" t="s">
        <v>871</v>
      </c>
      <c r="D74" s="3" t="s">
        <v>593</v>
      </c>
      <c r="E74" s="4" t="s">
        <v>594</v>
      </c>
      <c r="F74" s="3">
        <v>6391</v>
      </c>
      <c r="H74" s="5" t="str">
        <f t="shared" si="4"/>
        <v>N</v>
      </c>
      <c r="I74" s="4" t="s">
        <v>872</v>
      </c>
      <c r="J74" s="4" t="s">
        <v>657</v>
      </c>
      <c r="K74" s="4" t="s">
        <v>873</v>
      </c>
      <c r="L74" s="4" t="s">
        <v>596</v>
      </c>
      <c r="M74" s="4" t="s">
        <v>874</v>
      </c>
      <c r="N74" s="4" t="s">
        <v>875</v>
      </c>
      <c r="O74" s="4" t="s">
        <v>876</v>
      </c>
      <c r="P74" s="4" t="s">
        <v>842</v>
      </c>
      <c r="Q74" s="4" t="s">
        <v>842</v>
      </c>
      <c r="R74" s="4" t="s">
        <v>877</v>
      </c>
      <c r="S74" s="3" t="s">
        <v>878</v>
      </c>
      <c r="T74" s="5" t="str">
        <f t="shared" si="5"/>
        <v>Y</v>
      </c>
      <c r="W74" s="5" t="str">
        <f t="shared" si="6"/>
        <v>Y</v>
      </c>
      <c r="X74" s="4" t="s">
        <v>51</v>
      </c>
      <c r="Y74" s="3" t="s">
        <v>879</v>
      </c>
      <c r="Z74" s="3" t="s">
        <v>880</v>
      </c>
      <c r="AA74" s="4" t="s">
        <v>881</v>
      </c>
      <c r="AB74" s="4" t="s">
        <v>882</v>
      </c>
      <c r="AC74" s="5" t="s">
        <v>56</v>
      </c>
      <c r="AH74" s="5" t="str">
        <f t="shared" si="7"/>
        <v>Y</v>
      </c>
      <c r="AI74" s="3" t="s">
        <v>883</v>
      </c>
      <c r="AJ74" s="3" t="s">
        <v>884</v>
      </c>
      <c r="AK74" s="3" t="s">
        <v>885</v>
      </c>
      <c r="AL74" s="3" t="s">
        <v>886</v>
      </c>
      <c r="AM74" s="4" t="s">
        <v>62</v>
      </c>
      <c r="AP74" s="5">
        <v>1</v>
      </c>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row>
    <row r="75" ht="16.5" customHeight="1">
      <c r="A75" s="3" t="s">
        <v>887</v>
      </c>
      <c r="B75" s="3" t="s">
        <v>888</v>
      </c>
      <c r="C75" s="3" t="s">
        <v>889</v>
      </c>
      <c r="D75" s="3" t="s">
        <v>593</v>
      </c>
      <c r="E75" s="4" t="s">
        <v>594</v>
      </c>
      <c r="F75" s="3">
        <v>10446</v>
      </c>
      <c r="H75" s="5" t="str">
        <f t="shared" si="4"/>
        <v>N</v>
      </c>
      <c r="I75" s="4" t="s">
        <v>890</v>
      </c>
      <c r="J75" s="4" t="s">
        <v>657</v>
      </c>
      <c r="K75" s="4" t="s">
        <v>891</v>
      </c>
      <c r="L75" s="4" t="s">
        <v>892</v>
      </c>
      <c r="M75" s="4" t="s">
        <v>893</v>
      </c>
      <c r="N75" s="4" t="s">
        <v>894</v>
      </c>
      <c r="O75" s="4" t="s">
        <v>895</v>
      </c>
      <c r="P75" s="4" t="s">
        <v>842</v>
      </c>
      <c r="Q75" s="4" t="s">
        <v>842</v>
      </c>
      <c r="R75" s="4" t="s">
        <v>896</v>
      </c>
      <c r="S75" s="3" t="s">
        <v>823</v>
      </c>
      <c r="T75" s="5" t="str">
        <f t="shared" si="5"/>
        <v>Y</v>
      </c>
      <c r="W75" s="5" t="str">
        <f t="shared" si="6"/>
        <v>Y</v>
      </c>
      <c r="X75" s="4" t="s">
        <v>51</v>
      </c>
      <c r="Y75" s="3" t="s">
        <v>897</v>
      </c>
      <c r="Z75" s="3" t="s">
        <v>898</v>
      </c>
      <c r="AA75" s="4" t="s">
        <v>899</v>
      </c>
      <c r="AB75" s="4" t="s">
        <v>900</v>
      </c>
      <c r="AC75" s="5" t="s">
        <v>56</v>
      </c>
      <c r="AH75" s="5" t="str">
        <f t="shared" si="7"/>
        <v>Y</v>
      </c>
      <c r="AI75" s="3" t="s">
        <v>901</v>
      </c>
      <c r="AJ75" s="3" t="s">
        <v>902</v>
      </c>
      <c r="AK75" s="3" t="s">
        <v>903</v>
      </c>
      <c r="AL75" s="3" t="s">
        <v>904</v>
      </c>
      <c r="AM75" s="4" t="s">
        <v>62</v>
      </c>
      <c r="AP75" s="5">
        <v>1</v>
      </c>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row>
    <row r="76" ht="16.5" customHeight="1">
      <c r="A76" s="3" t="s">
        <v>905</v>
      </c>
      <c r="B76" s="3" t="s">
        <v>906</v>
      </c>
      <c r="C76" s="3" t="s">
        <v>907</v>
      </c>
      <c r="D76" s="3" t="s">
        <v>593</v>
      </c>
      <c r="E76" s="4" t="s">
        <v>237</v>
      </c>
      <c r="F76" s="3">
        <v>4747</v>
      </c>
      <c r="H76" s="5" t="str">
        <f t="shared" si="4"/>
        <v>N</v>
      </c>
      <c r="I76" s="4" t="s">
        <v>908</v>
      </c>
      <c r="J76" s="4" t="s">
        <v>909</v>
      </c>
      <c r="K76" s="4" t="s">
        <v>910</v>
      </c>
      <c r="L76" s="4" t="s">
        <v>911</v>
      </c>
      <c r="M76" s="4" t="s">
        <v>912</v>
      </c>
      <c r="N76" s="4" t="s">
        <v>241</v>
      </c>
      <c r="O76" s="4" t="s">
        <v>913</v>
      </c>
      <c r="P76" s="4" t="s">
        <v>842</v>
      </c>
      <c r="Q76" s="4" t="s">
        <v>842</v>
      </c>
      <c r="R76" s="4" t="s">
        <v>914</v>
      </c>
      <c r="S76" s="3" t="s">
        <v>428</v>
      </c>
      <c r="T76" s="5" t="str">
        <f t="shared" si="5"/>
        <v>Y</v>
      </c>
      <c r="W76" s="5" t="str">
        <f t="shared" si="6"/>
        <v>Y</v>
      </c>
      <c r="X76" s="4" t="s">
        <v>51</v>
      </c>
      <c r="Y76" s="3" t="s">
        <v>915</v>
      </c>
      <c r="Z76" s="3" t="s">
        <v>916</v>
      </c>
      <c r="AA76" s="4" t="s">
        <v>917</v>
      </c>
      <c r="AB76" s="4" t="s">
        <v>918</v>
      </c>
      <c r="AC76" s="5" t="s">
        <v>56</v>
      </c>
      <c r="AH76" s="5" t="str">
        <f t="shared" si="7"/>
        <v>Y</v>
      </c>
      <c r="AI76" s="3" t="s">
        <v>919</v>
      </c>
      <c r="AJ76" s="3" t="s">
        <v>920</v>
      </c>
      <c r="AK76" s="3" t="s">
        <v>921</v>
      </c>
      <c r="AL76" s="3" t="s">
        <v>922</v>
      </c>
      <c r="AM76" s="4" t="s">
        <v>62</v>
      </c>
      <c r="AP76" s="5">
        <v>1</v>
      </c>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row>
    <row r="77" ht="16.5" customHeight="1">
      <c r="A77" s="3" t="s">
        <v>905</v>
      </c>
      <c r="B77" s="3" t="s">
        <v>906</v>
      </c>
      <c r="C77" s="3" t="s">
        <v>907</v>
      </c>
      <c r="D77" s="3" t="s">
        <v>593</v>
      </c>
      <c r="E77" s="4" t="s">
        <v>237</v>
      </c>
      <c r="F77" s="3">
        <v>4747</v>
      </c>
      <c r="H77" s="5" t="str">
        <f t="shared" si="4"/>
        <v>N</v>
      </c>
      <c r="I77" s="4" t="s">
        <v>923</v>
      </c>
      <c r="J77" s="4" t="s">
        <v>909</v>
      </c>
      <c r="K77" s="4" t="s">
        <v>910</v>
      </c>
      <c r="L77" s="4" t="s">
        <v>911</v>
      </c>
      <c r="M77" s="4" t="s">
        <v>912</v>
      </c>
      <c r="N77" s="4" t="s">
        <v>241</v>
      </c>
      <c r="O77" s="4" t="s">
        <v>913</v>
      </c>
      <c r="P77" s="4" t="s">
        <v>842</v>
      </c>
      <c r="Q77" s="4" t="s">
        <v>842</v>
      </c>
      <c r="R77" s="4" t="s">
        <v>914</v>
      </c>
      <c r="S77" s="3" t="s">
        <v>428</v>
      </c>
      <c r="T77" s="5" t="str">
        <f t="shared" si="5"/>
        <v>Y</v>
      </c>
      <c r="W77" s="5" t="str">
        <f t="shared" si="6"/>
        <v>Y</v>
      </c>
      <c r="X77" s="4" t="s">
        <v>51</v>
      </c>
      <c r="Y77" s="3" t="s">
        <v>915</v>
      </c>
      <c r="Z77" s="3" t="s">
        <v>916</v>
      </c>
      <c r="AA77" s="4" t="s">
        <v>917</v>
      </c>
      <c r="AB77" s="4" t="s">
        <v>918</v>
      </c>
      <c r="AC77" s="5" t="s">
        <v>56</v>
      </c>
      <c r="AH77" s="5" t="str">
        <f t="shared" si="7"/>
        <v>Y</v>
      </c>
      <c r="AI77" s="3" t="s">
        <v>919</v>
      </c>
      <c r="AJ77" s="3" t="s">
        <v>920</v>
      </c>
      <c r="AK77" s="3" t="s">
        <v>921</v>
      </c>
      <c r="AL77" s="3" t="s">
        <v>922</v>
      </c>
      <c r="AM77" s="4" t="s">
        <v>62</v>
      </c>
      <c r="AP77" s="5">
        <v>1</v>
      </c>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row>
    <row r="78" ht="16.5" customHeight="1">
      <c r="A78" s="3" t="s">
        <v>924</v>
      </c>
      <c r="B78" s="3" t="s">
        <v>925</v>
      </c>
      <c r="C78" s="3" t="s">
        <v>926</v>
      </c>
      <c r="D78" s="3" t="s">
        <v>593</v>
      </c>
      <c r="E78" s="4" t="s">
        <v>237</v>
      </c>
      <c r="F78" s="3">
        <v>5285</v>
      </c>
      <c r="H78" s="5" t="str">
        <f t="shared" si="4"/>
        <v>N</v>
      </c>
      <c r="I78" s="4" t="s">
        <v>927</v>
      </c>
      <c r="J78" s="4" t="s">
        <v>909</v>
      </c>
      <c r="K78" s="4" t="s">
        <v>928</v>
      </c>
      <c r="L78" s="4" t="s">
        <v>577</v>
      </c>
      <c r="M78" s="4" t="s">
        <v>929</v>
      </c>
      <c r="N78" s="4" t="s">
        <v>241</v>
      </c>
      <c r="O78" s="4" t="s">
        <v>930</v>
      </c>
      <c r="P78" s="4" t="s">
        <v>842</v>
      </c>
      <c r="Q78" s="4" t="s">
        <v>842</v>
      </c>
      <c r="R78" s="4" t="s">
        <v>931</v>
      </c>
      <c r="S78" s="3" t="s">
        <v>428</v>
      </c>
      <c r="T78" s="5" t="str">
        <f t="shared" si="5"/>
        <v>Y</v>
      </c>
      <c r="W78" s="5" t="str">
        <f t="shared" si="6"/>
        <v>Y</v>
      </c>
      <c r="X78" s="4" t="s">
        <v>51</v>
      </c>
      <c r="Y78" s="3" t="s">
        <v>932</v>
      </c>
      <c r="Z78" s="3" t="s">
        <v>933</v>
      </c>
      <c r="AA78" s="4" t="s">
        <v>934</v>
      </c>
      <c r="AB78" s="4" t="s">
        <v>935</v>
      </c>
      <c r="AC78" s="5" t="s">
        <v>56</v>
      </c>
      <c r="AH78" s="5" t="str">
        <f t="shared" si="7"/>
        <v>Y</v>
      </c>
      <c r="AI78" s="3" t="s">
        <v>936</v>
      </c>
      <c r="AJ78" s="3" t="s">
        <v>937</v>
      </c>
      <c r="AK78" s="3" t="s">
        <v>938</v>
      </c>
      <c r="AL78" s="3" t="s">
        <v>939</v>
      </c>
      <c r="AM78" s="4" t="s">
        <v>62</v>
      </c>
      <c r="AP78" s="5">
        <v>1</v>
      </c>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row>
    <row r="79" ht="16.5" customHeight="1">
      <c r="A79" s="3" t="s">
        <v>924</v>
      </c>
      <c r="B79" s="3" t="s">
        <v>925</v>
      </c>
      <c r="C79" s="3" t="s">
        <v>926</v>
      </c>
      <c r="D79" s="3" t="s">
        <v>593</v>
      </c>
      <c r="E79" s="4" t="s">
        <v>237</v>
      </c>
      <c r="F79" s="3">
        <v>5285</v>
      </c>
      <c r="H79" s="5" t="str">
        <f t="shared" si="4"/>
        <v>N</v>
      </c>
      <c r="I79" s="4" t="s">
        <v>940</v>
      </c>
      <c r="J79" s="4" t="s">
        <v>909</v>
      </c>
      <c r="K79" s="4" t="s">
        <v>928</v>
      </c>
      <c r="L79" s="4" t="s">
        <v>577</v>
      </c>
      <c r="M79" s="4" t="s">
        <v>929</v>
      </c>
      <c r="N79" s="4" t="s">
        <v>241</v>
      </c>
      <c r="O79" s="4" t="s">
        <v>930</v>
      </c>
      <c r="P79" s="4" t="s">
        <v>842</v>
      </c>
      <c r="Q79" s="4" t="s">
        <v>842</v>
      </c>
      <c r="R79" s="4" t="s">
        <v>931</v>
      </c>
      <c r="S79" s="3" t="s">
        <v>428</v>
      </c>
      <c r="T79" s="5" t="str">
        <f t="shared" si="5"/>
        <v>Y</v>
      </c>
      <c r="W79" s="5" t="str">
        <f t="shared" si="6"/>
        <v>Y</v>
      </c>
      <c r="X79" s="4" t="s">
        <v>51</v>
      </c>
      <c r="Y79" s="3" t="s">
        <v>932</v>
      </c>
      <c r="Z79" s="3" t="s">
        <v>933</v>
      </c>
      <c r="AA79" s="4" t="s">
        <v>934</v>
      </c>
      <c r="AB79" s="4" t="s">
        <v>935</v>
      </c>
      <c r="AC79" s="5" t="s">
        <v>56</v>
      </c>
      <c r="AH79" s="5" t="str">
        <f t="shared" si="7"/>
        <v>Y</v>
      </c>
      <c r="AI79" s="3" t="s">
        <v>936</v>
      </c>
      <c r="AJ79" s="3" t="s">
        <v>937</v>
      </c>
      <c r="AK79" s="3" t="s">
        <v>938</v>
      </c>
      <c r="AL79" s="3" t="s">
        <v>939</v>
      </c>
      <c r="AM79" s="4" t="s">
        <v>62</v>
      </c>
      <c r="AP79" s="5">
        <v>1</v>
      </c>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row>
    <row r="80" ht="16.5" customHeight="1">
      <c r="A80" s="3" t="s">
        <v>941</v>
      </c>
      <c r="B80" s="3" t="s">
        <v>942</v>
      </c>
      <c r="C80" s="3" t="s">
        <v>941</v>
      </c>
      <c r="D80" s="3" t="s">
        <v>593</v>
      </c>
      <c r="E80" s="4" t="s">
        <v>943</v>
      </c>
      <c r="F80" s="3">
        <v>5290</v>
      </c>
      <c r="H80" s="5" t="str">
        <f t="shared" si="4"/>
        <v>N</v>
      </c>
      <c r="I80" s="4" t="s">
        <v>944</v>
      </c>
      <c r="J80" s="4" t="s">
        <v>945</v>
      </c>
      <c r="K80" s="4" t="s">
        <v>946</v>
      </c>
      <c r="L80" s="4" t="s">
        <v>405</v>
      </c>
      <c r="M80" s="4" t="s">
        <v>947</v>
      </c>
      <c r="N80" s="4" t="s">
        <v>948</v>
      </c>
      <c r="O80" s="4" t="s">
        <v>949</v>
      </c>
      <c r="P80" s="4" t="s">
        <v>842</v>
      </c>
      <c r="Q80" s="4" t="s">
        <v>842</v>
      </c>
      <c r="R80" s="4" t="s">
        <v>950</v>
      </c>
      <c r="S80" s="3" t="s">
        <v>428</v>
      </c>
      <c r="T80" s="5" t="str">
        <f t="shared" si="5"/>
        <v>Y</v>
      </c>
      <c r="W80" s="5" t="str">
        <f t="shared" si="6"/>
        <v>Y</v>
      </c>
      <c r="X80" s="4" t="s">
        <v>51</v>
      </c>
      <c r="Y80" s="3" t="s">
        <v>951</v>
      </c>
      <c r="Z80" s="3" t="s">
        <v>952</v>
      </c>
      <c r="AA80" s="4" t="s">
        <v>953</v>
      </c>
      <c r="AB80" s="4" t="s">
        <v>954</v>
      </c>
      <c r="AC80" s="5" t="s">
        <v>56</v>
      </c>
      <c r="AH80" s="5" t="str">
        <f t="shared" si="7"/>
        <v>Y</v>
      </c>
      <c r="AI80" s="3" t="s">
        <v>955</v>
      </c>
      <c r="AJ80" s="3" t="s">
        <v>956</v>
      </c>
      <c r="AK80" s="3" t="s">
        <v>957</v>
      </c>
      <c r="AL80" s="3" t="s">
        <v>958</v>
      </c>
      <c r="AM80" s="4" t="s">
        <v>62</v>
      </c>
      <c r="AP80" s="5">
        <v>1</v>
      </c>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row>
    <row r="81" ht="16.5" customHeight="1">
      <c r="A81" s="3" t="s">
        <v>941</v>
      </c>
      <c r="B81" s="3" t="s">
        <v>942</v>
      </c>
      <c r="C81" s="3" t="s">
        <v>941</v>
      </c>
      <c r="D81" s="3" t="s">
        <v>593</v>
      </c>
      <c r="E81" s="4" t="s">
        <v>943</v>
      </c>
      <c r="F81" s="3">
        <v>5290</v>
      </c>
      <c r="H81" s="5" t="str">
        <f t="shared" si="4"/>
        <v>N</v>
      </c>
      <c r="I81" s="4" t="s">
        <v>959</v>
      </c>
      <c r="J81" s="4" t="s">
        <v>945</v>
      </c>
      <c r="K81" s="4" t="s">
        <v>946</v>
      </c>
      <c r="L81" s="4" t="s">
        <v>405</v>
      </c>
      <c r="M81" s="4" t="s">
        <v>947</v>
      </c>
      <c r="N81" s="4" t="s">
        <v>948</v>
      </c>
      <c r="O81" s="4" t="s">
        <v>949</v>
      </c>
      <c r="P81" s="4" t="s">
        <v>842</v>
      </c>
      <c r="Q81" s="4" t="s">
        <v>842</v>
      </c>
      <c r="R81" s="4" t="s">
        <v>960</v>
      </c>
      <c r="S81" s="3" t="s">
        <v>428</v>
      </c>
      <c r="T81" s="5" t="str">
        <f t="shared" si="5"/>
        <v>Y</v>
      </c>
      <c r="W81" s="5" t="str">
        <f t="shared" si="6"/>
        <v>Y</v>
      </c>
      <c r="X81" s="4" t="s">
        <v>51</v>
      </c>
      <c r="Y81" s="3" t="s">
        <v>951</v>
      </c>
      <c r="Z81" s="3" t="s">
        <v>952</v>
      </c>
      <c r="AA81" s="4" t="s">
        <v>953</v>
      </c>
      <c r="AB81" s="4" t="s">
        <v>954</v>
      </c>
      <c r="AC81" s="5" t="s">
        <v>56</v>
      </c>
      <c r="AH81" s="5" t="str">
        <f t="shared" si="7"/>
        <v>Y</v>
      </c>
      <c r="AI81" s="3" t="s">
        <v>955</v>
      </c>
      <c r="AJ81" s="3" t="s">
        <v>956</v>
      </c>
      <c r="AK81" s="3" t="s">
        <v>957</v>
      </c>
      <c r="AL81" s="3" t="s">
        <v>958</v>
      </c>
      <c r="AM81" s="4" t="s">
        <v>62</v>
      </c>
      <c r="AP81" s="5">
        <v>1</v>
      </c>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row>
    <row r="82" ht="16.5" customHeight="1">
      <c r="A82" s="3" t="s">
        <v>961</v>
      </c>
      <c r="B82" s="3" t="s">
        <v>962</v>
      </c>
      <c r="C82" s="3" t="s">
        <v>963</v>
      </c>
      <c r="D82" s="3" t="s">
        <v>593</v>
      </c>
      <c r="E82" s="4" t="s">
        <v>793</v>
      </c>
      <c r="F82" s="3">
        <v>4748</v>
      </c>
      <c r="H82" s="5" t="str">
        <f t="shared" si="4"/>
        <v>N</v>
      </c>
      <c r="I82" s="4" t="s">
        <v>964</v>
      </c>
      <c r="J82" s="4" t="s">
        <v>965</v>
      </c>
      <c r="K82" s="4" t="s">
        <v>966</v>
      </c>
      <c r="L82" s="4" t="s">
        <v>967</v>
      </c>
      <c r="M82" s="4" t="s">
        <v>968</v>
      </c>
      <c r="N82" s="4" t="s">
        <v>241</v>
      </c>
      <c r="O82" s="4" t="s">
        <v>969</v>
      </c>
      <c r="P82" s="4" t="s">
        <v>970</v>
      </c>
      <c r="Q82" s="4" t="s">
        <v>971</v>
      </c>
      <c r="R82" s="4" t="s">
        <v>972</v>
      </c>
      <c r="S82" s="3" t="s">
        <v>428</v>
      </c>
      <c r="T82" s="5" t="str">
        <f t="shared" si="5"/>
        <v>Y</v>
      </c>
      <c r="W82" s="5" t="str">
        <f t="shared" si="6"/>
        <v>Y</v>
      </c>
      <c r="X82" s="4" t="s">
        <v>51</v>
      </c>
      <c r="Y82" s="3" t="s">
        <v>973</v>
      </c>
      <c r="Z82" s="3" t="s">
        <v>974</v>
      </c>
      <c r="AA82" s="4" t="s">
        <v>975</v>
      </c>
      <c r="AB82" s="4" t="s">
        <v>976</v>
      </c>
      <c r="AC82" s="5" t="s">
        <v>56</v>
      </c>
      <c r="AH82" s="5" t="str">
        <f t="shared" si="7"/>
        <v>Y</v>
      </c>
      <c r="AI82" s="3" t="s">
        <v>977</v>
      </c>
      <c r="AJ82" s="3" t="s">
        <v>978</v>
      </c>
      <c r="AK82" s="3" t="s">
        <v>979</v>
      </c>
      <c r="AL82" s="3" t="s">
        <v>980</v>
      </c>
      <c r="AM82" s="4" t="s">
        <v>62</v>
      </c>
      <c r="AP82" s="5">
        <v>1</v>
      </c>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row>
    <row r="83" ht="16.5" customHeight="1">
      <c r="A83" s="3" t="s">
        <v>961</v>
      </c>
      <c r="B83" s="3" t="s">
        <v>962</v>
      </c>
      <c r="C83" s="3" t="s">
        <v>963</v>
      </c>
      <c r="D83" s="3" t="s">
        <v>593</v>
      </c>
      <c r="E83" s="4" t="s">
        <v>793</v>
      </c>
      <c r="F83" s="3">
        <v>4748</v>
      </c>
      <c r="H83" s="5" t="str">
        <f t="shared" si="4"/>
        <v>N</v>
      </c>
      <c r="I83" s="4" t="s">
        <v>981</v>
      </c>
      <c r="J83" s="4" t="s">
        <v>965</v>
      </c>
      <c r="K83" s="4" t="s">
        <v>966</v>
      </c>
      <c r="L83" s="4" t="s">
        <v>967</v>
      </c>
      <c r="M83" s="4" t="s">
        <v>968</v>
      </c>
      <c r="N83" s="4" t="s">
        <v>241</v>
      </c>
      <c r="O83" s="4" t="s">
        <v>969</v>
      </c>
      <c r="P83" s="4" t="s">
        <v>970</v>
      </c>
      <c r="Q83" s="4" t="s">
        <v>971</v>
      </c>
      <c r="R83" s="4" t="s">
        <v>972</v>
      </c>
      <c r="S83" s="3" t="s">
        <v>428</v>
      </c>
      <c r="T83" s="5" t="str">
        <f t="shared" si="5"/>
        <v>Y</v>
      </c>
      <c r="W83" s="5" t="str">
        <f t="shared" si="6"/>
        <v>Y</v>
      </c>
      <c r="X83" s="4" t="s">
        <v>51</v>
      </c>
      <c r="Y83" s="3" t="s">
        <v>973</v>
      </c>
      <c r="Z83" s="3" t="s">
        <v>974</v>
      </c>
      <c r="AA83" s="4" t="s">
        <v>975</v>
      </c>
      <c r="AB83" s="4" t="s">
        <v>976</v>
      </c>
      <c r="AC83" s="5" t="s">
        <v>56</v>
      </c>
      <c r="AH83" s="5" t="str">
        <f t="shared" si="7"/>
        <v>Y</v>
      </c>
      <c r="AI83" s="3" t="s">
        <v>977</v>
      </c>
      <c r="AJ83" s="3" t="s">
        <v>978</v>
      </c>
      <c r="AK83" s="3" t="s">
        <v>979</v>
      </c>
      <c r="AL83" s="3" t="s">
        <v>980</v>
      </c>
      <c r="AM83" s="4" t="s">
        <v>62</v>
      </c>
      <c r="AP83" s="5">
        <v>1</v>
      </c>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row>
    <row r="84" ht="16.5" customHeight="1">
      <c r="A84" s="3" t="s">
        <v>982</v>
      </c>
      <c r="B84" s="3" t="s">
        <v>983</v>
      </c>
      <c r="C84" s="3" t="s">
        <v>984</v>
      </c>
      <c r="D84" s="3" t="s">
        <v>593</v>
      </c>
      <c r="E84" s="4" t="s">
        <v>793</v>
      </c>
      <c r="F84" s="3">
        <v>4749</v>
      </c>
      <c r="H84" s="5" t="str">
        <f t="shared" si="4"/>
        <v>N</v>
      </c>
      <c r="I84" s="4" t="s">
        <v>985</v>
      </c>
      <c r="J84" s="4" t="s">
        <v>965</v>
      </c>
      <c r="K84" s="4" t="s">
        <v>986</v>
      </c>
      <c r="L84" s="4" t="s">
        <v>596</v>
      </c>
      <c r="M84" s="4" t="s">
        <v>987</v>
      </c>
      <c r="N84" s="4" t="s">
        <v>988</v>
      </c>
      <c r="O84" s="4" t="s">
        <v>989</v>
      </c>
      <c r="P84" s="4" t="s">
        <v>161</v>
      </c>
      <c r="Q84" s="4" t="s">
        <v>990</v>
      </c>
      <c r="R84" s="4" t="s">
        <v>991</v>
      </c>
      <c r="S84" s="3" t="s">
        <v>428</v>
      </c>
      <c r="T84" s="5" t="str">
        <f t="shared" si="5"/>
        <v>Y</v>
      </c>
      <c r="W84" s="5" t="str">
        <f t="shared" si="6"/>
        <v>Y</v>
      </c>
      <c r="X84" s="4" t="s">
        <v>51</v>
      </c>
      <c r="Y84" s="3" t="s">
        <v>992</v>
      </c>
      <c r="Z84" s="3" t="s">
        <v>993</v>
      </c>
      <c r="AA84" s="4" t="s">
        <v>994</v>
      </c>
      <c r="AB84" s="4" t="s">
        <v>995</v>
      </c>
      <c r="AC84" s="5" t="s">
        <v>56</v>
      </c>
      <c r="AH84" s="5" t="str">
        <f t="shared" si="7"/>
        <v>Y</v>
      </c>
      <c r="AI84" s="3" t="s">
        <v>996</v>
      </c>
      <c r="AJ84" s="3" t="s">
        <v>997</v>
      </c>
      <c r="AK84" s="3" t="s">
        <v>998</v>
      </c>
      <c r="AL84" s="3" t="s">
        <v>999</v>
      </c>
      <c r="AM84" s="4" t="s">
        <v>62</v>
      </c>
      <c r="AP84" s="5">
        <v>1</v>
      </c>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row>
    <row r="85" ht="16.5" customHeight="1">
      <c r="A85" s="3" t="s">
        <v>982</v>
      </c>
      <c r="B85" s="3" t="s">
        <v>983</v>
      </c>
      <c r="C85" s="3" t="s">
        <v>984</v>
      </c>
      <c r="D85" s="3" t="s">
        <v>593</v>
      </c>
      <c r="E85" s="4" t="s">
        <v>793</v>
      </c>
      <c r="F85" s="3">
        <v>4749</v>
      </c>
      <c r="H85" s="5" t="str">
        <f t="shared" si="4"/>
        <v>N</v>
      </c>
      <c r="I85" s="4" t="s">
        <v>1000</v>
      </c>
      <c r="J85" s="4" t="s">
        <v>965</v>
      </c>
      <c r="K85" s="4" t="s">
        <v>986</v>
      </c>
      <c r="L85" s="4" t="s">
        <v>596</v>
      </c>
      <c r="M85" s="4" t="s">
        <v>987</v>
      </c>
      <c r="N85" s="4" t="s">
        <v>988</v>
      </c>
      <c r="O85" s="4" t="s">
        <v>989</v>
      </c>
      <c r="P85" s="4" t="s">
        <v>161</v>
      </c>
      <c r="Q85" s="4" t="s">
        <v>990</v>
      </c>
      <c r="R85" s="4" t="s">
        <v>991</v>
      </c>
      <c r="S85" s="3" t="s">
        <v>428</v>
      </c>
      <c r="T85" s="5" t="str">
        <f t="shared" si="5"/>
        <v>Y</v>
      </c>
      <c r="W85" s="5" t="str">
        <f t="shared" si="6"/>
        <v>Y</v>
      </c>
      <c r="X85" s="4" t="s">
        <v>51</v>
      </c>
      <c r="Y85" s="3" t="s">
        <v>992</v>
      </c>
      <c r="Z85" s="3" t="s">
        <v>993</v>
      </c>
      <c r="AA85" s="4" t="s">
        <v>994</v>
      </c>
      <c r="AB85" s="4" t="s">
        <v>995</v>
      </c>
      <c r="AC85" s="5" t="s">
        <v>56</v>
      </c>
      <c r="AH85" s="5" t="str">
        <f t="shared" si="7"/>
        <v>Y</v>
      </c>
      <c r="AI85" s="3" t="s">
        <v>996</v>
      </c>
      <c r="AJ85" s="3" t="s">
        <v>997</v>
      </c>
      <c r="AK85" s="3" t="s">
        <v>998</v>
      </c>
      <c r="AL85" s="3" t="s">
        <v>999</v>
      </c>
      <c r="AM85" s="4" t="s">
        <v>62</v>
      </c>
      <c r="AP85" s="5">
        <v>1</v>
      </c>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row>
    <row r="86" ht="16.5" customHeight="1">
      <c r="A86" s="3" t="s">
        <v>1001</v>
      </c>
      <c r="B86" s="3" t="s">
        <v>1002</v>
      </c>
      <c r="C86" s="3" t="s">
        <v>1003</v>
      </c>
      <c r="D86" s="3" t="s">
        <v>593</v>
      </c>
      <c r="E86" s="4" t="s">
        <v>1004</v>
      </c>
      <c r="F86" s="3">
        <v>9840</v>
      </c>
      <c r="H86" s="5" t="str">
        <f t="shared" si="4"/>
        <v>N</v>
      </c>
      <c r="I86" s="4" t="s">
        <v>1005</v>
      </c>
      <c r="J86" s="4" t="s">
        <v>1006</v>
      </c>
      <c r="K86" s="4" t="s">
        <v>1007</v>
      </c>
      <c r="L86" s="4" t="s">
        <v>596</v>
      </c>
      <c r="M86" s="4" t="s">
        <v>1008</v>
      </c>
      <c r="N86" s="4" t="s">
        <v>662</v>
      </c>
      <c r="O86" s="4" t="s">
        <v>1009</v>
      </c>
      <c r="P86" s="4" t="s">
        <v>1010</v>
      </c>
      <c r="Q86" s="4" t="s">
        <v>1011</v>
      </c>
      <c r="R86" s="4" t="s">
        <v>1012</v>
      </c>
      <c r="S86" s="3" t="s">
        <v>428</v>
      </c>
      <c r="T86" s="5" t="str">
        <f t="shared" si="5"/>
        <v>Y</v>
      </c>
      <c r="W86" s="5" t="str">
        <f t="shared" si="6"/>
        <v>Y</v>
      </c>
      <c r="X86" s="4" t="s">
        <v>51</v>
      </c>
      <c r="Y86" s="3" t="s">
        <v>1013</v>
      </c>
      <c r="Z86" s="3" t="s">
        <v>1014</v>
      </c>
      <c r="AA86" s="4" t="s">
        <v>1015</v>
      </c>
      <c r="AB86" s="4" t="s">
        <v>1016</v>
      </c>
      <c r="AC86" s="5" t="s">
        <v>56</v>
      </c>
      <c r="AH86" s="5" t="str">
        <f t="shared" si="7"/>
        <v>Y</v>
      </c>
      <c r="AI86" s="3" t="s">
        <v>1017</v>
      </c>
      <c r="AJ86" s="3" t="s">
        <v>1018</v>
      </c>
      <c r="AK86" s="3" t="s">
        <v>1019</v>
      </c>
      <c r="AL86" s="3" t="s">
        <v>1020</v>
      </c>
      <c r="AM86" s="4" t="s">
        <v>62</v>
      </c>
      <c r="AP86" s="5">
        <v>1</v>
      </c>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row>
    <row r="87" ht="16.5" customHeight="1">
      <c r="A87" s="3" t="s">
        <v>1021</v>
      </c>
      <c r="B87" s="3" t="s">
        <v>1022</v>
      </c>
      <c r="C87" s="3" t="s">
        <v>1023</v>
      </c>
      <c r="D87" s="3" t="s">
        <v>593</v>
      </c>
      <c r="E87" s="4" t="s">
        <v>1004</v>
      </c>
      <c r="F87" s="3">
        <v>9841</v>
      </c>
      <c r="H87" s="5" t="str">
        <f t="shared" si="4"/>
        <v>N</v>
      </c>
      <c r="I87" s="4" t="s">
        <v>1024</v>
      </c>
      <c r="J87" s="4" t="s">
        <v>1006</v>
      </c>
      <c r="K87" s="4" t="s">
        <v>1025</v>
      </c>
      <c r="L87" s="4" t="s">
        <v>662</v>
      </c>
      <c r="M87" s="4" t="s">
        <v>1026</v>
      </c>
      <c r="N87" s="4" t="s">
        <v>288</v>
      </c>
      <c r="O87" s="4" t="s">
        <v>1027</v>
      </c>
      <c r="P87" s="4" t="s">
        <v>267</v>
      </c>
      <c r="Q87" s="4" t="s">
        <v>1028</v>
      </c>
      <c r="R87" s="4" t="s">
        <v>1029</v>
      </c>
      <c r="S87" s="3" t="s">
        <v>428</v>
      </c>
      <c r="T87" s="5" t="str">
        <f t="shared" si="5"/>
        <v>Y</v>
      </c>
      <c r="W87" s="5" t="str">
        <f t="shared" si="6"/>
        <v>Y</v>
      </c>
      <c r="X87" s="4" t="s">
        <v>51</v>
      </c>
      <c r="Y87" s="3" t="s">
        <v>1030</v>
      </c>
      <c r="Z87" s="3" t="s">
        <v>1031</v>
      </c>
      <c r="AA87" s="4" t="s">
        <v>1032</v>
      </c>
      <c r="AB87" s="4" t="s">
        <v>1033</v>
      </c>
      <c r="AC87" s="5" t="s">
        <v>56</v>
      </c>
      <c r="AH87" s="5" t="str">
        <f t="shared" si="7"/>
        <v>Y</v>
      </c>
      <c r="AI87" s="3" t="s">
        <v>1034</v>
      </c>
      <c r="AJ87" s="3" t="s">
        <v>1035</v>
      </c>
      <c r="AK87" s="3" t="s">
        <v>1036</v>
      </c>
      <c r="AL87" s="3" t="s">
        <v>1037</v>
      </c>
      <c r="AM87" s="4" t="s">
        <v>62</v>
      </c>
      <c r="AP87" s="5">
        <v>1</v>
      </c>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row>
    <row r="88" ht="16.5" customHeight="1">
      <c r="A88" s="3" t="s">
        <v>1038</v>
      </c>
      <c r="B88" s="3" t="s">
        <v>1039</v>
      </c>
      <c r="C88" s="3" t="s">
        <v>1040</v>
      </c>
      <c r="D88" s="3" t="s">
        <v>593</v>
      </c>
      <c r="E88" s="4" t="s">
        <v>1041</v>
      </c>
      <c r="F88" s="3">
        <v>4425</v>
      </c>
      <c r="H88" s="5" t="str">
        <f t="shared" si="4"/>
        <v>N</v>
      </c>
      <c r="I88" s="4" t="s">
        <v>1042</v>
      </c>
      <c r="J88" s="4" t="s">
        <v>1043</v>
      </c>
      <c r="K88" s="4" t="s">
        <v>1044</v>
      </c>
      <c r="L88" s="4" t="s">
        <v>1045</v>
      </c>
      <c r="M88" s="4" t="s">
        <v>1046</v>
      </c>
      <c r="N88" s="4" t="s">
        <v>198</v>
      </c>
      <c r="O88" s="4" t="s">
        <v>1047</v>
      </c>
      <c r="P88" s="4" t="s">
        <v>222</v>
      </c>
      <c r="Q88" s="4" t="s">
        <v>1048</v>
      </c>
      <c r="R88" s="4" t="s">
        <v>1049</v>
      </c>
      <c r="S88" s="3" t="s">
        <v>428</v>
      </c>
      <c r="T88" s="5" t="str">
        <f t="shared" si="5"/>
        <v>Y</v>
      </c>
      <c r="W88" s="5" t="str">
        <f t="shared" si="6"/>
        <v>Y</v>
      </c>
      <c r="X88" s="4" t="s">
        <v>51</v>
      </c>
      <c r="Y88" s="3" t="s">
        <v>1050</v>
      </c>
      <c r="Z88" s="3" t="s">
        <v>1051</v>
      </c>
      <c r="AA88" s="4" t="s">
        <v>1052</v>
      </c>
      <c r="AB88" s="4" t="s">
        <v>1053</v>
      </c>
      <c r="AC88" s="5" t="s">
        <v>56</v>
      </c>
      <c r="AH88" s="5" t="str">
        <f t="shared" si="7"/>
        <v>Y</v>
      </c>
      <c r="AI88" s="3" t="s">
        <v>1054</v>
      </c>
      <c r="AJ88" s="3" t="s">
        <v>1055</v>
      </c>
      <c r="AK88" s="3" t="s">
        <v>1056</v>
      </c>
      <c r="AL88" s="3" t="s">
        <v>1057</v>
      </c>
      <c r="AM88" s="4" t="s">
        <v>62</v>
      </c>
      <c r="AP88" s="5">
        <v>1</v>
      </c>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row>
    <row r="89" ht="16.5" customHeight="1">
      <c r="A89" s="3" t="s">
        <v>1038</v>
      </c>
      <c r="B89" s="3" t="s">
        <v>1039</v>
      </c>
      <c r="C89" s="3" t="s">
        <v>1040</v>
      </c>
      <c r="D89" s="3" t="s">
        <v>593</v>
      </c>
      <c r="E89" s="4" t="s">
        <v>1041</v>
      </c>
      <c r="F89" s="3">
        <v>4425</v>
      </c>
      <c r="H89" s="5" t="str">
        <f t="shared" si="4"/>
        <v>N</v>
      </c>
      <c r="I89" s="4" t="s">
        <v>1058</v>
      </c>
      <c r="J89" s="4" t="s">
        <v>1043</v>
      </c>
      <c r="K89" s="4" t="s">
        <v>1044</v>
      </c>
      <c r="L89" s="4" t="s">
        <v>1045</v>
      </c>
      <c r="M89" s="4" t="s">
        <v>1046</v>
      </c>
      <c r="N89" s="4" t="s">
        <v>198</v>
      </c>
      <c r="O89" s="4" t="s">
        <v>1047</v>
      </c>
      <c r="P89" s="4" t="s">
        <v>222</v>
      </c>
      <c r="Q89" s="4" t="s">
        <v>1048</v>
      </c>
      <c r="R89" s="4" t="s">
        <v>1049</v>
      </c>
      <c r="S89" s="3" t="s">
        <v>428</v>
      </c>
      <c r="T89" s="5" t="str">
        <f t="shared" si="5"/>
        <v>Y</v>
      </c>
      <c r="W89" s="5" t="str">
        <f t="shared" si="6"/>
        <v>Y</v>
      </c>
      <c r="X89" s="4" t="s">
        <v>51</v>
      </c>
      <c r="Y89" s="3" t="s">
        <v>1050</v>
      </c>
      <c r="Z89" s="3" t="s">
        <v>1051</v>
      </c>
      <c r="AA89" s="4" t="s">
        <v>1052</v>
      </c>
      <c r="AB89" s="4" t="s">
        <v>1053</v>
      </c>
      <c r="AC89" s="5" t="s">
        <v>56</v>
      </c>
      <c r="AH89" s="5" t="str">
        <f t="shared" si="7"/>
        <v>Y</v>
      </c>
      <c r="AI89" s="3" t="s">
        <v>1054</v>
      </c>
      <c r="AJ89" s="3" t="s">
        <v>1055</v>
      </c>
      <c r="AK89" s="3" t="s">
        <v>1056</v>
      </c>
      <c r="AL89" s="3" t="s">
        <v>1057</v>
      </c>
      <c r="AM89" s="4" t="s">
        <v>62</v>
      </c>
      <c r="AP89" s="5">
        <v>1</v>
      </c>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row>
    <row r="90" ht="16.5" customHeight="1">
      <c r="A90" s="3" t="s">
        <v>1059</v>
      </c>
      <c r="B90" s="3" t="s">
        <v>1060</v>
      </c>
      <c r="C90" s="3" t="s">
        <v>1061</v>
      </c>
      <c r="D90" s="3" t="s">
        <v>593</v>
      </c>
      <c r="E90" s="4" t="s">
        <v>1041</v>
      </c>
      <c r="F90" s="3">
        <v>7010</v>
      </c>
      <c r="H90" s="5" t="str">
        <f t="shared" si="4"/>
        <v>N</v>
      </c>
      <c r="I90" s="4" t="s">
        <v>1062</v>
      </c>
      <c r="J90" s="4" t="s">
        <v>1043</v>
      </c>
      <c r="K90" s="4" t="s">
        <v>1063</v>
      </c>
      <c r="L90" s="4" t="s">
        <v>1045</v>
      </c>
      <c r="M90" s="4" t="s">
        <v>1064</v>
      </c>
      <c r="N90" s="4" t="s">
        <v>163</v>
      </c>
      <c r="O90" s="4" t="s">
        <v>1065</v>
      </c>
      <c r="P90" s="4" t="s">
        <v>198</v>
      </c>
      <c r="Q90" s="4" t="s">
        <v>1066</v>
      </c>
      <c r="R90" s="4" t="s">
        <v>1067</v>
      </c>
      <c r="S90" s="3" t="s">
        <v>1068</v>
      </c>
      <c r="T90" s="5" t="str">
        <f t="shared" si="5"/>
        <v>Y</v>
      </c>
      <c r="W90" s="5" t="str">
        <f t="shared" si="6"/>
        <v>Y</v>
      </c>
      <c r="X90" s="4" t="s">
        <v>51</v>
      </c>
      <c r="Y90" s="3" t="s">
        <v>1069</v>
      </c>
      <c r="Z90" s="3" t="s">
        <v>1070</v>
      </c>
      <c r="AA90" s="4" t="s">
        <v>1071</v>
      </c>
      <c r="AB90" s="4" t="s">
        <v>1072</v>
      </c>
      <c r="AC90" s="5" t="s">
        <v>56</v>
      </c>
      <c r="AH90" s="5" t="str">
        <f t="shared" si="7"/>
        <v>Y</v>
      </c>
      <c r="AI90" s="3" t="s">
        <v>1073</v>
      </c>
      <c r="AJ90" s="3" t="s">
        <v>1074</v>
      </c>
      <c r="AK90" s="3" t="s">
        <v>1075</v>
      </c>
      <c r="AL90" s="3" t="s">
        <v>1076</v>
      </c>
      <c r="AM90" s="4" t="s">
        <v>62</v>
      </c>
      <c r="AP90" s="5">
        <v>1</v>
      </c>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row>
    <row r="91" ht="16.5" customHeight="1">
      <c r="A91" s="3" t="s">
        <v>1059</v>
      </c>
      <c r="B91" s="3" t="s">
        <v>1060</v>
      </c>
      <c r="C91" s="3" t="s">
        <v>1061</v>
      </c>
      <c r="D91" s="3" t="s">
        <v>593</v>
      </c>
      <c r="E91" s="4" t="s">
        <v>1041</v>
      </c>
      <c r="F91" s="3">
        <v>7010</v>
      </c>
      <c r="H91" s="5" t="str">
        <f t="shared" si="4"/>
        <v>N</v>
      </c>
      <c r="I91" s="4" t="s">
        <v>1077</v>
      </c>
      <c r="J91" s="4" t="s">
        <v>1043</v>
      </c>
      <c r="K91" s="4" t="s">
        <v>1063</v>
      </c>
      <c r="L91" s="4" t="s">
        <v>1045</v>
      </c>
      <c r="M91" s="4" t="s">
        <v>1064</v>
      </c>
      <c r="N91" s="4" t="s">
        <v>163</v>
      </c>
      <c r="O91" s="4" t="s">
        <v>1065</v>
      </c>
      <c r="P91" s="4" t="s">
        <v>198</v>
      </c>
      <c r="Q91" s="4" t="s">
        <v>1066</v>
      </c>
      <c r="R91" s="4" t="s">
        <v>1078</v>
      </c>
      <c r="S91" s="3" t="s">
        <v>1068</v>
      </c>
      <c r="T91" s="5" t="str">
        <f t="shared" si="5"/>
        <v>Y</v>
      </c>
      <c r="W91" s="5" t="str">
        <f t="shared" si="6"/>
        <v>Y</v>
      </c>
      <c r="X91" s="4" t="s">
        <v>51</v>
      </c>
      <c r="Y91" s="3" t="s">
        <v>1069</v>
      </c>
      <c r="Z91" s="3" t="s">
        <v>1070</v>
      </c>
      <c r="AA91" s="4" t="s">
        <v>1071</v>
      </c>
      <c r="AB91" s="4" t="s">
        <v>1072</v>
      </c>
      <c r="AC91" s="5" t="s">
        <v>56</v>
      </c>
      <c r="AH91" s="5" t="str">
        <f t="shared" si="7"/>
        <v>Y</v>
      </c>
      <c r="AI91" s="3" t="s">
        <v>1073</v>
      </c>
      <c r="AJ91" s="3" t="s">
        <v>1074</v>
      </c>
      <c r="AK91" s="3" t="s">
        <v>1075</v>
      </c>
      <c r="AL91" s="3" t="s">
        <v>1076</v>
      </c>
      <c r="AM91" s="4" t="s">
        <v>62</v>
      </c>
      <c r="AP91" s="5">
        <v>1</v>
      </c>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row>
    <row r="92" ht="16.5" customHeight="1">
      <c r="A92" s="3" t="s">
        <v>1079</v>
      </c>
      <c r="B92" s="3" t="s">
        <v>1080</v>
      </c>
      <c r="C92" s="3" t="s">
        <v>1079</v>
      </c>
      <c r="D92" s="3" t="s">
        <v>593</v>
      </c>
      <c r="E92" s="4" t="s">
        <v>1081</v>
      </c>
      <c r="F92" s="3">
        <v>9839</v>
      </c>
      <c r="H92" s="5" t="str">
        <f t="shared" si="4"/>
        <v>N</v>
      </c>
      <c r="I92" s="4" t="s">
        <v>1082</v>
      </c>
      <c r="J92" s="4" t="s">
        <v>1043</v>
      </c>
      <c r="K92" s="4" t="s">
        <v>1083</v>
      </c>
      <c r="L92" s="4" t="s">
        <v>1084</v>
      </c>
      <c r="M92" s="4" t="s">
        <v>1085</v>
      </c>
      <c r="N92" s="4" t="s">
        <v>241</v>
      </c>
      <c r="O92" s="4" t="s">
        <v>1086</v>
      </c>
      <c r="P92" s="4" t="s">
        <v>116</v>
      </c>
      <c r="Q92" s="4" t="s">
        <v>1087</v>
      </c>
      <c r="R92" s="4" t="s">
        <v>1088</v>
      </c>
      <c r="S92" s="3" t="s">
        <v>428</v>
      </c>
      <c r="T92" s="5" t="str">
        <f t="shared" si="5"/>
        <v>Y</v>
      </c>
      <c r="W92" s="5" t="str">
        <f t="shared" si="6"/>
        <v>Y</v>
      </c>
      <c r="X92" s="4" t="s">
        <v>51</v>
      </c>
      <c r="Y92" s="3" t="s">
        <v>1089</v>
      </c>
      <c r="Z92" s="3" t="s">
        <v>1090</v>
      </c>
      <c r="AA92" s="4" t="s">
        <v>1091</v>
      </c>
      <c r="AB92" s="4" t="s">
        <v>1092</v>
      </c>
      <c r="AC92" s="5" t="s">
        <v>56</v>
      </c>
      <c r="AH92" s="5" t="str">
        <f t="shared" si="7"/>
        <v>Y</v>
      </c>
      <c r="AI92" s="3" t="s">
        <v>1093</v>
      </c>
      <c r="AJ92" s="3" t="s">
        <v>1094</v>
      </c>
      <c r="AK92" s="3" t="s">
        <v>1095</v>
      </c>
      <c r="AL92" s="3" t="s">
        <v>1096</v>
      </c>
      <c r="AM92" s="4" t="s">
        <v>62</v>
      </c>
      <c r="AP92" s="5">
        <v>1</v>
      </c>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row>
    <row r="93" ht="16.5" customHeight="1">
      <c r="A93" s="3" t="s">
        <v>1097</v>
      </c>
      <c r="B93" s="3" t="s">
        <v>1098</v>
      </c>
      <c r="C93" s="3" t="s">
        <v>1099</v>
      </c>
      <c r="D93" s="3" t="s">
        <v>593</v>
      </c>
      <c r="E93" s="4" t="s">
        <v>1100</v>
      </c>
      <c r="F93" s="3">
        <v>5403</v>
      </c>
      <c r="H93" s="5" t="str">
        <f t="shared" si="4"/>
        <v>N</v>
      </c>
      <c r="I93" s="4" t="s">
        <v>1101</v>
      </c>
      <c r="J93" s="4" t="s">
        <v>1102</v>
      </c>
      <c r="K93" s="4" t="s">
        <v>1103</v>
      </c>
      <c r="L93" s="4" t="s">
        <v>1104</v>
      </c>
      <c r="M93" s="4" t="s">
        <v>1105</v>
      </c>
      <c r="N93" s="4" t="s">
        <v>161</v>
      </c>
      <c r="O93" s="4" t="s">
        <v>1106</v>
      </c>
      <c r="P93" s="4" t="s">
        <v>1107</v>
      </c>
      <c r="Q93" s="4" t="s">
        <v>1108</v>
      </c>
      <c r="R93" s="4" t="s">
        <v>1109</v>
      </c>
      <c r="S93" s="3" t="s">
        <v>428</v>
      </c>
      <c r="T93" s="5" t="str">
        <f t="shared" si="5"/>
        <v>Y</v>
      </c>
      <c r="W93" s="5" t="str">
        <f t="shared" si="6"/>
        <v>Y</v>
      </c>
      <c r="X93" s="4" t="s">
        <v>51</v>
      </c>
      <c r="Y93" s="4" t="s">
        <v>1110</v>
      </c>
      <c r="Z93" s="4" t="s">
        <v>1111</v>
      </c>
      <c r="AA93" s="4" t="s">
        <v>1112</v>
      </c>
      <c r="AB93" s="4" t="s">
        <v>1113</v>
      </c>
      <c r="AC93" s="5" t="s">
        <v>56</v>
      </c>
      <c r="AH93" s="5" t="str">
        <f t="shared" si="7"/>
        <v>Y</v>
      </c>
      <c r="AI93" s="4" t="s">
        <v>1114</v>
      </c>
      <c r="AJ93" s="4" t="s">
        <v>1115</v>
      </c>
      <c r="AK93" s="3" t="s">
        <v>1116</v>
      </c>
      <c r="AL93" s="3" t="s">
        <v>1117</v>
      </c>
      <c r="AM93" s="4" t="s">
        <v>62</v>
      </c>
      <c r="AP93" s="5">
        <v>1</v>
      </c>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row>
    <row r="94" ht="16.5" customHeight="1">
      <c r="A94" s="3" t="s">
        <v>1118</v>
      </c>
      <c r="B94" s="3" t="s">
        <v>1119</v>
      </c>
      <c r="C94" s="3" t="s">
        <v>1120</v>
      </c>
      <c r="D94" s="3" t="s">
        <v>593</v>
      </c>
      <c r="E94" s="4" t="s">
        <v>793</v>
      </c>
      <c r="F94" s="3">
        <v>8773</v>
      </c>
      <c r="H94" s="5" t="str">
        <f t="shared" si="4"/>
        <v>N</v>
      </c>
      <c r="I94" s="4" t="s">
        <v>1121</v>
      </c>
      <c r="J94" s="4" t="s">
        <v>1122</v>
      </c>
      <c r="K94" s="4" t="s">
        <v>1123</v>
      </c>
      <c r="L94" s="4" t="s">
        <v>1124</v>
      </c>
      <c r="M94" s="4" t="s">
        <v>1125</v>
      </c>
      <c r="N94" s="4" t="s">
        <v>480</v>
      </c>
      <c r="O94" s="4" t="s">
        <v>1126</v>
      </c>
      <c r="P94" s="4" t="s">
        <v>1127</v>
      </c>
      <c r="Q94" s="4" t="s">
        <v>1128</v>
      </c>
      <c r="R94" s="4" t="s">
        <v>1129</v>
      </c>
      <c r="S94" s="3" t="s">
        <v>1130</v>
      </c>
      <c r="T94" s="5" t="str">
        <f t="shared" si="5"/>
        <v>Y</v>
      </c>
      <c r="W94" s="5" t="str">
        <f t="shared" si="6"/>
        <v>Y</v>
      </c>
      <c r="X94" s="4" t="s">
        <v>51</v>
      </c>
      <c r="Y94" s="3" t="s">
        <v>1131</v>
      </c>
      <c r="Z94" s="3" t="s">
        <v>1132</v>
      </c>
      <c r="AA94" s="4" t="s">
        <v>1133</v>
      </c>
      <c r="AB94" s="4" t="s">
        <v>1134</v>
      </c>
      <c r="AC94" s="5" t="s">
        <v>56</v>
      </c>
      <c r="AH94" s="5" t="str">
        <f t="shared" si="7"/>
        <v>Y</v>
      </c>
      <c r="AI94" s="3" t="s">
        <v>1135</v>
      </c>
      <c r="AJ94" s="3" t="s">
        <v>1136</v>
      </c>
      <c r="AK94" s="3" t="s">
        <v>1137</v>
      </c>
      <c r="AL94" s="3" t="s">
        <v>1138</v>
      </c>
      <c r="AM94" s="4" t="s">
        <v>62</v>
      </c>
      <c r="AP94" s="5">
        <v>1</v>
      </c>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row>
    <row r="95" ht="16.5" customHeight="1">
      <c r="A95" s="3" t="s">
        <v>1139</v>
      </c>
      <c r="B95" s="3" t="s">
        <v>1140</v>
      </c>
      <c r="C95" s="3" t="s">
        <v>1141</v>
      </c>
      <c r="D95" s="3" t="s">
        <v>593</v>
      </c>
      <c r="E95" s="4" t="s">
        <v>793</v>
      </c>
      <c r="F95" s="3">
        <v>8854</v>
      </c>
      <c r="H95" s="5" t="str">
        <f t="shared" si="4"/>
        <v>N</v>
      </c>
      <c r="I95" s="4" t="s">
        <v>1142</v>
      </c>
      <c r="J95" s="4" t="s">
        <v>1122</v>
      </c>
      <c r="K95" s="4" t="s">
        <v>1143</v>
      </c>
      <c r="L95" s="4" t="s">
        <v>1124</v>
      </c>
      <c r="M95" s="4" t="s">
        <v>1144</v>
      </c>
      <c r="N95" s="4" t="s">
        <v>241</v>
      </c>
      <c r="O95" s="4" t="s">
        <v>1145</v>
      </c>
      <c r="P95" s="4" t="s">
        <v>1127</v>
      </c>
      <c r="Q95" s="4" t="s">
        <v>1146</v>
      </c>
      <c r="R95" s="4" t="s">
        <v>1147</v>
      </c>
      <c r="S95" s="3" t="s">
        <v>1130</v>
      </c>
      <c r="T95" s="5" t="str">
        <f t="shared" si="5"/>
        <v>Y</v>
      </c>
      <c r="W95" s="5" t="str">
        <f t="shared" si="6"/>
        <v>Y</v>
      </c>
      <c r="X95" s="4" t="s">
        <v>51</v>
      </c>
      <c r="Y95" s="3" t="s">
        <v>1148</v>
      </c>
      <c r="Z95" s="3" t="s">
        <v>1149</v>
      </c>
      <c r="AA95" s="4" t="s">
        <v>1150</v>
      </c>
      <c r="AB95" s="4" t="s">
        <v>1151</v>
      </c>
      <c r="AC95" s="5" t="s">
        <v>56</v>
      </c>
      <c r="AH95" s="5" t="str">
        <f t="shared" si="7"/>
        <v>Y</v>
      </c>
      <c r="AI95" s="3" t="s">
        <v>1135</v>
      </c>
      <c r="AJ95" s="3" t="s">
        <v>1152</v>
      </c>
      <c r="AK95" s="3" t="s">
        <v>1153</v>
      </c>
      <c r="AL95" s="3" t="s">
        <v>1154</v>
      </c>
      <c r="AM95" s="4" t="s">
        <v>62</v>
      </c>
      <c r="AP95" s="5">
        <v>1</v>
      </c>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row>
    <row r="96" ht="16.5" customHeight="1">
      <c r="A96" s="3" t="s">
        <v>1139</v>
      </c>
      <c r="B96" s="3" t="s">
        <v>1140</v>
      </c>
      <c r="C96" s="3" t="s">
        <v>1141</v>
      </c>
      <c r="D96" s="3" t="s">
        <v>593</v>
      </c>
      <c r="E96" s="4" t="s">
        <v>793</v>
      </c>
      <c r="F96" s="3">
        <v>8854</v>
      </c>
      <c r="H96" s="5" t="str">
        <f t="shared" si="4"/>
        <v>N</v>
      </c>
      <c r="I96" s="4" t="s">
        <v>1155</v>
      </c>
      <c r="J96" s="4" t="s">
        <v>1122</v>
      </c>
      <c r="K96" s="4" t="s">
        <v>1143</v>
      </c>
      <c r="L96" s="4" t="s">
        <v>1124</v>
      </c>
      <c r="M96" s="4" t="s">
        <v>1144</v>
      </c>
      <c r="N96" s="4" t="s">
        <v>241</v>
      </c>
      <c r="O96" s="4" t="s">
        <v>1145</v>
      </c>
      <c r="P96" s="4" t="s">
        <v>1127</v>
      </c>
      <c r="Q96" s="4" t="s">
        <v>1146</v>
      </c>
      <c r="R96" s="4" t="s">
        <v>1147</v>
      </c>
      <c r="S96" s="3" t="s">
        <v>1130</v>
      </c>
      <c r="T96" s="5" t="str">
        <f t="shared" si="5"/>
        <v>Y</v>
      </c>
      <c r="W96" s="5" t="str">
        <f t="shared" si="6"/>
        <v>Y</v>
      </c>
      <c r="X96" s="4" t="s">
        <v>51</v>
      </c>
      <c r="Y96" s="3" t="s">
        <v>1148</v>
      </c>
      <c r="Z96" s="3" t="s">
        <v>1149</v>
      </c>
      <c r="AA96" s="4" t="s">
        <v>1150</v>
      </c>
      <c r="AB96" s="4" t="s">
        <v>1151</v>
      </c>
      <c r="AC96" s="5" t="s">
        <v>56</v>
      </c>
      <c r="AH96" s="5" t="str">
        <f t="shared" si="7"/>
        <v>Y</v>
      </c>
      <c r="AI96" s="3" t="s">
        <v>1135</v>
      </c>
      <c r="AJ96" s="3" t="s">
        <v>1152</v>
      </c>
      <c r="AK96" s="3" t="s">
        <v>1153</v>
      </c>
      <c r="AL96" s="3" t="s">
        <v>1154</v>
      </c>
      <c r="AM96" s="4" t="s">
        <v>62</v>
      </c>
      <c r="AP96" s="5">
        <v>1</v>
      </c>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row>
    <row r="97" ht="16.5" customHeight="1">
      <c r="A97" s="3" t="s">
        <v>1156</v>
      </c>
      <c r="B97" s="3" t="s">
        <v>1157</v>
      </c>
      <c r="C97" s="3" t="s">
        <v>1158</v>
      </c>
      <c r="D97" s="3" t="s">
        <v>593</v>
      </c>
      <c r="E97" s="4" t="s">
        <v>793</v>
      </c>
      <c r="F97" s="3">
        <v>8842</v>
      </c>
      <c r="H97" s="5" t="str">
        <f t="shared" si="4"/>
        <v>N</v>
      </c>
      <c r="I97" s="4" t="s">
        <v>1159</v>
      </c>
      <c r="J97" s="4" t="s">
        <v>1160</v>
      </c>
      <c r="K97" s="4" t="s">
        <v>1161</v>
      </c>
      <c r="L97" s="4" t="s">
        <v>577</v>
      </c>
      <c r="M97" s="4" t="s">
        <v>1162</v>
      </c>
      <c r="N97" s="4" t="s">
        <v>241</v>
      </c>
      <c r="O97" s="4" t="s">
        <v>1163</v>
      </c>
      <c r="P97" s="4" t="s">
        <v>1164</v>
      </c>
      <c r="Q97" s="4" t="s">
        <v>1165</v>
      </c>
      <c r="R97" s="4" t="s">
        <v>1166</v>
      </c>
      <c r="S97" s="3" t="s">
        <v>1130</v>
      </c>
      <c r="T97" s="5" t="str">
        <f t="shared" si="5"/>
        <v>Y</v>
      </c>
      <c r="W97" s="5" t="str">
        <f t="shared" si="6"/>
        <v>Y</v>
      </c>
      <c r="X97" s="4" t="s">
        <v>51</v>
      </c>
      <c r="Y97" s="3" t="s">
        <v>1167</v>
      </c>
      <c r="Z97" s="3" t="s">
        <v>1168</v>
      </c>
      <c r="AA97" s="4" t="s">
        <v>1169</v>
      </c>
      <c r="AB97" s="4" t="s">
        <v>1170</v>
      </c>
      <c r="AC97" s="5" t="s">
        <v>56</v>
      </c>
      <c r="AH97" s="5" t="str">
        <f t="shared" si="7"/>
        <v>Y</v>
      </c>
      <c r="AI97" s="3" t="s">
        <v>1135</v>
      </c>
      <c r="AJ97" s="3" t="s">
        <v>1171</v>
      </c>
      <c r="AK97" s="3" t="s">
        <v>1172</v>
      </c>
      <c r="AL97" s="3" t="s">
        <v>1173</v>
      </c>
      <c r="AM97" s="4" t="s">
        <v>62</v>
      </c>
      <c r="AP97" s="5">
        <v>1</v>
      </c>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row>
    <row r="98" ht="16.5" customHeight="1">
      <c r="A98" s="3" t="s">
        <v>1174</v>
      </c>
      <c r="B98" s="3" t="s">
        <v>1175</v>
      </c>
      <c r="C98" s="3" t="s">
        <v>1176</v>
      </c>
      <c r="D98" s="3" t="s">
        <v>1177</v>
      </c>
      <c r="E98" s="4" t="s">
        <v>1178</v>
      </c>
      <c r="F98" s="3">
        <v>3000</v>
      </c>
      <c r="H98" s="5" t="str">
        <f t="shared" si="4"/>
        <v>N</v>
      </c>
      <c r="I98" s="4" t="s">
        <v>1179</v>
      </c>
      <c r="J98" s="4" t="s">
        <v>161</v>
      </c>
      <c r="K98" s="4" t="s">
        <v>1180</v>
      </c>
      <c r="L98" s="4" t="s">
        <v>1181</v>
      </c>
      <c r="M98" s="4" t="s">
        <v>1182</v>
      </c>
      <c r="N98" s="4" t="s">
        <v>1183</v>
      </c>
      <c r="O98" s="4" t="s">
        <v>1184</v>
      </c>
      <c r="P98" s="4" t="s">
        <v>1185</v>
      </c>
      <c r="Q98" s="4" t="s">
        <v>1186</v>
      </c>
      <c r="R98" s="4" t="s">
        <v>1187</v>
      </c>
      <c r="S98" s="4" t="s">
        <v>428</v>
      </c>
      <c r="T98" s="5" t="str">
        <f t="shared" si="5"/>
        <v>Y</v>
      </c>
      <c r="W98" s="5" t="str">
        <f t="shared" si="6"/>
        <v>Y</v>
      </c>
      <c r="X98" s="4" t="s">
        <v>51</v>
      </c>
      <c r="Y98" s="4" t="s">
        <v>1188</v>
      </c>
      <c r="Z98" s="4" t="s">
        <v>1189</v>
      </c>
      <c r="AA98" s="4" t="s">
        <v>1190</v>
      </c>
      <c r="AB98" s="4" t="s">
        <v>1191</v>
      </c>
      <c r="AC98" s="5" t="s">
        <v>56</v>
      </c>
      <c r="AH98" s="5" t="str">
        <f t="shared" si="7"/>
        <v>Y</v>
      </c>
      <c r="AI98" s="4" t="s">
        <v>1192</v>
      </c>
      <c r="AJ98" s="4" t="s">
        <v>1193</v>
      </c>
      <c r="AK98" s="3" t="s">
        <v>1194</v>
      </c>
      <c r="AL98" s="3" t="s">
        <v>1195</v>
      </c>
      <c r="AM98" s="4" t="s">
        <v>62</v>
      </c>
      <c r="AP98" s="5">
        <v>1</v>
      </c>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row>
    <row r="99" ht="16.5" customHeight="1">
      <c r="A99" s="3" t="s">
        <v>1196</v>
      </c>
      <c r="B99" s="3" t="s">
        <v>1197</v>
      </c>
      <c r="C99" s="3" t="s">
        <v>1198</v>
      </c>
      <c r="D99" s="3" t="s">
        <v>1177</v>
      </c>
      <c r="E99" s="4" t="s">
        <v>1199</v>
      </c>
      <c r="F99" s="3">
        <v>7946</v>
      </c>
      <c r="H99" s="5" t="str">
        <f t="shared" si="4"/>
        <v>N</v>
      </c>
      <c r="I99" s="4" t="s">
        <v>1200</v>
      </c>
      <c r="J99" s="4" t="s">
        <v>1201</v>
      </c>
      <c r="K99" s="4" t="s">
        <v>1202</v>
      </c>
      <c r="L99" s="4" t="s">
        <v>1104</v>
      </c>
      <c r="M99" s="4" t="s">
        <v>1203</v>
      </c>
      <c r="N99" s="4" t="s">
        <v>1204</v>
      </c>
      <c r="O99" s="4" t="s">
        <v>1205</v>
      </c>
      <c r="P99" s="4" t="s">
        <v>200</v>
      </c>
      <c r="Q99" s="4" t="s">
        <v>1206</v>
      </c>
      <c r="R99" s="4" t="s">
        <v>1207</v>
      </c>
      <c r="S99" s="4" t="s">
        <v>203</v>
      </c>
      <c r="T99" s="5" t="str">
        <f t="shared" si="5"/>
        <v>Y</v>
      </c>
      <c r="W99" s="5" t="str">
        <f t="shared" si="6"/>
        <v>Y</v>
      </c>
      <c r="X99" s="4" t="s">
        <v>51</v>
      </c>
      <c r="Y99" s="4" t="s">
        <v>1208</v>
      </c>
      <c r="Z99" s="4" t="s">
        <v>1209</v>
      </c>
      <c r="AA99" s="4" t="s">
        <v>1210</v>
      </c>
      <c r="AB99" s="4" t="s">
        <v>1211</v>
      </c>
      <c r="AC99" s="5" t="s">
        <v>56</v>
      </c>
      <c r="AH99" s="5" t="str">
        <f t="shared" si="7"/>
        <v>Y</v>
      </c>
      <c r="AI99" s="4" t="s">
        <v>1212</v>
      </c>
      <c r="AJ99" s="4" t="s">
        <v>1213</v>
      </c>
      <c r="AK99" s="3" t="s">
        <v>1214</v>
      </c>
      <c r="AL99" s="3" t="s">
        <v>1215</v>
      </c>
      <c r="AM99" s="4" t="s">
        <v>62</v>
      </c>
      <c r="AP99" s="5">
        <v>1</v>
      </c>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row>
    <row r="100" ht="16.5" customHeight="1">
      <c r="A100" s="3" t="s">
        <v>1216</v>
      </c>
      <c r="B100" s="3" t="s">
        <v>1217</v>
      </c>
      <c r="C100" s="3" t="s">
        <v>1218</v>
      </c>
      <c r="D100" s="3" t="s">
        <v>1177</v>
      </c>
      <c r="E100" s="4" t="s">
        <v>1219</v>
      </c>
      <c r="F100" s="3">
        <v>3550</v>
      </c>
      <c r="H100" s="5" t="str">
        <f t="shared" si="4"/>
        <v>N</v>
      </c>
      <c r="I100" s="4" t="s">
        <v>1220</v>
      </c>
      <c r="J100" s="4" t="s">
        <v>1221</v>
      </c>
      <c r="K100" s="4" t="s">
        <v>1222</v>
      </c>
      <c r="L100" s="4" t="s">
        <v>1223</v>
      </c>
      <c r="M100" s="4" t="s">
        <v>1224</v>
      </c>
      <c r="N100" s="4" t="s">
        <v>114</v>
      </c>
      <c r="O100" s="4" t="s">
        <v>1225</v>
      </c>
      <c r="P100" s="4" t="s">
        <v>1226</v>
      </c>
      <c r="Q100" s="4" t="s">
        <v>1227</v>
      </c>
      <c r="R100" s="4" t="s">
        <v>1228</v>
      </c>
      <c r="S100" s="4" t="s">
        <v>312</v>
      </c>
      <c r="T100" s="5" t="str">
        <f t="shared" si="5"/>
        <v>Y</v>
      </c>
      <c r="W100" s="5" t="str">
        <f t="shared" si="6"/>
        <v>Y</v>
      </c>
      <c r="X100" s="4" t="s">
        <v>51</v>
      </c>
      <c r="Y100" s="4" t="s">
        <v>1229</v>
      </c>
      <c r="Z100" s="4" t="s">
        <v>1230</v>
      </c>
      <c r="AA100" s="4" t="s">
        <v>1231</v>
      </c>
      <c r="AB100" s="4" t="s">
        <v>1232</v>
      </c>
      <c r="AC100" s="5" t="s">
        <v>56</v>
      </c>
      <c r="AH100" s="5" t="str">
        <f t="shared" si="7"/>
        <v>Y</v>
      </c>
      <c r="AI100" s="4" t="s">
        <v>1233</v>
      </c>
      <c r="AJ100" s="4" t="s">
        <v>1234</v>
      </c>
      <c r="AK100" s="3" t="s">
        <v>1235</v>
      </c>
      <c r="AL100" s="3" t="s">
        <v>1236</v>
      </c>
      <c r="AM100" s="4" t="s">
        <v>62</v>
      </c>
      <c r="AP100" s="5">
        <v>1</v>
      </c>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row>
    <row r="101" ht="16.5" customHeight="1">
      <c r="A101" s="3" t="s">
        <v>1237</v>
      </c>
      <c r="B101" s="3" t="s">
        <v>1238</v>
      </c>
      <c r="C101" s="3" t="s">
        <v>1239</v>
      </c>
      <c r="D101" s="3" t="s">
        <v>1177</v>
      </c>
      <c r="E101" s="4" t="s">
        <v>1240</v>
      </c>
      <c r="F101" s="3">
        <v>5704</v>
      </c>
      <c r="H101" s="5" t="str">
        <f t="shared" si="4"/>
        <v>N</v>
      </c>
      <c r="I101" s="4" t="s">
        <v>1241</v>
      </c>
      <c r="J101" s="4" t="s">
        <v>1242</v>
      </c>
      <c r="K101" s="4" t="s">
        <v>1243</v>
      </c>
      <c r="L101" s="4" t="s">
        <v>263</v>
      </c>
      <c r="M101" s="4" t="s">
        <v>1244</v>
      </c>
      <c r="N101" s="4" t="s">
        <v>1245</v>
      </c>
      <c r="O101" s="4" t="s">
        <v>1246</v>
      </c>
      <c r="P101" s="4" t="s">
        <v>1247</v>
      </c>
      <c r="Q101" s="4" t="s">
        <v>1248</v>
      </c>
      <c r="R101" s="4" t="s">
        <v>1249</v>
      </c>
      <c r="S101" s="4" t="s">
        <v>182</v>
      </c>
      <c r="T101" s="5" t="str">
        <f t="shared" si="5"/>
        <v>Y</v>
      </c>
      <c r="W101" s="5" t="str">
        <f t="shared" si="6"/>
        <v>Y</v>
      </c>
      <c r="X101" s="4" t="s">
        <v>51</v>
      </c>
      <c r="Y101" s="4" t="s">
        <v>1250</v>
      </c>
      <c r="Z101" s="4" t="s">
        <v>1251</v>
      </c>
      <c r="AA101" s="4" t="s">
        <v>1252</v>
      </c>
      <c r="AB101" s="4" t="s">
        <v>1253</v>
      </c>
      <c r="AC101" s="5" t="s">
        <v>56</v>
      </c>
      <c r="AH101" s="5" t="str">
        <f t="shared" si="7"/>
        <v>Y</v>
      </c>
      <c r="AI101" s="4" t="s">
        <v>1254</v>
      </c>
      <c r="AJ101" s="4" t="s">
        <v>1255</v>
      </c>
      <c r="AK101" s="3" t="s">
        <v>1256</v>
      </c>
      <c r="AL101" s="3" t="s">
        <v>1257</v>
      </c>
      <c r="AM101" s="4" t="s">
        <v>62</v>
      </c>
      <c r="AP101" s="5">
        <v>1</v>
      </c>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row>
    <row r="102" ht="16.5" customHeight="1">
      <c r="A102" s="3" t="s">
        <v>1258</v>
      </c>
      <c r="B102" s="3" t="s">
        <v>1259</v>
      </c>
      <c r="C102" s="3" t="s">
        <v>1260</v>
      </c>
      <c r="D102" s="3" t="s">
        <v>1177</v>
      </c>
      <c r="E102" s="4" t="s">
        <v>1261</v>
      </c>
      <c r="F102" s="3">
        <v>7949</v>
      </c>
      <c r="H102" s="5" t="str">
        <f t="shared" si="4"/>
        <v>N</v>
      </c>
      <c r="I102" s="4" t="s">
        <v>1262</v>
      </c>
      <c r="J102" s="4" t="s">
        <v>405</v>
      </c>
      <c r="K102" s="4" t="s">
        <v>1263</v>
      </c>
      <c r="L102" s="4" t="s">
        <v>1264</v>
      </c>
      <c r="M102" s="4" t="s">
        <v>1265</v>
      </c>
      <c r="N102" s="4" t="s">
        <v>116</v>
      </c>
      <c r="O102" s="4" t="s">
        <v>1266</v>
      </c>
      <c r="P102" s="4" t="s">
        <v>1267</v>
      </c>
      <c r="Q102" s="4" t="s">
        <v>1268</v>
      </c>
      <c r="R102" s="4" t="s">
        <v>1269</v>
      </c>
      <c r="S102" s="4" t="s">
        <v>823</v>
      </c>
      <c r="T102" s="5" t="str">
        <f t="shared" si="5"/>
        <v>Y</v>
      </c>
      <c r="W102" s="5" t="str">
        <f t="shared" si="6"/>
        <v>Y</v>
      </c>
      <c r="X102" s="4" t="s">
        <v>51</v>
      </c>
      <c r="Y102" s="4" t="s">
        <v>1270</v>
      </c>
      <c r="Z102" s="4" t="s">
        <v>1271</v>
      </c>
      <c r="AA102" s="4" t="s">
        <v>1272</v>
      </c>
      <c r="AB102" s="4" t="s">
        <v>1273</v>
      </c>
      <c r="AC102" s="5" t="s">
        <v>56</v>
      </c>
      <c r="AH102" s="5" t="str">
        <f t="shared" si="7"/>
        <v>Y</v>
      </c>
      <c r="AI102" s="4" t="s">
        <v>1274</v>
      </c>
      <c r="AJ102" s="4" t="s">
        <v>1275</v>
      </c>
      <c r="AK102" s="3" t="s">
        <v>1276</v>
      </c>
      <c r="AL102" s="3" t="s">
        <v>1277</v>
      </c>
      <c r="AM102" s="4" t="s">
        <v>62</v>
      </c>
      <c r="AP102" s="5">
        <v>1</v>
      </c>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row>
    <row r="103" ht="16.5" customHeight="1">
      <c r="A103" s="3" t="s">
        <v>1278</v>
      </c>
      <c r="B103" s="3" t="s">
        <v>1279</v>
      </c>
      <c r="C103" s="3" t="s">
        <v>1280</v>
      </c>
      <c r="D103" s="3" t="s">
        <v>1177</v>
      </c>
      <c r="E103" s="4" t="s">
        <v>1261</v>
      </c>
      <c r="F103" s="3">
        <v>7952</v>
      </c>
      <c r="H103" s="5" t="str">
        <f t="shared" si="4"/>
        <v>N</v>
      </c>
      <c r="I103" s="4" t="s">
        <v>1281</v>
      </c>
      <c r="J103" s="4" t="s">
        <v>405</v>
      </c>
      <c r="K103" s="4" t="s">
        <v>1282</v>
      </c>
      <c r="L103" s="4" t="s">
        <v>1283</v>
      </c>
      <c r="M103" s="4" t="s">
        <v>1284</v>
      </c>
      <c r="N103" s="4" t="s">
        <v>1285</v>
      </c>
      <c r="O103" s="4" t="s">
        <v>1286</v>
      </c>
      <c r="P103" s="4" t="s">
        <v>1287</v>
      </c>
      <c r="Q103" s="4" t="s">
        <v>1288</v>
      </c>
      <c r="R103" s="4" t="s">
        <v>1289</v>
      </c>
      <c r="S103" s="4" t="s">
        <v>203</v>
      </c>
      <c r="T103" s="5" t="str">
        <f t="shared" si="5"/>
        <v>Y</v>
      </c>
      <c r="W103" s="5" t="str">
        <f t="shared" si="6"/>
        <v>Y</v>
      </c>
      <c r="X103" s="4" t="s">
        <v>51</v>
      </c>
      <c r="Y103" s="4" t="s">
        <v>1290</v>
      </c>
      <c r="Z103" s="4" t="s">
        <v>1291</v>
      </c>
      <c r="AA103" s="4" t="s">
        <v>1292</v>
      </c>
      <c r="AB103" s="4" t="s">
        <v>1293</v>
      </c>
      <c r="AC103" s="5" t="s">
        <v>56</v>
      </c>
      <c r="AH103" s="5" t="str">
        <f t="shared" si="7"/>
        <v>Y</v>
      </c>
      <c r="AI103" s="4" t="s">
        <v>1294</v>
      </c>
      <c r="AJ103" s="4" t="s">
        <v>1295</v>
      </c>
      <c r="AK103" s="3" t="s">
        <v>1296</v>
      </c>
      <c r="AL103" s="3" t="s">
        <v>1297</v>
      </c>
      <c r="AM103" s="4" t="s">
        <v>62</v>
      </c>
      <c r="AP103" s="5">
        <v>1</v>
      </c>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row>
    <row r="104" ht="16.5" customHeight="1">
      <c r="A104" s="3" t="s">
        <v>1298</v>
      </c>
      <c r="B104" s="3" t="s">
        <v>1299</v>
      </c>
      <c r="C104" s="3" t="s">
        <v>1300</v>
      </c>
      <c r="D104" s="3" t="s">
        <v>1301</v>
      </c>
      <c r="E104" s="4" t="s">
        <v>1302</v>
      </c>
      <c r="F104" s="3">
        <v>10464</v>
      </c>
      <c r="H104" s="5" t="str">
        <f t="shared" si="4"/>
        <v>N</v>
      </c>
      <c r="I104" s="4" t="s">
        <v>1303</v>
      </c>
      <c r="J104" s="4" t="s">
        <v>1304</v>
      </c>
      <c r="K104" s="8" t="s">
        <v>1305</v>
      </c>
      <c r="L104" s="4" t="s">
        <v>1306</v>
      </c>
      <c r="M104" s="8" t="s">
        <v>1307</v>
      </c>
      <c r="N104" s="4" t="s">
        <v>1308</v>
      </c>
      <c r="O104" s="8" t="s">
        <v>1309</v>
      </c>
      <c r="P104" s="4" t="s">
        <v>1310</v>
      </c>
      <c r="Q104" s="4" t="s">
        <v>1311</v>
      </c>
      <c r="R104" s="4" t="s">
        <v>1312</v>
      </c>
      <c r="S104" s="4" t="s">
        <v>428</v>
      </c>
      <c r="T104" s="5" t="str">
        <f t="shared" si="5"/>
        <v>Y</v>
      </c>
      <c r="W104" s="5" t="str">
        <f t="shared" si="6"/>
        <v>Y</v>
      </c>
      <c r="X104" s="4" t="s">
        <v>51</v>
      </c>
      <c r="Y104" s="4" t="s">
        <v>1313</v>
      </c>
      <c r="Z104" s="4" t="s">
        <v>1314</v>
      </c>
      <c r="AA104" s="4" t="s">
        <v>1315</v>
      </c>
      <c r="AB104" s="4" t="s">
        <v>1316</v>
      </c>
      <c r="AC104" s="5" t="s">
        <v>56</v>
      </c>
      <c r="AH104" s="5" t="str">
        <f t="shared" si="7"/>
        <v>Y</v>
      </c>
      <c r="AI104" s="4" t="s">
        <v>1317</v>
      </c>
      <c r="AJ104" s="4" t="s">
        <v>1318</v>
      </c>
      <c r="AK104" s="3" t="s">
        <v>1319</v>
      </c>
      <c r="AL104" s="3" t="s">
        <v>1320</v>
      </c>
      <c r="AM104" s="4" t="s">
        <v>62</v>
      </c>
      <c r="AP104" s="5">
        <v>1</v>
      </c>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row>
    <row r="105" ht="16.5" customHeight="1">
      <c r="A105" s="3" t="s">
        <v>1321</v>
      </c>
      <c r="B105" s="3" t="s">
        <v>1322</v>
      </c>
      <c r="C105" s="3" t="s">
        <v>1323</v>
      </c>
      <c r="D105" s="3" t="s">
        <v>1324</v>
      </c>
      <c r="E105" s="4" t="s">
        <v>1325</v>
      </c>
      <c r="F105" s="3">
        <v>3593</v>
      </c>
      <c r="H105" s="5" t="str">
        <f t="shared" si="4"/>
        <v>N</v>
      </c>
      <c r="I105" s="4" t="s">
        <v>1326</v>
      </c>
      <c r="J105" s="4" t="s">
        <v>1327</v>
      </c>
      <c r="K105" s="4" t="s">
        <v>1328</v>
      </c>
      <c r="L105" s="4" t="s">
        <v>1329</v>
      </c>
      <c r="M105" s="4" t="s">
        <v>1330</v>
      </c>
      <c r="N105" s="4" t="s">
        <v>480</v>
      </c>
      <c r="O105" s="4" t="s">
        <v>1331</v>
      </c>
      <c r="P105" s="4" t="s">
        <v>241</v>
      </c>
      <c r="Q105" s="4" t="s">
        <v>1332</v>
      </c>
      <c r="R105" s="4" t="s">
        <v>1333</v>
      </c>
      <c r="S105" s="3" t="s">
        <v>1334</v>
      </c>
      <c r="T105" s="5" t="str">
        <f t="shared" si="5"/>
        <v>Y</v>
      </c>
      <c r="W105" s="5" t="str">
        <f t="shared" si="6"/>
        <v>Y</v>
      </c>
      <c r="X105" s="4" t="s">
        <v>51</v>
      </c>
      <c r="Y105" s="3" t="s">
        <v>1335</v>
      </c>
      <c r="Z105" s="3" t="s">
        <v>1336</v>
      </c>
      <c r="AA105" s="4" t="s">
        <v>1337</v>
      </c>
      <c r="AB105" s="4" t="s">
        <v>1338</v>
      </c>
      <c r="AC105" s="5" t="s">
        <v>56</v>
      </c>
      <c r="AH105" s="5" t="str">
        <f t="shared" si="7"/>
        <v>Y</v>
      </c>
      <c r="AI105" s="3" t="s">
        <v>1339</v>
      </c>
      <c r="AJ105" s="3" t="s">
        <v>1340</v>
      </c>
      <c r="AK105" s="3" t="s">
        <v>1341</v>
      </c>
      <c r="AL105" s="3" t="s">
        <v>1342</v>
      </c>
      <c r="AM105" s="4" t="s">
        <v>62</v>
      </c>
      <c r="AP105" s="5">
        <v>1</v>
      </c>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row>
    <row r="106" ht="16.5" customHeight="1">
      <c r="A106" s="3" t="s">
        <v>1321</v>
      </c>
      <c r="B106" s="3" t="s">
        <v>1322</v>
      </c>
      <c r="C106" s="3" t="s">
        <v>1323</v>
      </c>
      <c r="D106" s="3" t="s">
        <v>1324</v>
      </c>
      <c r="E106" s="4" t="s">
        <v>1325</v>
      </c>
      <c r="F106" s="3">
        <v>3593</v>
      </c>
      <c r="H106" s="5" t="str">
        <f t="shared" si="4"/>
        <v>N</v>
      </c>
      <c r="I106" s="4" t="s">
        <v>1343</v>
      </c>
      <c r="J106" s="4" t="s">
        <v>1327</v>
      </c>
      <c r="K106" s="4" t="s">
        <v>1328</v>
      </c>
      <c r="L106" s="4" t="s">
        <v>1329</v>
      </c>
      <c r="M106" s="4" t="s">
        <v>1330</v>
      </c>
      <c r="N106" s="4" t="s">
        <v>480</v>
      </c>
      <c r="O106" s="4" t="s">
        <v>1331</v>
      </c>
      <c r="P106" s="4" t="s">
        <v>241</v>
      </c>
      <c r="Q106" s="4" t="s">
        <v>1332</v>
      </c>
      <c r="R106" s="4" t="s">
        <v>1333</v>
      </c>
      <c r="S106" s="3" t="s">
        <v>1334</v>
      </c>
      <c r="T106" s="5" t="str">
        <f t="shared" si="5"/>
        <v>Y</v>
      </c>
      <c r="W106" s="5" t="str">
        <f t="shared" si="6"/>
        <v>Y</v>
      </c>
      <c r="X106" s="4" t="s">
        <v>51</v>
      </c>
      <c r="Y106" s="3" t="s">
        <v>1335</v>
      </c>
      <c r="Z106" s="3" t="s">
        <v>1336</v>
      </c>
      <c r="AA106" s="4" t="s">
        <v>1337</v>
      </c>
      <c r="AB106" s="4" t="s">
        <v>1338</v>
      </c>
      <c r="AC106" s="5" t="s">
        <v>56</v>
      </c>
      <c r="AH106" s="5" t="str">
        <f t="shared" si="7"/>
        <v>Y</v>
      </c>
      <c r="AI106" s="3" t="s">
        <v>1339</v>
      </c>
      <c r="AJ106" s="3" t="s">
        <v>1340</v>
      </c>
      <c r="AK106" s="3" t="s">
        <v>1341</v>
      </c>
      <c r="AL106" s="3" t="s">
        <v>1342</v>
      </c>
      <c r="AM106" s="4" t="s">
        <v>62</v>
      </c>
      <c r="AP106" s="5">
        <v>1</v>
      </c>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row>
    <row r="107" ht="16.5" customHeight="1">
      <c r="A107" s="3" t="s">
        <v>1344</v>
      </c>
      <c r="B107" s="3" t="s">
        <v>1345</v>
      </c>
      <c r="C107" s="3" t="s">
        <v>1346</v>
      </c>
      <c r="D107" s="3" t="s">
        <v>1324</v>
      </c>
      <c r="E107" s="4" t="s">
        <v>1041</v>
      </c>
      <c r="F107" s="3">
        <v>4768</v>
      </c>
      <c r="H107" s="5" t="str">
        <f t="shared" si="4"/>
        <v>N</v>
      </c>
      <c r="I107" s="4" t="s">
        <v>1347</v>
      </c>
      <c r="J107" s="4" t="s">
        <v>1348</v>
      </c>
      <c r="K107" s="4" t="s">
        <v>1349</v>
      </c>
      <c r="L107" s="4" t="s">
        <v>1350</v>
      </c>
      <c r="M107" s="4" t="s">
        <v>1351</v>
      </c>
      <c r="N107" s="4" t="s">
        <v>1352</v>
      </c>
      <c r="O107" s="4" t="s">
        <v>1353</v>
      </c>
      <c r="P107" s="4" t="s">
        <v>1045</v>
      </c>
      <c r="Q107" s="4" t="s">
        <v>1354</v>
      </c>
      <c r="R107" s="4" t="s">
        <v>1355</v>
      </c>
      <c r="S107" s="3" t="s">
        <v>1356</v>
      </c>
      <c r="T107" s="5" t="str">
        <f t="shared" si="5"/>
        <v>Y</v>
      </c>
      <c r="W107" s="5" t="str">
        <f t="shared" si="6"/>
        <v>Y</v>
      </c>
      <c r="X107" s="4" t="s">
        <v>51</v>
      </c>
      <c r="Y107" s="3" t="s">
        <v>1357</v>
      </c>
      <c r="Z107" s="3" t="s">
        <v>1358</v>
      </c>
      <c r="AA107" s="4" t="s">
        <v>1359</v>
      </c>
      <c r="AB107" s="4" t="s">
        <v>1360</v>
      </c>
      <c r="AC107" s="5" t="s">
        <v>56</v>
      </c>
      <c r="AH107" s="5" t="str">
        <f t="shared" si="7"/>
        <v>Y</v>
      </c>
      <c r="AI107" s="3" t="s">
        <v>1361</v>
      </c>
      <c r="AJ107" s="3" t="s">
        <v>1362</v>
      </c>
      <c r="AK107" s="3" t="s">
        <v>1363</v>
      </c>
      <c r="AL107" s="3" t="s">
        <v>1364</v>
      </c>
      <c r="AM107" s="4" t="s">
        <v>62</v>
      </c>
      <c r="AP107" s="5">
        <v>1</v>
      </c>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row>
    <row r="108" ht="16.5" customHeight="1">
      <c r="A108" s="3" t="s">
        <v>1344</v>
      </c>
      <c r="B108" s="3" t="s">
        <v>1345</v>
      </c>
      <c r="C108" s="3" t="s">
        <v>1346</v>
      </c>
      <c r="D108" s="3" t="s">
        <v>1324</v>
      </c>
      <c r="E108" s="4" t="s">
        <v>1041</v>
      </c>
      <c r="F108" s="3">
        <v>4768</v>
      </c>
      <c r="H108" s="5" t="str">
        <f t="shared" si="4"/>
        <v>N</v>
      </c>
      <c r="I108" s="4" t="s">
        <v>1365</v>
      </c>
      <c r="J108" s="4" t="s">
        <v>1348</v>
      </c>
      <c r="K108" s="4" t="s">
        <v>1349</v>
      </c>
      <c r="L108" s="4" t="s">
        <v>1350</v>
      </c>
      <c r="M108" s="4" t="s">
        <v>1351</v>
      </c>
      <c r="N108" s="4" t="s">
        <v>1352</v>
      </c>
      <c r="O108" s="4" t="s">
        <v>1353</v>
      </c>
      <c r="P108" s="4" t="s">
        <v>1045</v>
      </c>
      <c r="Q108" s="4" t="s">
        <v>1354</v>
      </c>
      <c r="R108" s="4" t="s">
        <v>1366</v>
      </c>
      <c r="S108" s="3" t="s">
        <v>1356</v>
      </c>
      <c r="T108" s="5" t="str">
        <f t="shared" si="5"/>
        <v>Y</v>
      </c>
      <c r="W108" s="5" t="str">
        <f t="shared" si="6"/>
        <v>Y</v>
      </c>
      <c r="X108" s="4" t="s">
        <v>51</v>
      </c>
      <c r="Y108" s="3" t="s">
        <v>1357</v>
      </c>
      <c r="Z108" s="3" t="s">
        <v>1358</v>
      </c>
      <c r="AA108" s="4" t="s">
        <v>1359</v>
      </c>
      <c r="AB108" s="4" t="s">
        <v>1360</v>
      </c>
      <c r="AC108" s="5" t="s">
        <v>56</v>
      </c>
      <c r="AH108" s="5" t="str">
        <f t="shared" si="7"/>
        <v>Y</v>
      </c>
      <c r="AI108" s="3" t="s">
        <v>1361</v>
      </c>
      <c r="AJ108" s="3" t="s">
        <v>1362</v>
      </c>
      <c r="AK108" s="3" t="s">
        <v>1363</v>
      </c>
      <c r="AL108" s="3" t="s">
        <v>1364</v>
      </c>
      <c r="AM108" s="4" t="s">
        <v>62</v>
      </c>
      <c r="AP108" s="5">
        <v>1</v>
      </c>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row>
    <row r="109" ht="16.5" customHeight="1">
      <c r="A109" s="3" t="s">
        <v>1367</v>
      </c>
      <c r="B109" s="3" t="s">
        <v>1368</v>
      </c>
      <c r="C109" s="3" t="s">
        <v>1369</v>
      </c>
      <c r="D109" s="3" t="s">
        <v>1324</v>
      </c>
      <c r="E109" s="4" t="s">
        <v>1370</v>
      </c>
      <c r="F109" s="3">
        <v>3597</v>
      </c>
      <c r="H109" s="5" t="str">
        <f t="shared" si="4"/>
        <v>N</v>
      </c>
      <c r="I109" s="4" t="s">
        <v>1371</v>
      </c>
      <c r="J109" s="4" t="s">
        <v>1372</v>
      </c>
      <c r="K109" s="4" t="s">
        <v>1373</v>
      </c>
      <c r="L109" s="4" t="s">
        <v>577</v>
      </c>
      <c r="M109" s="4" t="s">
        <v>1374</v>
      </c>
      <c r="N109" s="4" t="s">
        <v>241</v>
      </c>
      <c r="O109" s="4" t="s">
        <v>1375</v>
      </c>
      <c r="P109" s="4" t="s">
        <v>480</v>
      </c>
      <c r="Q109" s="4" t="s">
        <v>1376</v>
      </c>
      <c r="R109" s="4" t="s">
        <v>1377</v>
      </c>
      <c r="S109" s="3" t="s">
        <v>428</v>
      </c>
      <c r="T109" s="5" t="str">
        <f t="shared" si="5"/>
        <v>Y</v>
      </c>
      <c r="W109" s="5" t="str">
        <f t="shared" si="6"/>
        <v>Y</v>
      </c>
      <c r="X109" s="4" t="s">
        <v>51</v>
      </c>
      <c r="Y109" s="3" t="s">
        <v>1378</v>
      </c>
      <c r="Z109" s="3" t="s">
        <v>1379</v>
      </c>
      <c r="AA109" s="4" t="s">
        <v>1380</v>
      </c>
      <c r="AB109" s="4" t="s">
        <v>1381</v>
      </c>
      <c r="AC109" s="5" t="s">
        <v>56</v>
      </c>
      <c r="AH109" s="5" t="str">
        <f t="shared" si="7"/>
        <v>Y</v>
      </c>
      <c r="AI109" s="3" t="s">
        <v>1382</v>
      </c>
      <c r="AJ109" s="3" t="s">
        <v>1383</v>
      </c>
      <c r="AK109" s="3" t="s">
        <v>1384</v>
      </c>
      <c r="AL109" s="3" t="s">
        <v>1385</v>
      </c>
      <c r="AM109" s="4" t="s">
        <v>62</v>
      </c>
      <c r="AP109" s="5">
        <v>1</v>
      </c>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row>
    <row r="110" ht="16.5" customHeight="1">
      <c r="A110" s="3" t="s">
        <v>1367</v>
      </c>
      <c r="B110" s="3" t="s">
        <v>1368</v>
      </c>
      <c r="C110" s="3" t="s">
        <v>1369</v>
      </c>
      <c r="D110" s="3" t="s">
        <v>1324</v>
      </c>
      <c r="E110" s="4" t="s">
        <v>1370</v>
      </c>
      <c r="F110" s="3">
        <v>3597</v>
      </c>
      <c r="H110" s="5" t="str">
        <f t="shared" si="4"/>
        <v>N</v>
      </c>
      <c r="I110" s="4" t="s">
        <v>1386</v>
      </c>
      <c r="J110" s="4" t="s">
        <v>1372</v>
      </c>
      <c r="K110" s="4" t="s">
        <v>1373</v>
      </c>
      <c r="L110" s="4" t="s">
        <v>577</v>
      </c>
      <c r="M110" s="4" t="s">
        <v>1374</v>
      </c>
      <c r="N110" s="4" t="s">
        <v>241</v>
      </c>
      <c r="O110" s="4" t="s">
        <v>1375</v>
      </c>
      <c r="P110" s="4" t="s">
        <v>480</v>
      </c>
      <c r="Q110" s="4" t="s">
        <v>1376</v>
      </c>
      <c r="R110" s="4" t="s">
        <v>1377</v>
      </c>
      <c r="S110" s="3" t="s">
        <v>428</v>
      </c>
      <c r="T110" s="5" t="str">
        <f t="shared" si="5"/>
        <v>Y</v>
      </c>
      <c r="W110" s="5" t="str">
        <f t="shared" si="6"/>
        <v>Y</v>
      </c>
      <c r="X110" s="4" t="s">
        <v>51</v>
      </c>
      <c r="Y110" s="3" t="s">
        <v>1378</v>
      </c>
      <c r="Z110" s="3" t="s">
        <v>1379</v>
      </c>
      <c r="AA110" s="4" t="s">
        <v>1380</v>
      </c>
      <c r="AB110" s="4" t="s">
        <v>1381</v>
      </c>
      <c r="AC110" s="5" t="s">
        <v>56</v>
      </c>
      <c r="AH110" s="5" t="str">
        <f t="shared" si="7"/>
        <v>Y</v>
      </c>
      <c r="AI110" s="3" t="s">
        <v>1382</v>
      </c>
      <c r="AJ110" s="3" t="s">
        <v>1383</v>
      </c>
      <c r="AK110" s="3" t="s">
        <v>1384</v>
      </c>
      <c r="AL110" s="3" t="s">
        <v>1385</v>
      </c>
      <c r="AM110" s="4" t="s">
        <v>62</v>
      </c>
      <c r="AP110" s="5">
        <v>1</v>
      </c>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row>
    <row r="111" ht="16.5" customHeight="1">
      <c r="A111" s="3" t="s">
        <v>1387</v>
      </c>
      <c r="B111" s="3" t="s">
        <v>1388</v>
      </c>
      <c r="C111" s="3" t="s">
        <v>1389</v>
      </c>
      <c r="D111" s="3" t="s">
        <v>1324</v>
      </c>
      <c r="E111" s="4" t="s">
        <v>1370</v>
      </c>
      <c r="F111" s="3">
        <v>3598</v>
      </c>
      <c r="H111" s="5" t="str">
        <f t="shared" si="4"/>
        <v>N</v>
      </c>
      <c r="I111" s="4" t="s">
        <v>1390</v>
      </c>
      <c r="J111" s="4" t="s">
        <v>1391</v>
      </c>
      <c r="K111" s="4" t="s">
        <v>1392</v>
      </c>
      <c r="L111" s="4" t="s">
        <v>577</v>
      </c>
      <c r="M111" s="4" t="s">
        <v>1393</v>
      </c>
      <c r="N111" s="4" t="s">
        <v>241</v>
      </c>
      <c r="O111" s="4" t="s">
        <v>1394</v>
      </c>
      <c r="P111" s="4" t="s">
        <v>602</v>
      </c>
      <c r="Q111" s="4" t="s">
        <v>1395</v>
      </c>
      <c r="R111" s="4" t="s">
        <v>1396</v>
      </c>
      <c r="S111" s="3" t="s">
        <v>428</v>
      </c>
      <c r="T111" s="5" t="str">
        <f t="shared" si="5"/>
        <v>Y</v>
      </c>
      <c r="W111" s="5" t="str">
        <f t="shared" si="6"/>
        <v>Y</v>
      </c>
      <c r="X111" s="4" t="s">
        <v>51</v>
      </c>
      <c r="Y111" s="3" t="s">
        <v>1397</v>
      </c>
      <c r="Z111" s="3" t="s">
        <v>1398</v>
      </c>
      <c r="AA111" s="4" t="s">
        <v>1399</v>
      </c>
      <c r="AB111" s="4" t="s">
        <v>1400</v>
      </c>
      <c r="AC111" s="5" t="s">
        <v>56</v>
      </c>
      <c r="AH111" s="5" t="str">
        <f t="shared" si="7"/>
        <v>Y</v>
      </c>
      <c r="AI111" s="3" t="s">
        <v>1401</v>
      </c>
      <c r="AJ111" s="3" t="s">
        <v>1402</v>
      </c>
      <c r="AK111" s="3" t="s">
        <v>1403</v>
      </c>
      <c r="AL111" s="3" t="s">
        <v>1404</v>
      </c>
      <c r="AM111" s="4" t="s">
        <v>62</v>
      </c>
      <c r="AP111" s="5">
        <v>1</v>
      </c>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row>
    <row r="112" ht="16.5" customHeight="1">
      <c r="A112" s="3" t="s">
        <v>1387</v>
      </c>
      <c r="B112" s="3" t="s">
        <v>1388</v>
      </c>
      <c r="C112" s="3" t="s">
        <v>1389</v>
      </c>
      <c r="D112" s="3" t="s">
        <v>1324</v>
      </c>
      <c r="E112" s="4" t="s">
        <v>1370</v>
      </c>
      <c r="F112" s="3">
        <v>3598</v>
      </c>
      <c r="H112" s="5" t="str">
        <f t="shared" si="4"/>
        <v>N</v>
      </c>
      <c r="I112" s="4" t="s">
        <v>1405</v>
      </c>
      <c r="J112" s="4" t="s">
        <v>1391</v>
      </c>
      <c r="K112" s="4" t="s">
        <v>1392</v>
      </c>
      <c r="L112" s="4" t="s">
        <v>577</v>
      </c>
      <c r="M112" s="4" t="s">
        <v>1393</v>
      </c>
      <c r="N112" s="4" t="s">
        <v>241</v>
      </c>
      <c r="O112" s="4" t="s">
        <v>1394</v>
      </c>
      <c r="P112" s="4" t="s">
        <v>602</v>
      </c>
      <c r="Q112" s="4" t="s">
        <v>1395</v>
      </c>
      <c r="R112" s="4" t="s">
        <v>1396</v>
      </c>
      <c r="S112" s="3" t="s">
        <v>428</v>
      </c>
      <c r="T112" s="5" t="str">
        <f t="shared" si="5"/>
        <v>Y</v>
      </c>
      <c r="W112" s="5" t="str">
        <f t="shared" si="6"/>
        <v>Y</v>
      </c>
      <c r="X112" s="4" t="s">
        <v>51</v>
      </c>
      <c r="Y112" s="3" t="s">
        <v>1397</v>
      </c>
      <c r="Z112" s="3" t="s">
        <v>1398</v>
      </c>
      <c r="AA112" s="4" t="s">
        <v>1399</v>
      </c>
      <c r="AB112" s="4" t="s">
        <v>1400</v>
      </c>
      <c r="AC112" s="5" t="s">
        <v>56</v>
      </c>
      <c r="AH112" s="5" t="str">
        <f t="shared" si="7"/>
        <v>Y</v>
      </c>
      <c r="AI112" s="3" t="s">
        <v>1401</v>
      </c>
      <c r="AJ112" s="3" t="s">
        <v>1402</v>
      </c>
      <c r="AK112" s="3" t="s">
        <v>1403</v>
      </c>
      <c r="AL112" s="3" t="s">
        <v>1404</v>
      </c>
      <c r="AM112" s="4" t="s">
        <v>62</v>
      </c>
      <c r="AP112" s="5">
        <v>1</v>
      </c>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row>
    <row r="113" ht="16.5" customHeight="1">
      <c r="A113" s="3" t="s">
        <v>1406</v>
      </c>
      <c r="B113" s="3" t="s">
        <v>1407</v>
      </c>
      <c r="C113" s="3" t="s">
        <v>1408</v>
      </c>
      <c r="D113" s="3" t="s">
        <v>1324</v>
      </c>
      <c r="E113" s="4" t="s">
        <v>1409</v>
      </c>
      <c r="F113" s="3">
        <v>3069</v>
      </c>
      <c r="H113" s="5" t="str">
        <f t="shared" si="4"/>
        <v>N</v>
      </c>
      <c r="I113" s="4" t="s">
        <v>1410</v>
      </c>
      <c r="J113" s="4" t="s">
        <v>1411</v>
      </c>
      <c r="K113" s="4" t="s">
        <v>1412</v>
      </c>
      <c r="L113" s="4" t="s">
        <v>577</v>
      </c>
      <c r="M113" s="4" t="s">
        <v>1413</v>
      </c>
      <c r="N113" s="4" t="s">
        <v>241</v>
      </c>
      <c r="O113" s="4" t="s">
        <v>1414</v>
      </c>
      <c r="P113" s="4" t="s">
        <v>662</v>
      </c>
      <c r="Q113" s="4" t="s">
        <v>1415</v>
      </c>
      <c r="R113" s="4" t="s">
        <v>1416</v>
      </c>
      <c r="S113" s="3" t="s">
        <v>428</v>
      </c>
      <c r="T113" s="5" t="str">
        <f t="shared" si="5"/>
        <v>Y</v>
      </c>
      <c r="W113" s="5" t="str">
        <f t="shared" si="6"/>
        <v>Y</v>
      </c>
      <c r="X113" s="4" t="s">
        <v>51</v>
      </c>
      <c r="Y113" s="3" t="s">
        <v>1417</v>
      </c>
      <c r="Z113" s="3" t="s">
        <v>1418</v>
      </c>
      <c r="AA113" s="4" t="s">
        <v>1419</v>
      </c>
      <c r="AB113" s="4" t="s">
        <v>1420</v>
      </c>
      <c r="AC113" s="5" t="s">
        <v>56</v>
      </c>
      <c r="AH113" s="5" t="str">
        <f t="shared" si="7"/>
        <v>Y</v>
      </c>
      <c r="AI113" s="3" t="s">
        <v>1421</v>
      </c>
      <c r="AJ113" s="3" t="s">
        <v>1422</v>
      </c>
      <c r="AK113" s="3" t="s">
        <v>1423</v>
      </c>
      <c r="AL113" s="3" t="s">
        <v>1424</v>
      </c>
      <c r="AM113" s="4" t="s">
        <v>62</v>
      </c>
      <c r="AP113" s="5">
        <v>1</v>
      </c>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row>
    <row r="114" ht="16.5" customHeight="1">
      <c r="A114" s="3" t="s">
        <v>1406</v>
      </c>
      <c r="B114" s="3" t="s">
        <v>1407</v>
      </c>
      <c r="C114" s="3" t="s">
        <v>1408</v>
      </c>
      <c r="D114" s="3" t="s">
        <v>1324</v>
      </c>
      <c r="E114" s="4" t="s">
        <v>1409</v>
      </c>
      <c r="F114" s="3">
        <v>3069</v>
      </c>
      <c r="H114" s="5" t="str">
        <f t="shared" si="4"/>
        <v>N</v>
      </c>
      <c r="I114" s="4" t="s">
        <v>1425</v>
      </c>
      <c r="J114" s="4" t="s">
        <v>1411</v>
      </c>
      <c r="K114" s="4" t="s">
        <v>1412</v>
      </c>
      <c r="L114" s="4" t="s">
        <v>577</v>
      </c>
      <c r="M114" s="4" t="s">
        <v>1413</v>
      </c>
      <c r="N114" s="4" t="s">
        <v>241</v>
      </c>
      <c r="O114" s="4" t="s">
        <v>1414</v>
      </c>
      <c r="P114" s="4" t="s">
        <v>662</v>
      </c>
      <c r="Q114" s="4" t="s">
        <v>1415</v>
      </c>
      <c r="R114" s="4" t="s">
        <v>1416</v>
      </c>
      <c r="S114" s="3" t="s">
        <v>428</v>
      </c>
      <c r="T114" s="5" t="str">
        <f t="shared" si="5"/>
        <v>Y</v>
      </c>
      <c r="W114" s="5" t="str">
        <f t="shared" si="6"/>
        <v>Y</v>
      </c>
      <c r="X114" s="4" t="s">
        <v>51</v>
      </c>
      <c r="Y114" s="3" t="s">
        <v>1417</v>
      </c>
      <c r="Z114" s="3" t="s">
        <v>1418</v>
      </c>
      <c r="AA114" s="4" t="s">
        <v>1419</v>
      </c>
      <c r="AB114" s="4" t="s">
        <v>1420</v>
      </c>
      <c r="AC114" s="5" t="s">
        <v>56</v>
      </c>
      <c r="AH114" s="5" t="str">
        <f t="shared" si="7"/>
        <v>Y</v>
      </c>
      <c r="AI114" s="3" t="s">
        <v>1421</v>
      </c>
      <c r="AJ114" s="3" t="s">
        <v>1422</v>
      </c>
      <c r="AK114" s="3" t="s">
        <v>1423</v>
      </c>
      <c r="AL114" s="3" t="s">
        <v>1424</v>
      </c>
      <c r="AM114" s="4" t="s">
        <v>62</v>
      </c>
      <c r="AP114" s="5">
        <v>1</v>
      </c>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row>
    <row r="115" ht="16.5" customHeight="1">
      <c r="A115" s="3" t="s">
        <v>1426</v>
      </c>
      <c r="B115" s="3" t="s">
        <v>1427</v>
      </c>
      <c r="C115" s="3">
        <v>0</v>
      </c>
      <c r="D115" s="3" t="s">
        <v>1324</v>
      </c>
      <c r="E115" s="4" t="s">
        <v>1409</v>
      </c>
      <c r="F115" s="3">
        <v>7553</v>
      </c>
      <c r="H115" s="5" t="str">
        <f t="shared" si="4"/>
        <v>N</v>
      </c>
      <c r="I115" s="4" t="s">
        <v>1428</v>
      </c>
      <c r="J115" s="4" t="s">
        <v>1429</v>
      </c>
      <c r="K115" s="4" t="s">
        <v>1430</v>
      </c>
      <c r="L115" s="4" t="s">
        <v>577</v>
      </c>
      <c r="M115" s="4" t="s">
        <v>1431</v>
      </c>
      <c r="N115" s="4" t="s">
        <v>241</v>
      </c>
      <c r="O115" s="4" t="s">
        <v>1432</v>
      </c>
      <c r="P115" s="4" t="s">
        <v>894</v>
      </c>
      <c r="Q115" s="4" t="s">
        <v>1433</v>
      </c>
      <c r="R115" s="4" t="s">
        <v>1434</v>
      </c>
      <c r="S115" s="3" t="s">
        <v>1435</v>
      </c>
      <c r="T115" s="5" t="str">
        <f t="shared" si="5"/>
        <v>Y</v>
      </c>
      <c r="W115" s="5" t="str">
        <f t="shared" si="6"/>
        <v>Y</v>
      </c>
      <c r="X115" s="4" t="s">
        <v>51</v>
      </c>
      <c r="Y115" s="3" t="s">
        <v>1436</v>
      </c>
      <c r="Z115" s="3" t="s">
        <v>1437</v>
      </c>
      <c r="AA115" s="4" t="s">
        <v>1438</v>
      </c>
      <c r="AB115" s="4" t="s">
        <v>1439</v>
      </c>
      <c r="AC115" s="5" t="s">
        <v>56</v>
      </c>
      <c r="AH115" s="5" t="str">
        <f t="shared" si="7"/>
        <v>Y</v>
      </c>
      <c r="AI115" s="3" t="s">
        <v>1440</v>
      </c>
      <c r="AJ115" s="3" t="s">
        <v>1441</v>
      </c>
      <c r="AK115" s="3" t="s">
        <v>1442</v>
      </c>
      <c r="AL115" s="3" t="s">
        <v>1443</v>
      </c>
      <c r="AM115" s="4" t="s">
        <v>62</v>
      </c>
      <c r="AP115" s="5">
        <v>1</v>
      </c>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row>
    <row r="116" ht="16.5" customHeight="1">
      <c r="A116" s="3" t="s">
        <v>1444</v>
      </c>
      <c r="B116" s="3" t="s">
        <v>1445</v>
      </c>
      <c r="C116" s="3">
        <v>0</v>
      </c>
      <c r="D116" s="3" t="s">
        <v>1324</v>
      </c>
      <c r="E116" s="4" t="s">
        <v>1409</v>
      </c>
      <c r="F116" s="3">
        <v>6115</v>
      </c>
      <c r="H116" s="5" t="str">
        <f t="shared" si="4"/>
        <v>N</v>
      </c>
      <c r="I116" s="4" t="s">
        <v>1446</v>
      </c>
      <c r="J116" s="4" t="s">
        <v>1447</v>
      </c>
      <c r="K116" s="4" t="s">
        <v>1448</v>
      </c>
      <c r="L116" s="4" t="s">
        <v>577</v>
      </c>
      <c r="M116" s="4" t="s">
        <v>1431</v>
      </c>
      <c r="N116" s="4" t="s">
        <v>1449</v>
      </c>
      <c r="O116" s="4" t="s">
        <v>1450</v>
      </c>
      <c r="P116" s="4" t="s">
        <v>241</v>
      </c>
      <c r="Q116" s="4" t="s">
        <v>1451</v>
      </c>
      <c r="R116" s="4" t="s">
        <v>1452</v>
      </c>
      <c r="S116" s="3" t="s">
        <v>1453</v>
      </c>
      <c r="T116" s="5" t="str">
        <f t="shared" si="5"/>
        <v>Y</v>
      </c>
      <c r="W116" s="5" t="str">
        <f t="shared" si="6"/>
        <v>Y</v>
      </c>
      <c r="X116" s="4" t="s">
        <v>51</v>
      </c>
      <c r="Y116" s="3" t="s">
        <v>1454</v>
      </c>
      <c r="Z116" s="3" t="s">
        <v>1455</v>
      </c>
      <c r="AA116" s="4" t="s">
        <v>1456</v>
      </c>
      <c r="AB116" s="4" t="s">
        <v>1457</v>
      </c>
      <c r="AC116" s="5" t="s">
        <v>56</v>
      </c>
      <c r="AH116" s="5" t="str">
        <f t="shared" si="7"/>
        <v>Y</v>
      </c>
      <c r="AI116" s="3" t="s">
        <v>1458</v>
      </c>
      <c r="AJ116" s="3" t="s">
        <v>1459</v>
      </c>
      <c r="AK116" s="3" t="s">
        <v>1460</v>
      </c>
      <c r="AL116" s="3" t="s">
        <v>1461</v>
      </c>
      <c r="AM116" s="4" t="s">
        <v>62</v>
      </c>
      <c r="AP116" s="5">
        <v>1</v>
      </c>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row>
    <row r="117" ht="16.5" customHeight="1">
      <c r="A117" s="3" t="s">
        <v>1444</v>
      </c>
      <c r="B117" s="3" t="s">
        <v>1445</v>
      </c>
      <c r="C117" s="3">
        <v>0</v>
      </c>
      <c r="D117" s="3" t="s">
        <v>1324</v>
      </c>
      <c r="E117" s="4" t="s">
        <v>1409</v>
      </c>
      <c r="F117" s="3">
        <v>6115</v>
      </c>
      <c r="H117" s="5" t="str">
        <f t="shared" si="4"/>
        <v>N</v>
      </c>
      <c r="I117" s="4" t="s">
        <v>1462</v>
      </c>
      <c r="J117" s="4" t="s">
        <v>1447</v>
      </c>
      <c r="K117" s="4" t="s">
        <v>1448</v>
      </c>
      <c r="L117" s="4" t="s">
        <v>577</v>
      </c>
      <c r="M117" s="4" t="s">
        <v>1431</v>
      </c>
      <c r="N117" s="4" t="s">
        <v>1449</v>
      </c>
      <c r="O117" s="4" t="s">
        <v>1450</v>
      </c>
      <c r="P117" s="4" t="s">
        <v>241</v>
      </c>
      <c r="Q117" s="4" t="s">
        <v>1451</v>
      </c>
      <c r="R117" s="4" t="s">
        <v>1452</v>
      </c>
      <c r="S117" s="3" t="s">
        <v>1453</v>
      </c>
      <c r="T117" s="5" t="str">
        <f t="shared" si="5"/>
        <v>Y</v>
      </c>
      <c r="W117" s="5" t="str">
        <f t="shared" si="6"/>
        <v>Y</v>
      </c>
      <c r="X117" s="4" t="s">
        <v>51</v>
      </c>
      <c r="Y117" s="3" t="s">
        <v>1454</v>
      </c>
      <c r="Z117" s="3" t="s">
        <v>1455</v>
      </c>
      <c r="AA117" s="4" t="s">
        <v>1456</v>
      </c>
      <c r="AB117" s="4" t="s">
        <v>1457</v>
      </c>
      <c r="AC117" s="5" t="s">
        <v>56</v>
      </c>
      <c r="AH117" s="5" t="str">
        <f t="shared" si="7"/>
        <v>Y</v>
      </c>
      <c r="AI117" s="3" t="s">
        <v>1458</v>
      </c>
      <c r="AJ117" s="3" t="s">
        <v>1459</v>
      </c>
      <c r="AK117" s="3" t="s">
        <v>1460</v>
      </c>
      <c r="AL117" s="3" t="s">
        <v>1461</v>
      </c>
      <c r="AM117" s="4" t="s">
        <v>62</v>
      </c>
      <c r="AP117" s="5">
        <v>1</v>
      </c>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row>
    <row r="118" ht="16.5" customHeight="1">
      <c r="A118" s="3" t="s">
        <v>1463</v>
      </c>
      <c r="B118" s="3" t="s">
        <v>1464</v>
      </c>
      <c r="C118" s="3" t="s">
        <v>1465</v>
      </c>
      <c r="D118" s="3" t="s">
        <v>1324</v>
      </c>
      <c r="E118" s="4" t="s">
        <v>1409</v>
      </c>
      <c r="F118" s="3">
        <v>3209</v>
      </c>
      <c r="H118" s="5" t="str">
        <f t="shared" si="4"/>
        <v>N</v>
      </c>
      <c r="I118" s="4" t="s">
        <v>1466</v>
      </c>
      <c r="J118" s="4" t="s">
        <v>1467</v>
      </c>
      <c r="K118" s="4" t="s">
        <v>1468</v>
      </c>
      <c r="L118" s="4" t="s">
        <v>577</v>
      </c>
      <c r="M118" s="4" t="s">
        <v>1469</v>
      </c>
      <c r="N118" s="4" t="s">
        <v>241</v>
      </c>
      <c r="O118" s="4" t="s">
        <v>1470</v>
      </c>
      <c r="P118" s="4" t="s">
        <v>1471</v>
      </c>
      <c r="Q118" s="4" t="s">
        <v>1472</v>
      </c>
      <c r="R118" s="4" t="s">
        <v>1473</v>
      </c>
      <c r="S118" s="3" t="s">
        <v>1474</v>
      </c>
      <c r="T118" s="5" t="str">
        <f t="shared" si="5"/>
        <v>Y</v>
      </c>
      <c r="W118" s="5" t="str">
        <f t="shared" si="6"/>
        <v>Y</v>
      </c>
      <c r="X118" s="4" t="s">
        <v>51</v>
      </c>
      <c r="Y118" s="3" t="s">
        <v>1475</v>
      </c>
      <c r="Z118" s="3" t="s">
        <v>1476</v>
      </c>
      <c r="AA118" s="4" t="s">
        <v>1477</v>
      </c>
      <c r="AB118" s="4" t="s">
        <v>1478</v>
      </c>
      <c r="AC118" s="5" t="s">
        <v>56</v>
      </c>
      <c r="AH118" s="5" t="str">
        <f t="shared" si="7"/>
        <v>Y</v>
      </c>
      <c r="AI118" s="3" t="s">
        <v>1479</v>
      </c>
      <c r="AJ118" s="3" t="s">
        <v>1480</v>
      </c>
      <c r="AK118" s="3" t="s">
        <v>1481</v>
      </c>
      <c r="AL118" s="3" t="s">
        <v>1482</v>
      </c>
      <c r="AM118" s="4" t="s">
        <v>62</v>
      </c>
      <c r="AP118" s="5">
        <v>1</v>
      </c>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row>
    <row r="119" ht="16.5" customHeight="1">
      <c r="A119" s="3" t="s">
        <v>1463</v>
      </c>
      <c r="B119" s="3" t="s">
        <v>1464</v>
      </c>
      <c r="C119" s="3" t="s">
        <v>1465</v>
      </c>
      <c r="D119" s="3" t="s">
        <v>1324</v>
      </c>
      <c r="E119" s="4" t="s">
        <v>1409</v>
      </c>
      <c r="F119" s="3">
        <v>3209</v>
      </c>
      <c r="H119" s="5" t="str">
        <f t="shared" si="4"/>
        <v>N</v>
      </c>
      <c r="I119" s="4" t="s">
        <v>1483</v>
      </c>
      <c r="J119" s="4" t="s">
        <v>1467</v>
      </c>
      <c r="K119" s="4" t="s">
        <v>1468</v>
      </c>
      <c r="L119" s="4" t="s">
        <v>577</v>
      </c>
      <c r="M119" s="4" t="s">
        <v>1469</v>
      </c>
      <c r="N119" s="4" t="s">
        <v>241</v>
      </c>
      <c r="O119" s="4" t="s">
        <v>1470</v>
      </c>
      <c r="P119" s="4" t="s">
        <v>1471</v>
      </c>
      <c r="Q119" s="4" t="s">
        <v>1472</v>
      </c>
      <c r="R119" s="4" t="s">
        <v>1473</v>
      </c>
      <c r="S119" s="3" t="s">
        <v>1474</v>
      </c>
      <c r="T119" s="5" t="str">
        <f t="shared" si="5"/>
        <v>Y</v>
      </c>
      <c r="W119" s="5" t="str">
        <f t="shared" si="6"/>
        <v>Y</v>
      </c>
      <c r="X119" s="4" t="s">
        <v>51</v>
      </c>
      <c r="Y119" s="3" t="s">
        <v>1475</v>
      </c>
      <c r="Z119" s="3" t="s">
        <v>1476</v>
      </c>
      <c r="AA119" s="4" t="s">
        <v>1477</v>
      </c>
      <c r="AB119" s="4" t="s">
        <v>1478</v>
      </c>
      <c r="AC119" s="5" t="s">
        <v>56</v>
      </c>
      <c r="AH119" s="5" t="str">
        <f t="shared" si="7"/>
        <v>Y</v>
      </c>
      <c r="AI119" s="3" t="s">
        <v>1479</v>
      </c>
      <c r="AJ119" s="3" t="s">
        <v>1480</v>
      </c>
      <c r="AK119" s="3" t="s">
        <v>1481</v>
      </c>
      <c r="AL119" s="3" t="s">
        <v>1482</v>
      </c>
      <c r="AM119" s="4" t="s">
        <v>62</v>
      </c>
      <c r="AP119" s="5">
        <v>1</v>
      </c>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row>
    <row r="120" ht="16.5" customHeight="1">
      <c r="A120" s="3" t="s">
        <v>1484</v>
      </c>
      <c r="B120" s="3" t="s">
        <v>1485</v>
      </c>
      <c r="C120" s="3" t="s">
        <v>1486</v>
      </c>
      <c r="D120" s="3" t="s">
        <v>1487</v>
      </c>
      <c r="E120" s="4" t="s">
        <v>1488</v>
      </c>
      <c r="F120" s="3">
        <v>6515</v>
      </c>
      <c r="H120" s="5" t="str">
        <f t="shared" si="4"/>
        <v>N</v>
      </c>
      <c r="I120" s="4" t="s">
        <v>1489</v>
      </c>
      <c r="J120" s="4" t="s">
        <v>1490</v>
      </c>
      <c r="K120" s="4" t="s">
        <v>1491</v>
      </c>
      <c r="L120" s="4" t="s">
        <v>1492</v>
      </c>
      <c r="M120" s="4" t="s">
        <v>1493</v>
      </c>
      <c r="N120" s="4" t="s">
        <v>263</v>
      </c>
      <c r="O120" s="4" t="s">
        <v>1494</v>
      </c>
      <c r="P120" s="4" t="s">
        <v>1495</v>
      </c>
      <c r="Q120" s="4" t="s">
        <v>1496</v>
      </c>
      <c r="R120" s="4" t="s">
        <v>1497</v>
      </c>
      <c r="S120" s="3" t="s">
        <v>182</v>
      </c>
      <c r="T120" s="5" t="str">
        <f t="shared" si="5"/>
        <v>Y</v>
      </c>
      <c r="W120" s="5" t="str">
        <f t="shared" si="6"/>
        <v>Y</v>
      </c>
      <c r="X120" s="4" t="s">
        <v>51</v>
      </c>
      <c r="Y120" s="4" t="s">
        <v>1498</v>
      </c>
      <c r="Z120" s="4" t="s">
        <v>1499</v>
      </c>
      <c r="AA120" s="4" t="s">
        <v>1500</v>
      </c>
      <c r="AB120" s="4" t="s">
        <v>1501</v>
      </c>
      <c r="AC120" s="5" t="s">
        <v>56</v>
      </c>
      <c r="AH120" s="5" t="str">
        <f t="shared" si="7"/>
        <v>Y</v>
      </c>
      <c r="AI120" s="4" t="s">
        <v>1502</v>
      </c>
      <c r="AJ120" s="4" t="s">
        <v>1503</v>
      </c>
      <c r="AK120" s="3" t="s">
        <v>1504</v>
      </c>
      <c r="AL120" s="3" t="s">
        <v>1505</v>
      </c>
      <c r="AM120" s="4" t="s">
        <v>62</v>
      </c>
      <c r="AP120" s="5">
        <v>1</v>
      </c>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row>
    <row r="121" ht="16.5" customHeight="1">
      <c r="A121" s="3" t="s">
        <v>1506</v>
      </c>
      <c r="B121" s="3" t="s">
        <v>1507</v>
      </c>
      <c r="C121" s="3">
        <v>0</v>
      </c>
      <c r="D121" s="3" t="s">
        <v>1487</v>
      </c>
      <c r="E121" s="4" t="s">
        <v>1488</v>
      </c>
      <c r="F121" s="3">
        <v>3606</v>
      </c>
      <c r="H121" s="5" t="str">
        <f t="shared" si="4"/>
        <v>N</v>
      </c>
      <c r="I121" s="4" t="s">
        <v>1508</v>
      </c>
      <c r="J121" s="4" t="s">
        <v>1509</v>
      </c>
      <c r="K121" s="4" t="s">
        <v>1510</v>
      </c>
      <c r="L121" s="4" t="s">
        <v>596</v>
      </c>
      <c r="M121" s="4" t="s">
        <v>1511</v>
      </c>
      <c r="N121" s="4" t="s">
        <v>1512</v>
      </c>
      <c r="O121" s="4" t="s">
        <v>1513</v>
      </c>
      <c r="P121" s="4" t="s">
        <v>480</v>
      </c>
      <c r="Q121" s="4" t="s">
        <v>1514</v>
      </c>
      <c r="R121" s="4" t="s">
        <v>1515</v>
      </c>
      <c r="S121" s="3" t="s">
        <v>428</v>
      </c>
      <c r="T121" s="5" t="str">
        <f t="shared" si="5"/>
        <v>Y</v>
      </c>
      <c r="W121" s="5" t="str">
        <f t="shared" si="6"/>
        <v>Y</v>
      </c>
      <c r="X121" s="4" t="s">
        <v>51</v>
      </c>
      <c r="Y121" s="4" t="s">
        <v>1516</v>
      </c>
      <c r="Z121" s="4" t="s">
        <v>1517</v>
      </c>
      <c r="AA121" s="4" t="s">
        <v>1518</v>
      </c>
      <c r="AB121" s="4" t="s">
        <v>1519</v>
      </c>
      <c r="AC121" s="5" t="s">
        <v>56</v>
      </c>
      <c r="AH121" s="5" t="str">
        <f t="shared" si="7"/>
        <v>Y</v>
      </c>
      <c r="AI121" s="4" t="s">
        <v>1520</v>
      </c>
      <c r="AJ121" s="4" t="s">
        <v>1521</v>
      </c>
      <c r="AK121" s="3" t="s">
        <v>1522</v>
      </c>
      <c r="AL121" s="3" t="s">
        <v>1523</v>
      </c>
      <c r="AM121" s="4" t="s">
        <v>62</v>
      </c>
      <c r="AP121" s="5">
        <v>1</v>
      </c>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row>
    <row r="122" ht="16.5" customHeight="1">
      <c r="A122" s="3" t="s">
        <v>1524</v>
      </c>
      <c r="B122" s="3" t="s">
        <v>1525</v>
      </c>
      <c r="C122" s="3">
        <v>0</v>
      </c>
      <c r="D122" s="3" t="s">
        <v>1487</v>
      </c>
      <c r="E122" s="4" t="s">
        <v>1041</v>
      </c>
      <c r="F122" s="3">
        <v>4155</v>
      </c>
      <c r="H122" s="5" t="str">
        <f t="shared" si="4"/>
        <v>N</v>
      </c>
      <c r="I122" s="4" t="s">
        <v>1526</v>
      </c>
      <c r="J122" s="4" t="s">
        <v>91</v>
      </c>
      <c r="K122" s="4" t="s">
        <v>1527</v>
      </c>
      <c r="L122" s="4" t="s">
        <v>1104</v>
      </c>
      <c r="M122" s="4" t="s">
        <v>1528</v>
      </c>
      <c r="N122" s="4" t="s">
        <v>1529</v>
      </c>
      <c r="O122" s="4" t="s">
        <v>1530</v>
      </c>
      <c r="P122" s="4" t="s">
        <v>161</v>
      </c>
      <c r="Q122" s="4" t="s">
        <v>1531</v>
      </c>
      <c r="R122" s="4" t="s">
        <v>1532</v>
      </c>
      <c r="S122" s="3" t="s">
        <v>312</v>
      </c>
      <c r="T122" s="5" t="str">
        <f t="shared" si="5"/>
        <v>Y</v>
      </c>
      <c r="W122" s="5" t="str">
        <f t="shared" si="6"/>
        <v>Y</v>
      </c>
      <c r="X122" s="4" t="s">
        <v>51</v>
      </c>
      <c r="Y122" s="4" t="s">
        <v>1533</v>
      </c>
      <c r="Z122" s="4" t="s">
        <v>1534</v>
      </c>
      <c r="AA122" s="4" t="s">
        <v>1535</v>
      </c>
      <c r="AB122" s="4" t="s">
        <v>1536</v>
      </c>
      <c r="AC122" s="5" t="s">
        <v>56</v>
      </c>
      <c r="AH122" s="5" t="str">
        <f t="shared" si="7"/>
        <v>Y</v>
      </c>
      <c r="AI122" s="4" t="s">
        <v>1537</v>
      </c>
      <c r="AJ122" s="4" t="s">
        <v>1538</v>
      </c>
      <c r="AK122" s="3" t="s">
        <v>1539</v>
      </c>
      <c r="AL122" s="3" t="s">
        <v>1540</v>
      </c>
      <c r="AM122" s="4" t="s">
        <v>62</v>
      </c>
      <c r="AP122" s="5">
        <v>1</v>
      </c>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row>
    <row r="123" ht="16.5" customHeight="1">
      <c r="A123" s="3" t="s">
        <v>1541</v>
      </c>
      <c r="B123" s="3" t="s">
        <v>1542</v>
      </c>
      <c r="C123" s="3">
        <v>0</v>
      </c>
      <c r="D123" s="3" t="s">
        <v>1487</v>
      </c>
      <c r="E123" s="4" t="s">
        <v>1100</v>
      </c>
      <c r="F123" s="3">
        <v>4159</v>
      </c>
      <c r="H123" s="5" t="str">
        <f t="shared" si="4"/>
        <v>N</v>
      </c>
      <c r="I123" s="4" t="s">
        <v>1543</v>
      </c>
      <c r="J123" s="4" t="s">
        <v>1544</v>
      </c>
      <c r="K123" s="4" t="s">
        <v>1545</v>
      </c>
      <c r="L123" s="4" t="s">
        <v>1546</v>
      </c>
      <c r="M123" s="4" t="s">
        <v>1547</v>
      </c>
      <c r="N123" s="4" t="s">
        <v>1548</v>
      </c>
      <c r="O123" s="4" t="s">
        <v>1549</v>
      </c>
      <c r="P123" s="4" t="s">
        <v>200</v>
      </c>
      <c r="Q123" s="4" t="s">
        <v>1550</v>
      </c>
      <c r="R123" s="4" t="s">
        <v>1551</v>
      </c>
      <c r="S123" s="3" t="s">
        <v>312</v>
      </c>
      <c r="T123" s="5" t="str">
        <f t="shared" si="5"/>
        <v>Y</v>
      </c>
      <c r="W123" s="5" t="str">
        <f t="shared" si="6"/>
        <v>Y</v>
      </c>
      <c r="X123" s="4" t="s">
        <v>51</v>
      </c>
      <c r="Y123" s="4" t="s">
        <v>1552</v>
      </c>
      <c r="Z123" s="4" t="s">
        <v>1553</v>
      </c>
      <c r="AA123" s="4" t="s">
        <v>1554</v>
      </c>
      <c r="AB123" s="4" t="s">
        <v>1555</v>
      </c>
      <c r="AC123" s="5" t="s">
        <v>56</v>
      </c>
      <c r="AH123" s="5" t="str">
        <f t="shared" si="7"/>
        <v>Y</v>
      </c>
      <c r="AI123" s="4" t="s">
        <v>1556</v>
      </c>
      <c r="AJ123" s="4" t="s">
        <v>1557</v>
      </c>
      <c r="AK123" s="3" t="s">
        <v>1558</v>
      </c>
      <c r="AL123" s="3" t="s">
        <v>1559</v>
      </c>
      <c r="AM123" s="4" t="s">
        <v>62</v>
      </c>
      <c r="AP123" s="5">
        <v>1</v>
      </c>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row>
    <row r="124" ht="16.5" customHeight="1">
      <c r="A124" s="3" t="s">
        <v>1560</v>
      </c>
      <c r="B124" s="3" t="s">
        <v>1561</v>
      </c>
      <c r="C124" s="3" t="s">
        <v>1562</v>
      </c>
      <c r="D124" s="3" t="s">
        <v>1487</v>
      </c>
      <c r="E124" s="4" t="s">
        <v>1563</v>
      </c>
      <c r="F124" s="3">
        <v>3318</v>
      </c>
      <c r="H124" s="5" t="str">
        <f t="shared" si="4"/>
        <v>N</v>
      </c>
      <c r="I124" s="4" t="s">
        <v>1564</v>
      </c>
      <c r="J124" s="4" t="s">
        <v>1565</v>
      </c>
      <c r="K124" s="4" t="s">
        <v>1566</v>
      </c>
      <c r="L124" s="4" t="s">
        <v>263</v>
      </c>
      <c r="M124" s="4" t="s">
        <v>1567</v>
      </c>
      <c r="N124" s="4" t="s">
        <v>241</v>
      </c>
      <c r="O124" s="4" t="s">
        <v>1568</v>
      </c>
      <c r="P124" s="4" t="s">
        <v>1569</v>
      </c>
      <c r="Q124" s="4" t="s">
        <v>1570</v>
      </c>
      <c r="R124" s="4" t="s">
        <v>1571</v>
      </c>
      <c r="S124" s="3" t="s">
        <v>203</v>
      </c>
      <c r="T124" s="5" t="str">
        <f t="shared" si="5"/>
        <v>Y</v>
      </c>
      <c r="W124" s="5" t="str">
        <f t="shared" si="6"/>
        <v>Y</v>
      </c>
      <c r="X124" s="4" t="s">
        <v>51</v>
      </c>
      <c r="Y124" s="4" t="s">
        <v>1572</v>
      </c>
      <c r="Z124" s="4" t="s">
        <v>1573</v>
      </c>
      <c r="AA124" s="4" t="s">
        <v>1574</v>
      </c>
      <c r="AB124" s="4" t="s">
        <v>1575</v>
      </c>
      <c r="AC124" s="5" t="s">
        <v>56</v>
      </c>
      <c r="AH124" s="5" t="str">
        <f t="shared" si="7"/>
        <v>Y</v>
      </c>
      <c r="AI124" s="4" t="s">
        <v>1576</v>
      </c>
      <c r="AJ124" s="4" t="s">
        <v>1577</v>
      </c>
      <c r="AK124" s="3" t="s">
        <v>1578</v>
      </c>
      <c r="AL124" s="3" t="s">
        <v>1579</v>
      </c>
      <c r="AM124" s="4" t="s">
        <v>62</v>
      </c>
      <c r="AP124" s="5">
        <v>1</v>
      </c>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row>
    <row r="125" ht="16.5" customHeight="1">
      <c r="A125" s="3" t="s">
        <v>1580</v>
      </c>
      <c r="B125" s="3" t="s">
        <v>1581</v>
      </c>
      <c r="C125" s="3" t="s">
        <v>1582</v>
      </c>
      <c r="D125" s="3" t="s">
        <v>1487</v>
      </c>
      <c r="E125" s="4" t="s">
        <v>1583</v>
      </c>
      <c r="F125" s="3">
        <v>2364</v>
      </c>
      <c r="H125" s="5" t="str">
        <f t="shared" si="4"/>
        <v>N</v>
      </c>
      <c r="I125" s="4" t="s">
        <v>1584</v>
      </c>
      <c r="J125" s="4" t="s">
        <v>1585</v>
      </c>
      <c r="K125" s="4" t="s">
        <v>1586</v>
      </c>
      <c r="L125" s="4" t="s">
        <v>1587</v>
      </c>
      <c r="M125" s="4" t="s">
        <v>1588</v>
      </c>
      <c r="N125" s="4" t="s">
        <v>263</v>
      </c>
      <c r="O125" s="4" t="s">
        <v>1589</v>
      </c>
      <c r="P125" s="4" t="s">
        <v>701</v>
      </c>
      <c r="Q125" s="4" t="s">
        <v>1590</v>
      </c>
      <c r="R125" s="4" t="s">
        <v>1591</v>
      </c>
      <c r="S125" s="3" t="s">
        <v>144</v>
      </c>
      <c r="T125" s="5" t="str">
        <f t="shared" si="5"/>
        <v>Y</v>
      </c>
      <c r="W125" s="5" t="str">
        <f t="shared" si="6"/>
        <v>Y</v>
      </c>
      <c r="X125" s="4" t="s">
        <v>51</v>
      </c>
      <c r="Y125" s="4" t="s">
        <v>1592</v>
      </c>
      <c r="Z125" s="4" t="s">
        <v>1593</v>
      </c>
      <c r="AA125" s="4" t="s">
        <v>1594</v>
      </c>
      <c r="AB125" s="4" t="s">
        <v>1595</v>
      </c>
      <c r="AC125" s="5" t="s">
        <v>56</v>
      </c>
      <c r="AH125" s="5" t="str">
        <f t="shared" si="7"/>
        <v>Y</v>
      </c>
      <c r="AI125" s="4" t="s">
        <v>1596</v>
      </c>
      <c r="AJ125" s="4" t="s">
        <v>1597</v>
      </c>
      <c r="AK125" s="3" t="s">
        <v>1598</v>
      </c>
      <c r="AL125" s="3" t="s">
        <v>1599</v>
      </c>
      <c r="AM125" s="4" t="s">
        <v>62</v>
      </c>
      <c r="AP125" s="5">
        <v>1</v>
      </c>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row>
    <row r="126" ht="16.5" customHeight="1">
      <c r="A126" s="3" t="s">
        <v>1600</v>
      </c>
      <c r="B126" s="3" t="s">
        <v>1601</v>
      </c>
      <c r="C126" s="3" t="s">
        <v>1602</v>
      </c>
      <c r="D126" s="3" t="s">
        <v>1487</v>
      </c>
      <c r="E126" s="4" t="s">
        <v>1583</v>
      </c>
      <c r="F126" s="3">
        <v>5079</v>
      </c>
      <c r="H126" s="5" t="str">
        <f t="shared" si="4"/>
        <v>N</v>
      </c>
      <c r="I126" s="4" t="s">
        <v>1603</v>
      </c>
      <c r="J126" s="4" t="s">
        <v>1585</v>
      </c>
      <c r="K126" s="4" t="s">
        <v>1604</v>
      </c>
      <c r="L126" s="4" t="s">
        <v>1587</v>
      </c>
      <c r="M126" s="4" t="s">
        <v>1605</v>
      </c>
      <c r="N126" s="4" t="s">
        <v>1606</v>
      </c>
      <c r="O126" s="4" t="s">
        <v>1607</v>
      </c>
      <c r="P126" s="4" t="s">
        <v>1608</v>
      </c>
      <c r="Q126" s="4" t="s">
        <v>1609</v>
      </c>
      <c r="R126" s="4" t="s">
        <v>1610</v>
      </c>
      <c r="S126" s="3" t="s">
        <v>166</v>
      </c>
      <c r="T126" s="5" t="str">
        <f t="shared" si="5"/>
        <v>Y</v>
      </c>
      <c r="W126" s="5" t="str">
        <f t="shared" si="6"/>
        <v>Y</v>
      </c>
      <c r="X126" s="4" t="s">
        <v>51</v>
      </c>
      <c r="Y126" s="4" t="s">
        <v>1611</v>
      </c>
      <c r="Z126" s="4" t="s">
        <v>1612</v>
      </c>
      <c r="AA126" s="4" t="s">
        <v>1613</v>
      </c>
      <c r="AB126" s="4" t="s">
        <v>1614</v>
      </c>
      <c r="AC126" s="5" t="s">
        <v>56</v>
      </c>
      <c r="AH126" s="5" t="str">
        <f t="shared" si="7"/>
        <v>Y</v>
      </c>
      <c r="AI126" s="4" t="s">
        <v>1615</v>
      </c>
      <c r="AJ126" s="4" t="s">
        <v>1616</v>
      </c>
      <c r="AK126" s="3" t="s">
        <v>1617</v>
      </c>
      <c r="AL126" s="3" t="s">
        <v>1618</v>
      </c>
      <c r="AM126" s="4" t="s">
        <v>62</v>
      </c>
      <c r="AP126" s="5">
        <v>1</v>
      </c>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row>
    <row r="127" ht="16.5" customHeight="1">
      <c r="A127" s="3" t="s">
        <v>1619</v>
      </c>
      <c r="B127" s="3" t="s">
        <v>1620</v>
      </c>
      <c r="C127" s="3">
        <v>0</v>
      </c>
      <c r="D127" s="3" t="s">
        <v>1487</v>
      </c>
      <c r="E127" s="4" t="s">
        <v>1621</v>
      </c>
      <c r="F127" s="3">
        <v>2366</v>
      </c>
      <c r="H127" s="5" t="str">
        <f t="shared" si="4"/>
        <v>N</v>
      </c>
      <c r="I127" s="4" t="s">
        <v>1622</v>
      </c>
      <c r="J127" s="4" t="s">
        <v>1585</v>
      </c>
      <c r="K127" s="4" t="s">
        <v>1623</v>
      </c>
      <c r="L127" s="4" t="s">
        <v>1624</v>
      </c>
      <c r="M127" s="4" t="s">
        <v>1625</v>
      </c>
      <c r="N127" s="4" t="s">
        <v>263</v>
      </c>
      <c r="O127" s="4" t="s">
        <v>1626</v>
      </c>
      <c r="P127" s="4" t="s">
        <v>1627</v>
      </c>
      <c r="Q127" s="4" t="s">
        <v>1628</v>
      </c>
      <c r="R127" s="4" t="s">
        <v>1629</v>
      </c>
      <c r="S127" s="4" t="s">
        <v>182</v>
      </c>
      <c r="T127" s="5" t="str">
        <f t="shared" si="5"/>
        <v>Y</v>
      </c>
      <c r="W127" s="5" t="str">
        <f t="shared" si="6"/>
        <v>Y</v>
      </c>
      <c r="X127" s="4" t="s">
        <v>51</v>
      </c>
      <c r="Y127" s="4" t="s">
        <v>1630</v>
      </c>
      <c r="Z127" s="4" t="s">
        <v>1631</v>
      </c>
      <c r="AA127" s="4" t="s">
        <v>1632</v>
      </c>
      <c r="AB127" s="4" t="s">
        <v>1633</v>
      </c>
      <c r="AC127" s="5" t="s">
        <v>56</v>
      </c>
      <c r="AH127" s="5" t="str">
        <f t="shared" si="7"/>
        <v>Y</v>
      </c>
      <c r="AI127" s="4" t="s">
        <v>1634</v>
      </c>
      <c r="AJ127" s="4" t="s">
        <v>1635</v>
      </c>
      <c r="AK127" s="3" t="s">
        <v>1636</v>
      </c>
      <c r="AL127" s="3" t="s">
        <v>1637</v>
      </c>
      <c r="AM127" s="4" t="s">
        <v>62</v>
      </c>
      <c r="AP127" s="5">
        <v>1</v>
      </c>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row>
    <row r="128" ht="16.5" customHeight="1">
      <c r="A128" s="3" t="s">
        <v>1638</v>
      </c>
      <c r="B128" s="3" t="s">
        <v>1639</v>
      </c>
      <c r="C128" s="3" t="s">
        <v>1640</v>
      </c>
      <c r="D128" s="3" t="s">
        <v>1641</v>
      </c>
      <c r="E128" s="4" t="s">
        <v>1642</v>
      </c>
      <c r="F128" s="3">
        <v>8150</v>
      </c>
      <c r="H128" s="5" t="str">
        <f t="shared" si="4"/>
        <v>N</v>
      </c>
      <c r="I128" s="4" t="s">
        <v>1643</v>
      </c>
      <c r="J128" s="4" t="s">
        <v>196</v>
      </c>
      <c r="K128" s="4" t="s">
        <v>1644</v>
      </c>
      <c r="L128" s="4" t="s">
        <v>161</v>
      </c>
      <c r="M128" s="4" t="s">
        <v>1645</v>
      </c>
      <c r="N128" s="4" t="s">
        <v>1646</v>
      </c>
      <c r="O128" s="4" t="s">
        <v>1647</v>
      </c>
      <c r="P128" s="4" t="s">
        <v>1648</v>
      </c>
      <c r="Q128" s="4" t="s">
        <v>1649</v>
      </c>
      <c r="R128" s="4" t="s">
        <v>1650</v>
      </c>
      <c r="S128" s="3" t="s">
        <v>428</v>
      </c>
      <c r="T128" s="5" t="str">
        <f t="shared" si="5"/>
        <v>Y</v>
      </c>
      <c r="W128" s="5" t="str">
        <f t="shared" si="6"/>
        <v>Y</v>
      </c>
      <c r="X128" s="4" t="s">
        <v>51</v>
      </c>
      <c r="Y128" s="3" t="s">
        <v>1651</v>
      </c>
      <c r="Z128" s="3" t="s">
        <v>1652</v>
      </c>
      <c r="AA128" s="4" t="s">
        <v>1653</v>
      </c>
      <c r="AB128" s="4" t="s">
        <v>1654</v>
      </c>
      <c r="AC128" s="5" t="s">
        <v>56</v>
      </c>
      <c r="AH128" s="5" t="str">
        <f t="shared" si="7"/>
        <v>Y</v>
      </c>
      <c r="AI128" s="3" t="s">
        <v>1655</v>
      </c>
      <c r="AJ128" s="3" t="s">
        <v>1656</v>
      </c>
      <c r="AK128" s="3" t="s">
        <v>1657</v>
      </c>
      <c r="AL128" s="3" t="s">
        <v>1658</v>
      </c>
      <c r="AM128" s="4" t="s">
        <v>62</v>
      </c>
      <c r="AP128" s="5">
        <v>1</v>
      </c>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row>
    <row r="129" ht="16.5" customHeight="1">
      <c r="A129" s="3" t="s">
        <v>1659</v>
      </c>
      <c r="B129" s="3" t="s">
        <v>1639</v>
      </c>
      <c r="C129" s="3" t="s">
        <v>1660</v>
      </c>
      <c r="D129" s="3" t="s">
        <v>1641</v>
      </c>
      <c r="E129" s="4" t="s">
        <v>1642</v>
      </c>
      <c r="F129" s="3">
        <v>8148</v>
      </c>
      <c r="H129" s="5" t="str">
        <f t="shared" si="4"/>
        <v>N</v>
      </c>
      <c r="I129" s="4" t="s">
        <v>1661</v>
      </c>
      <c r="J129" s="4" t="s">
        <v>196</v>
      </c>
      <c r="K129" s="4" t="s">
        <v>1644</v>
      </c>
      <c r="L129" s="4" t="s">
        <v>161</v>
      </c>
      <c r="M129" s="4" t="s">
        <v>1645</v>
      </c>
      <c r="N129" s="4" t="s">
        <v>1646</v>
      </c>
      <c r="O129" s="4" t="s">
        <v>1647</v>
      </c>
      <c r="P129" s="4" t="s">
        <v>1648</v>
      </c>
      <c r="Q129" s="4" t="s">
        <v>1649</v>
      </c>
      <c r="R129" s="4" t="s">
        <v>1650</v>
      </c>
      <c r="S129" s="3" t="s">
        <v>428</v>
      </c>
      <c r="T129" s="5" t="str">
        <f t="shared" si="5"/>
        <v>Y</v>
      </c>
      <c r="W129" s="5" t="str">
        <f t="shared" si="6"/>
        <v>Y</v>
      </c>
      <c r="X129" s="4" t="s">
        <v>51</v>
      </c>
      <c r="Y129" s="3" t="s">
        <v>1651</v>
      </c>
      <c r="Z129" s="3" t="s">
        <v>1652</v>
      </c>
      <c r="AA129" s="4" t="s">
        <v>1653</v>
      </c>
      <c r="AB129" s="4" t="s">
        <v>1654</v>
      </c>
      <c r="AC129" s="5" t="s">
        <v>56</v>
      </c>
      <c r="AH129" s="5" t="str">
        <f t="shared" si="7"/>
        <v>Y</v>
      </c>
      <c r="AI129" s="3" t="s">
        <v>1655</v>
      </c>
      <c r="AJ129" s="3" t="s">
        <v>1656</v>
      </c>
      <c r="AK129" s="3" t="s">
        <v>1657</v>
      </c>
      <c r="AL129" s="3" t="s">
        <v>1658</v>
      </c>
      <c r="AM129" s="4" t="s">
        <v>62</v>
      </c>
      <c r="AP129" s="5">
        <v>1</v>
      </c>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row>
    <row r="130" ht="16.5" customHeight="1">
      <c r="A130" s="3" t="s">
        <v>1662</v>
      </c>
      <c r="B130" s="3" t="s">
        <v>1663</v>
      </c>
      <c r="C130" s="3" t="s">
        <v>1664</v>
      </c>
      <c r="D130" s="3" t="s">
        <v>1641</v>
      </c>
      <c r="E130" s="4" t="s">
        <v>1642</v>
      </c>
      <c r="F130" s="3">
        <v>6831</v>
      </c>
      <c r="H130" s="5" t="str">
        <f t="shared" ref="H130:H193" si="8">IF(OR(AU130="Yes",AV130="Yes"),"Y","N")</f>
        <v>N</v>
      </c>
      <c r="I130" s="4" t="s">
        <v>1665</v>
      </c>
      <c r="J130" s="4" t="s">
        <v>480</v>
      </c>
      <c r="K130" s="4" t="s">
        <v>1666</v>
      </c>
      <c r="L130" s="4" t="s">
        <v>1667</v>
      </c>
      <c r="M130" s="4" t="s">
        <v>1668</v>
      </c>
      <c r="N130" s="4" t="s">
        <v>196</v>
      </c>
      <c r="O130" s="4" t="s">
        <v>1669</v>
      </c>
      <c r="P130" s="4" t="s">
        <v>1670</v>
      </c>
      <c r="Q130" s="4" t="s">
        <v>1671</v>
      </c>
      <c r="R130" s="4" t="s">
        <v>1672</v>
      </c>
      <c r="S130" s="3" t="s">
        <v>428</v>
      </c>
      <c r="T130" s="5" t="str">
        <f t="shared" ref="T130:T193" si="9">IF(OR(AY130&lt;&gt;"Not Found",BA130&lt;&gt;"Not Found"),"Y","N")</f>
        <v>Y</v>
      </c>
      <c r="W130" s="5" t="str">
        <f t="shared" ref="W130:W193" si="10">IF(BC130&lt;&gt;"Not Found","Y","N")</f>
        <v>Y</v>
      </c>
      <c r="X130" s="4" t="s">
        <v>51</v>
      </c>
      <c r="Y130" s="3" t="s">
        <v>1673</v>
      </c>
      <c r="Z130" s="3" t="s">
        <v>1674</v>
      </c>
      <c r="AA130" s="4" t="s">
        <v>1675</v>
      </c>
      <c r="AB130" s="4" t="s">
        <v>1676</v>
      </c>
      <c r="AC130" s="5" t="s">
        <v>56</v>
      </c>
      <c r="AH130" s="5" t="str">
        <f t="shared" ref="AH130:AH193" si="11">IF(BD130&lt;&gt;"Not Found","Y","N")</f>
        <v>Y</v>
      </c>
      <c r="AI130" s="3" t="s">
        <v>1677</v>
      </c>
      <c r="AJ130" s="3" t="s">
        <v>1678</v>
      </c>
      <c r="AK130" s="3" t="s">
        <v>1679</v>
      </c>
      <c r="AL130" s="3" t="s">
        <v>1680</v>
      </c>
      <c r="AM130" s="4" t="s">
        <v>62</v>
      </c>
      <c r="AP130" s="5">
        <v>1</v>
      </c>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row>
    <row r="131" ht="16.5" customHeight="1">
      <c r="A131" s="3" t="s">
        <v>1662</v>
      </c>
      <c r="B131" s="3" t="s">
        <v>1663</v>
      </c>
      <c r="C131" s="3" t="s">
        <v>1664</v>
      </c>
      <c r="D131" s="3" t="s">
        <v>1641</v>
      </c>
      <c r="E131" s="4" t="s">
        <v>1642</v>
      </c>
      <c r="F131" s="3">
        <v>6831</v>
      </c>
      <c r="H131" s="5" t="str">
        <f t="shared" si="8"/>
        <v>N</v>
      </c>
      <c r="I131" s="4" t="s">
        <v>1681</v>
      </c>
      <c r="J131" s="4" t="s">
        <v>480</v>
      </c>
      <c r="K131" s="4" t="s">
        <v>1666</v>
      </c>
      <c r="L131" s="4" t="s">
        <v>1667</v>
      </c>
      <c r="M131" s="4" t="s">
        <v>1668</v>
      </c>
      <c r="N131" s="4" t="s">
        <v>196</v>
      </c>
      <c r="O131" s="4" t="s">
        <v>1669</v>
      </c>
      <c r="P131" s="4" t="s">
        <v>1670</v>
      </c>
      <c r="Q131" s="4" t="s">
        <v>1671</v>
      </c>
      <c r="R131" s="4" t="s">
        <v>1682</v>
      </c>
      <c r="S131" s="3" t="s">
        <v>428</v>
      </c>
      <c r="T131" s="5" t="str">
        <f t="shared" si="9"/>
        <v>Y</v>
      </c>
      <c r="W131" s="5" t="str">
        <f t="shared" si="10"/>
        <v>Y</v>
      </c>
      <c r="X131" s="4" t="s">
        <v>51</v>
      </c>
      <c r="Y131" s="3" t="s">
        <v>1673</v>
      </c>
      <c r="Z131" s="3" t="s">
        <v>1674</v>
      </c>
      <c r="AA131" s="4" t="s">
        <v>1675</v>
      </c>
      <c r="AB131" s="4" t="s">
        <v>1676</v>
      </c>
      <c r="AC131" s="5" t="s">
        <v>56</v>
      </c>
      <c r="AH131" s="5" t="str">
        <f t="shared" si="11"/>
        <v>Y</v>
      </c>
      <c r="AI131" s="3" t="s">
        <v>1677</v>
      </c>
      <c r="AJ131" s="3" t="s">
        <v>1678</v>
      </c>
      <c r="AK131" s="3" t="s">
        <v>1679</v>
      </c>
      <c r="AL131" s="3" t="s">
        <v>1680</v>
      </c>
      <c r="AM131" s="4" t="s">
        <v>62</v>
      </c>
      <c r="AP131" s="5">
        <v>1</v>
      </c>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row>
    <row r="132" ht="16.5" customHeight="1">
      <c r="A132" s="3" t="s">
        <v>1683</v>
      </c>
      <c r="B132" s="3" t="s">
        <v>1684</v>
      </c>
      <c r="C132" s="3" t="s">
        <v>1685</v>
      </c>
      <c r="D132" s="3" t="s">
        <v>1641</v>
      </c>
      <c r="E132" s="4" t="s">
        <v>1686</v>
      </c>
      <c r="F132" s="3">
        <v>8156</v>
      </c>
      <c r="H132" s="5" t="str">
        <f t="shared" si="8"/>
        <v>N</v>
      </c>
      <c r="I132" s="4" t="s">
        <v>1687</v>
      </c>
      <c r="J132" s="4" t="s">
        <v>480</v>
      </c>
      <c r="K132" s="4" t="s">
        <v>1688</v>
      </c>
      <c r="L132" s="4" t="s">
        <v>93</v>
      </c>
      <c r="M132" s="4" t="s">
        <v>1689</v>
      </c>
      <c r="N132" s="4" t="s">
        <v>116</v>
      </c>
      <c r="O132" s="4" t="s">
        <v>1690</v>
      </c>
      <c r="P132" s="4" t="s">
        <v>1691</v>
      </c>
      <c r="Q132" s="4" t="s">
        <v>1692</v>
      </c>
      <c r="R132" s="4" t="s">
        <v>1693</v>
      </c>
      <c r="S132" s="3" t="s">
        <v>428</v>
      </c>
      <c r="T132" s="5" t="str">
        <f t="shared" si="9"/>
        <v>Y</v>
      </c>
      <c r="W132" s="5" t="str">
        <f t="shared" si="10"/>
        <v>Y</v>
      </c>
      <c r="X132" s="4" t="s">
        <v>51</v>
      </c>
      <c r="Y132" s="3" t="s">
        <v>1694</v>
      </c>
      <c r="Z132" s="3" t="s">
        <v>1695</v>
      </c>
      <c r="AA132" s="4" t="s">
        <v>1696</v>
      </c>
      <c r="AB132" s="4" t="s">
        <v>1697</v>
      </c>
      <c r="AC132" s="5" t="s">
        <v>56</v>
      </c>
      <c r="AH132" s="5" t="str">
        <f t="shared" si="11"/>
        <v>Y</v>
      </c>
      <c r="AI132" s="3" t="s">
        <v>1698</v>
      </c>
      <c r="AJ132" s="3" t="s">
        <v>1699</v>
      </c>
      <c r="AK132" s="3" t="s">
        <v>1700</v>
      </c>
      <c r="AL132" s="3" t="s">
        <v>1701</v>
      </c>
      <c r="AM132" s="4" t="s">
        <v>62</v>
      </c>
      <c r="AP132" s="5">
        <v>1</v>
      </c>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row>
    <row r="133" ht="16.5" customHeight="1">
      <c r="A133" s="3" t="s">
        <v>1702</v>
      </c>
      <c r="B133" s="3" t="s">
        <v>1703</v>
      </c>
      <c r="C133" s="3" t="s">
        <v>1704</v>
      </c>
      <c r="D133" s="3" t="s">
        <v>1641</v>
      </c>
      <c r="E133" s="4" t="s">
        <v>1686</v>
      </c>
      <c r="F133" s="3">
        <v>8151</v>
      </c>
      <c r="H133" s="5" t="str">
        <f t="shared" si="8"/>
        <v>N</v>
      </c>
      <c r="I133" s="4" t="s">
        <v>1705</v>
      </c>
      <c r="J133" s="4" t="s">
        <v>480</v>
      </c>
      <c r="K133" s="4" t="s">
        <v>1706</v>
      </c>
      <c r="L133" s="4" t="s">
        <v>1667</v>
      </c>
      <c r="M133" s="4" t="s">
        <v>1668</v>
      </c>
      <c r="N133" s="4" t="s">
        <v>93</v>
      </c>
      <c r="O133" s="4" t="s">
        <v>1689</v>
      </c>
      <c r="P133" s="4" t="s">
        <v>970</v>
      </c>
      <c r="Q133" s="4" t="s">
        <v>1707</v>
      </c>
      <c r="R133" s="4" t="s">
        <v>1708</v>
      </c>
      <c r="S133" s="3" t="s">
        <v>428</v>
      </c>
      <c r="T133" s="5" t="str">
        <f t="shared" si="9"/>
        <v>Y</v>
      </c>
      <c r="W133" s="5" t="str">
        <f t="shared" si="10"/>
        <v>Y</v>
      </c>
      <c r="X133" s="4" t="s">
        <v>51</v>
      </c>
      <c r="Y133" s="3" t="s">
        <v>1709</v>
      </c>
      <c r="Z133" s="3" t="s">
        <v>1710</v>
      </c>
      <c r="AA133" s="4" t="s">
        <v>1711</v>
      </c>
      <c r="AB133" s="4" t="s">
        <v>1712</v>
      </c>
      <c r="AC133" s="5" t="s">
        <v>56</v>
      </c>
      <c r="AH133" s="5" t="str">
        <f t="shared" si="11"/>
        <v>Y</v>
      </c>
      <c r="AI133" s="3" t="s">
        <v>1713</v>
      </c>
      <c r="AJ133" s="3" t="s">
        <v>1714</v>
      </c>
      <c r="AK133" s="3" t="s">
        <v>1715</v>
      </c>
      <c r="AL133" s="3" t="s">
        <v>1716</v>
      </c>
      <c r="AM133" s="4" t="s">
        <v>62</v>
      </c>
      <c r="AP133" s="5">
        <v>1</v>
      </c>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row>
    <row r="134" ht="16.5" customHeight="1">
      <c r="A134" s="3" t="s">
        <v>1702</v>
      </c>
      <c r="B134" s="3" t="s">
        <v>1703</v>
      </c>
      <c r="C134" s="3" t="s">
        <v>1704</v>
      </c>
      <c r="D134" s="3" t="s">
        <v>1641</v>
      </c>
      <c r="E134" s="4" t="s">
        <v>1686</v>
      </c>
      <c r="F134" s="3">
        <v>8151</v>
      </c>
      <c r="H134" s="5" t="str">
        <f t="shared" si="8"/>
        <v>N</v>
      </c>
      <c r="I134" s="4" t="s">
        <v>1717</v>
      </c>
      <c r="J134" s="4" t="s">
        <v>480</v>
      </c>
      <c r="K134" s="4" t="s">
        <v>1706</v>
      </c>
      <c r="L134" s="4" t="s">
        <v>1667</v>
      </c>
      <c r="M134" s="4" t="s">
        <v>1668</v>
      </c>
      <c r="N134" s="4" t="s">
        <v>93</v>
      </c>
      <c r="O134" s="4" t="s">
        <v>1689</v>
      </c>
      <c r="P134" s="4" t="s">
        <v>970</v>
      </c>
      <c r="Q134" s="4" t="s">
        <v>1707</v>
      </c>
      <c r="R134" s="4" t="s">
        <v>1708</v>
      </c>
      <c r="S134" s="3" t="s">
        <v>428</v>
      </c>
      <c r="T134" s="5" t="str">
        <f t="shared" si="9"/>
        <v>Y</v>
      </c>
      <c r="W134" s="5" t="str">
        <f t="shared" si="10"/>
        <v>Y</v>
      </c>
      <c r="X134" s="4" t="s">
        <v>51</v>
      </c>
      <c r="Y134" s="3" t="s">
        <v>1709</v>
      </c>
      <c r="Z134" s="3" t="s">
        <v>1710</v>
      </c>
      <c r="AA134" s="4" t="s">
        <v>1711</v>
      </c>
      <c r="AB134" s="4" t="s">
        <v>1712</v>
      </c>
      <c r="AC134" s="5" t="s">
        <v>56</v>
      </c>
      <c r="AH134" s="5" t="str">
        <f t="shared" si="11"/>
        <v>Y</v>
      </c>
      <c r="AI134" s="3" t="s">
        <v>1713</v>
      </c>
      <c r="AJ134" s="3" t="s">
        <v>1714</v>
      </c>
      <c r="AK134" s="3" t="s">
        <v>1715</v>
      </c>
      <c r="AL134" s="3" t="s">
        <v>1716</v>
      </c>
      <c r="AM134" s="4" t="s">
        <v>62</v>
      </c>
      <c r="AP134" s="5">
        <v>1</v>
      </c>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row>
    <row r="135" ht="16.5" customHeight="1">
      <c r="A135" s="3" t="s">
        <v>1718</v>
      </c>
      <c r="B135" s="3" t="s">
        <v>1719</v>
      </c>
      <c r="C135" s="3" t="s">
        <v>1720</v>
      </c>
      <c r="D135" s="3" t="s">
        <v>1641</v>
      </c>
      <c r="E135" s="4" t="s">
        <v>1100</v>
      </c>
      <c r="F135" s="3">
        <v>8132</v>
      </c>
      <c r="H135" s="5" t="str">
        <f t="shared" si="8"/>
        <v>N</v>
      </c>
      <c r="I135" s="4" t="s">
        <v>1721</v>
      </c>
      <c r="J135" s="4" t="s">
        <v>1722</v>
      </c>
      <c r="K135" s="4" t="s">
        <v>1723</v>
      </c>
      <c r="L135" s="4" t="s">
        <v>1724</v>
      </c>
      <c r="M135" s="4" t="s">
        <v>1725</v>
      </c>
      <c r="N135" s="4" t="s">
        <v>161</v>
      </c>
      <c r="O135" s="4" t="s">
        <v>1726</v>
      </c>
      <c r="P135" s="4" t="s">
        <v>1727</v>
      </c>
      <c r="Q135" s="4" t="s">
        <v>1728</v>
      </c>
      <c r="R135" s="4" t="s">
        <v>1729</v>
      </c>
      <c r="S135" s="3" t="s">
        <v>428</v>
      </c>
      <c r="T135" s="5" t="str">
        <f t="shared" si="9"/>
        <v>Y</v>
      </c>
      <c r="W135" s="5" t="str">
        <f t="shared" si="10"/>
        <v>Y</v>
      </c>
      <c r="X135" s="4" t="s">
        <v>51</v>
      </c>
      <c r="Y135" s="4" t="s">
        <v>1730</v>
      </c>
      <c r="Z135" s="4" t="s">
        <v>1731</v>
      </c>
      <c r="AA135" s="4" t="s">
        <v>1732</v>
      </c>
      <c r="AB135" s="4" t="s">
        <v>1733</v>
      </c>
      <c r="AC135" s="5" t="s">
        <v>56</v>
      </c>
      <c r="AH135" s="5" t="str">
        <f t="shared" si="11"/>
        <v>Y</v>
      </c>
      <c r="AI135" s="4" t="s">
        <v>1734</v>
      </c>
      <c r="AJ135" s="4" t="s">
        <v>1735</v>
      </c>
      <c r="AK135" s="3" t="s">
        <v>1736</v>
      </c>
      <c r="AL135" s="3" t="s">
        <v>1737</v>
      </c>
      <c r="AM135" s="4" t="s">
        <v>62</v>
      </c>
      <c r="AP135" s="5">
        <v>1</v>
      </c>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row>
    <row r="136" ht="16.5" customHeight="1">
      <c r="A136" s="7" t="s">
        <v>1738</v>
      </c>
      <c r="B136" s="7" t="s">
        <v>1739</v>
      </c>
      <c r="C136" s="7" t="s">
        <v>1740</v>
      </c>
      <c r="D136" s="7" t="s">
        <v>1641</v>
      </c>
      <c r="E136" s="9" t="s">
        <v>1041</v>
      </c>
      <c r="F136" s="7">
        <v>6830</v>
      </c>
      <c r="G136" s="7"/>
      <c r="H136" s="10" t="str">
        <f t="shared" si="8"/>
        <v>N</v>
      </c>
      <c r="I136" s="9" t="s">
        <v>1741</v>
      </c>
      <c r="J136" s="9" t="s">
        <v>1742</v>
      </c>
      <c r="K136" s="9" t="s">
        <v>1743</v>
      </c>
      <c r="L136" s="9" t="s">
        <v>970</v>
      </c>
      <c r="M136" s="9" t="s">
        <v>1707</v>
      </c>
      <c r="N136" s="9" t="s">
        <v>1667</v>
      </c>
      <c r="O136" s="9" t="s">
        <v>1744</v>
      </c>
      <c r="P136" s="9" t="s">
        <v>1745</v>
      </c>
      <c r="Q136" s="9" t="s">
        <v>1746</v>
      </c>
      <c r="R136" s="9" t="s">
        <v>1747</v>
      </c>
      <c r="S136" s="7" t="s">
        <v>428</v>
      </c>
      <c r="T136" s="10" t="str">
        <f t="shared" si="9"/>
        <v>Y</v>
      </c>
      <c r="U136" s="7"/>
      <c r="V136" s="7"/>
      <c r="W136" s="10" t="str">
        <f t="shared" si="10"/>
        <v>Y</v>
      </c>
      <c r="X136" s="9" t="s">
        <v>51</v>
      </c>
      <c r="Y136" s="7" t="s">
        <v>1748</v>
      </c>
      <c r="Z136" s="7" t="s">
        <v>1749</v>
      </c>
      <c r="AA136" s="9" t="s">
        <v>1750</v>
      </c>
      <c r="AB136" s="9" t="s">
        <v>1751</v>
      </c>
      <c r="AC136" s="10" t="s">
        <v>56</v>
      </c>
      <c r="AD136" s="7"/>
      <c r="AE136" s="7"/>
      <c r="AF136" s="7"/>
      <c r="AG136" s="7"/>
      <c r="AH136" s="10" t="str">
        <f t="shared" si="11"/>
        <v>Y</v>
      </c>
      <c r="AI136" s="7" t="s">
        <v>1752</v>
      </c>
      <c r="AJ136" s="7" t="s">
        <v>1753</v>
      </c>
      <c r="AK136" s="7" t="s">
        <v>1754</v>
      </c>
      <c r="AL136" s="7" t="s">
        <v>1755</v>
      </c>
      <c r="AM136" s="9" t="s">
        <v>62</v>
      </c>
      <c r="AN136" s="7"/>
      <c r="AO136" s="7"/>
      <c r="AP136" s="10">
        <v>1</v>
      </c>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row>
    <row r="137" ht="16.5" customHeight="1">
      <c r="A137" s="3" t="s">
        <v>1738</v>
      </c>
      <c r="B137" s="3" t="s">
        <v>1739</v>
      </c>
      <c r="C137" s="3" t="s">
        <v>1740</v>
      </c>
      <c r="D137" s="3" t="s">
        <v>1641</v>
      </c>
      <c r="E137" s="4" t="s">
        <v>1041</v>
      </c>
      <c r="F137" s="3">
        <v>6830</v>
      </c>
      <c r="H137" s="5" t="str">
        <f t="shared" si="8"/>
        <v>N</v>
      </c>
      <c r="I137" s="4" t="s">
        <v>1756</v>
      </c>
      <c r="J137" s="4" t="s">
        <v>1742</v>
      </c>
      <c r="K137" s="4" t="s">
        <v>1743</v>
      </c>
      <c r="L137" s="4" t="s">
        <v>970</v>
      </c>
      <c r="M137" s="4" t="s">
        <v>1707</v>
      </c>
      <c r="N137" s="4" t="s">
        <v>1667</v>
      </c>
      <c r="O137" s="4" t="s">
        <v>1744</v>
      </c>
      <c r="P137" s="4" t="s">
        <v>1745</v>
      </c>
      <c r="Q137" s="4" t="s">
        <v>1746</v>
      </c>
      <c r="R137" s="4" t="s">
        <v>1747</v>
      </c>
      <c r="S137" s="3" t="s">
        <v>428</v>
      </c>
      <c r="T137" s="5" t="str">
        <f t="shared" si="9"/>
        <v>Y</v>
      </c>
      <c r="W137" s="5" t="str">
        <f t="shared" si="10"/>
        <v>Y</v>
      </c>
      <c r="X137" s="4" t="s">
        <v>51</v>
      </c>
      <c r="Y137" s="3" t="s">
        <v>1748</v>
      </c>
      <c r="Z137" s="3" t="s">
        <v>1749</v>
      </c>
      <c r="AA137" s="4" t="s">
        <v>1750</v>
      </c>
      <c r="AB137" s="4" t="s">
        <v>1751</v>
      </c>
      <c r="AC137" s="5" t="s">
        <v>56</v>
      </c>
      <c r="AH137" s="5" t="str">
        <f t="shared" si="11"/>
        <v>Y</v>
      </c>
      <c r="AI137" s="3" t="s">
        <v>1752</v>
      </c>
      <c r="AJ137" s="3" t="s">
        <v>1753</v>
      </c>
      <c r="AK137" s="3" t="s">
        <v>1754</v>
      </c>
      <c r="AL137" s="3" t="s">
        <v>1755</v>
      </c>
      <c r="AM137" s="4" t="s">
        <v>62</v>
      </c>
      <c r="AP137" s="5">
        <v>1</v>
      </c>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row>
    <row r="138" ht="16.5" customHeight="1">
      <c r="A138" s="3" t="s">
        <v>1757</v>
      </c>
      <c r="B138" s="3" t="s">
        <v>1758</v>
      </c>
      <c r="C138" s="3" t="s">
        <v>1759</v>
      </c>
      <c r="D138" s="3" t="s">
        <v>1641</v>
      </c>
      <c r="E138" s="4" t="s">
        <v>1760</v>
      </c>
      <c r="F138" s="3">
        <v>6921</v>
      </c>
      <c r="H138" s="5" t="str">
        <f t="shared" si="8"/>
        <v>N</v>
      </c>
      <c r="I138" s="4" t="s">
        <v>1761</v>
      </c>
      <c r="J138" s="4" t="s">
        <v>480</v>
      </c>
      <c r="K138" s="4" t="s">
        <v>1762</v>
      </c>
      <c r="L138" s="4" t="s">
        <v>1763</v>
      </c>
      <c r="M138" s="4" t="s">
        <v>1764</v>
      </c>
      <c r="N138" s="4" t="s">
        <v>163</v>
      </c>
      <c r="O138" s="4" t="s">
        <v>1765</v>
      </c>
      <c r="P138" s="4" t="s">
        <v>842</v>
      </c>
      <c r="Q138" s="4" t="s">
        <v>842</v>
      </c>
      <c r="R138" s="4" t="s">
        <v>1766</v>
      </c>
      <c r="S138" s="3" t="s">
        <v>823</v>
      </c>
      <c r="T138" s="5" t="str">
        <f t="shared" si="9"/>
        <v>Y</v>
      </c>
      <c r="W138" s="5" t="str">
        <f t="shared" si="10"/>
        <v>Y</v>
      </c>
      <c r="X138" s="4" t="s">
        <v>51</v>
      </c>
      <c r="Y138" s="3" t="s">
        <v>1767</v>
      </c>
      <c r="Z138" s="3" t="s">
        <v>1768</v>
      </c>
      <c r="AA138" s="4" t="s">
        <v>1769</v>
      </c>
      <c r="AB138" s="4" t="s">
        <v>1770</v>
      </c>
      <c r="AC138" s="5" t="s">
        <v>56</v>
      </c>
      <c r="AH138" s="5" t="str">
        <f t="shared" si="11"/>
        <v>Y</v>
      </c>
      <c r="AI138" s="3" t="s">
        <v>1771</v>
      </c>
      <c r="AJ138" s="3" t="s">
        <v>1772</v>
      </c>
      <c r="AK138" s="3" t="s">
        <v>1773</v>
      </c>
      <c r="AL138" s="3" t="s">
        <v>1774</v>
      </c>
      <c r="AM138" s="4" t="s">
        <v>62</v>
      </c>
      <c r="AP138" s="5">
        <v>1</v>
      </c>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row>
    <row r="139" ht="16.5" customHeight="1">
      <c r="A139" s="3" t="s">
        <v>1757</v>
      </c>
      <c r="B139" s="3" t="s">
        <v>1758</v>
      </c>
      <c r="C139" s="3" t="s">
        <v>1759</v>
      </c>
      <c r="D139" s="3" t="s">
        <v>1641</v>
      </c>
      <c r="E139" s="4" t="s">
        <v>1760</v>
      </c>
      <c r="F139" s="3">
        <v>6921</v>
      </c>
      <c r="H139" s="5" t="str">
        <f t="shared" si="8"/>
        <v>N</v>
      </c>
      <c r="I139" s="4" t="s">
        <v>1775</v>
      </c>
      <c r="J139" s="4" t="s">
        <v>480</v>
      </c>
      <c r="K139" s="4" t="s">
        <v>1762</v>
      </c>
      <c r="L139" s="4" t="s">
        <v>1763</v>
      </c>
      <c r="M139" s="4" t="s">
        <v>1764</v>
      </c>
      <c r="N139" s="4" t="s">
        <v>163</v>
      </c>
      <c r="O139" s="4" t="s">
        <v>1765</v>
      </c>
      <c r="P139" s="4" t="s">
        <v>842</v>
      </c>
      <c r="Q139" s="4" t="s">
        <v>842</v>
      </c>
      <c r="R139" s="4" t="s">
        <v>1766</v>
      </c>
      <c r="S139" s="3" t="s">
        <v>823</v>
      </c>
      <c r="T139" s="5" t="str">
        <f t="shared" si="9"/>
        <v>Y</v>
      </c>
      <c r="W139" s="5" t="str">
        <f t="shared" si="10"/>
        <v>Y</v>
      </c>
      <c r="X139" s="4" t="s">
        <v>51</v>
      </c>
      <c r="Y139" s="3" t="s">
        <v>1767</v>
      </c>
      <c r="Z139" s="3" t="s">
        <v>1768</v>
      </c>
      <c r="AA139" s="4" t="s">
        <v>1769</v>
      </c>
      <c r="AB139" s="4" t="s">
        <v>1770</v>
      </c>
      <c r="AC139" s="5" t="s">
        <v>56</v>
      </c>
      <c r="AH139" s="5" t="str">
        <f t="shared" si="11"/>
        <v>Y</v>
      </c>
      <c r="AI139" s="3" t="s">
        <v>1771</v>
      </c>
      <c r="AJ139" s="3" t="s">
        <v>1772</v>
      </c>
      <c r="AK139" s="3" t="s">
        <v>1773</v>
      </c>
      <c r="AL139" s="3" t="s">
        <v>1774</v>
      </c>
      <c r="AM139" s="4" t="s">
        <v>62</v>
      </c>
      <c r="AP139" s="5">
        <v>1</v>
      </c>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row>
    <row r="140" ht="16.5" customHeight="1">
      <c r="A140" s="3" t="s">
        <v>1776</v>
      </c>
      <c r="B140" s="3" t="s">
        <v>1777</v>
      </c>
      <c r="C140" s="3" t="s">
        <v>1778</v>
      </c>
      <c r="D140" s="3" t="s">
        <v>1641</v>
      </c>
      <c r="E140" s="4" t="s">
        <v>1760</v>
      </c>
      <c r="F140" s="3">
        <v>7057</v>
      </c>
      <c r="H140" s="5" t="str">
        <f t="shared" si="8"/>
        <v>N</v>
      </c>
      <c r="I140" s="4" t="s">
        <v>1779</v>
      </c>
      <c r="J140" s="4" t="s">
        <v>480</v>
      </c>
      <c r="K140" s="4" t="s">
        <v>1780</v>
      </c>
      <c r="L140" s="4" t="s">
        <v>241</v>
      </c>
      <c r="M140" s="4" t="s">
        <v>1781</v>
      </c>
      <c r="N140" s="4" t="s">
        <v>161</v>
      </c>
      <c r="O140" s="4" t="s">
        <v>1782</v>
      </c>
      <c r="P140" s="4" t="s">
        <v>842</v>
      </c>
      <c r="Q140" s="4" t="s">
        <v>842</v>
      </c>
      <c r="R140" s="4" t="s">
        <v>1783</v>
      </c>
      <c r="S140" s="3" t="s">
        <v>312</v>
      </c>
      <c r="T140" s="5" t="str">
        <f t="shared" si="9"/>
        <v>Y</v>
      </c>
      <c r="W140" s="5" t="str">
        <f t="shared" si="10"/>
        <v>Y</v>
      </c>
      <c r="X140" s="4" t="s">
        <v>51</v>
      </c>
      <c r="Y140" s="3" t="s">
        <v>1784</v>
      </c>
      <c r="Z140" s="3" t="s">
        <v>1785</v>
      </c>
      <c r="AA140" s="4" t="s">
        <v>1786</v>
      </c>
      <c r="AB140" s="4" t="s">
        <v>1787</v>
      </c>
      <c r="AC140" s="5" t="s">
        <v>56</v>
      </c>
      <c r="AH140" s="5" t="str">
        <f t="shared" si="11"/>
        <v>Y</v>
      </c>
      <c r="AI140" s="3" t="s">
        <v>1788</v>
      </c>
      <c r="AJ140" s="3" t="s">
        <v>1789</v>
      </c>
      <c r="AK140" s="3" t="s">
        <v>1790</v>
      </c>
      <c r="AL140" s="3" t="s">
        <v>1791</v>
      </c>
      <c r="AM140" s="4" t="s">
        <v>62</v>
      </c>
      <c r="AP140" s="5">
        <v>1</v>
      </c>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row>
    <row r="141" ht="16.5" customHeight="1">
      <c r="A141" s="3" t="s">
        <v>1776</v>
      </c>
      <c r="B141" s="3" t="s">
        <v>1777</v>
      </c>
      <c r="C141" s="3" t="s">
        <v>1778</v>
      </c>
      <c r="D141" s="3" t="s">
        <v>1641</v>
      </c>
      <c r="E141" s="4" t="s">
        <v>1760</v>
      </c>
      <c r="F141" s="3">
        <v>7057</v>
      </c>
      <c r="H141" s="5" t="str">
        <f t="shared" si="8"/>
        <v>N</v>
      </c>
      <c r="I141" s="4" t="s">
        <v>1792</v>
      </c>
      <c r="J141" s="4" t="s">
        <v>480</v>
      </c>
      <c r="K141" s="4" t="s">
        <v>1780</v>
      </c>
      <c r="L141" s="4" t="s">
        <v>241</v>
      </c>
      <c r="M141" s="4" t="s">
        <v>1781</v>
      </c>
      <c r="N141" s="4" t="s">
        <v>161</v>
      </c>
      <c r="O141" s="4" t="s">
        <v>1782</v>
      </c>
      <c r="P141" s="4" t="s">
        <v>842</v>
      </c>
      <c r="Q141" s="4" t="s">
        <v>842</v>
      </c>
      <c r="R141" s="4" t="s">
        <v>1783</v>
      </c>
      <c r="S141" s="3" t="s">
        <v>312</v>
      </c>
      <c r="T141" s="5" t="str">
        <f t="shared" si="9"/>
        <v>Y</v>
      </c>
      <c r="W141" s="5" t="str">
        <f t="shared" si="10"/>
        <v>Y</v>
      </c>
      <c r="X141" s="4" t="s">
        <v>51</v>
      </c>
      <c r="Y141" s="3" t="s">
        <v>1784</v>
      </c>
      <c r="Z141" s="3" t="s">
        <v>1785</v>
      </c>
      <c r="AA141" s="4" t="s">
        <v>1786</v>
      </c>
      <c r="AB141" s="4" t="s">
        <v>1787</v>
      </c>
      <c r="AC141" s="5" t="s">
        <v>56</v>
      </c>
      <c r="AH141" s="5" t="str">
        <f t="shared" si="11"/>
        <v>Y</v>
      </c>
      <c r="AI141" s="3" t="s">
        <v>1788</v>
      </c>
      <c r="AJ141" s="3" t="s">
        <v>1789</v>
      </c>
      <c r="AK141" s="3" t="s">
        <v>1790</v>
      </c>
      <c r="AL141" s="3" t="s">
        <v>1791</v>
      </c>
      <c r="AM141" s="4" t="s">
        <v>62</v>
      </c>
      <c r="AP141" s="5">
        <v>1</v>
      </c>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row>
    <row r="142" ht="16.5" customHeight="1">
      <c r="A142" s="3" t="s">
        <v>1793</v>
      </c>
      <c r="B142" s="3" t="s">
        <v>1794</v>
      </c>
      <c r="C142" s="3" t="s">
        <v>1795</v>
      </c>
      <c r="D142" s="3" t="s">
        <v>1641</v>
      </c>
      <c r="E142" s="4" t="s">
        <v>1796</v>
      </c>
      <c r="F142" s="3">
        <v>6838</v>
      </c>
      <c r="H142" s="5" t="str">
        <f t="shared" si="8"/>
        <v>N</v>
      </c>
      <c r="I142" s="4" t="s">
        <v>1797</v>
      </c>
      <c r="J142" s="4" t="s">
        <v>480</v>
      </c>
      <c r="K142" s="4" t="s">
        <v>1798</v>
      </c>
      <c r="L142" s="4" t="s">
        <v>1799</v>
      </c>
      <c r="M142" s="4" t="s">
        <v>1800</v>
      </c>
      <c r="N142" s="4" t="s">
        <v>1801</v>
      </c>
      <c r="O142" s="4" t="s">
        <v>1802</v>
      </c>
      <c r="P142" s="4" t="s">
        <v>842</v>
      </c>
      <c r="Q142" s="4" t="s">
        <v>842</v>
      </c>
      <c r="R142" s="4" t="s">
        <v>1803</v>
      </c>
      <c r="S142" s="3" t="s">
        <v>823</v>
      </c>
      <c r="T142" s="5" t="str">
        <f t="shared" si="9"/>
        <v>Y</v>
      </c>
      <c r="W142" s="5" t="str">
        <f t="shared" si="10"/>
        <v>Y</v>
      </c>
      <c r="X142" s="4" t="s">
        <v>51</v>
      </c>
      <c r="Y142" s="3" t="s">
        <v>1804</v>
      </c>
      <c r="Z142" s="3" t="s">
        <v>1805</v>
      </c>
      <c r="AA142" s="4" t="s">
        <v>1806</v>
      </c>
      <c r="AB142" s="4" t="s">
        <v>1807</v>
      </c>
      <c r="AC142" s="5" t="s">
        <v>56</v>
      </c>
      <c r="AH142" s="5" t="str">
        <f t="shared" si="11"/>
        <v>Y</v>
      </c>
      <c r="AI142" s="3" t="s">
        <v>1808</v>
      </c>
      <c r="AJ142" s="3" t="s">
        <v>1809</v>
      </c>
      <c r="AK142" s="3" t="s">
        <v>1810</v>
      </c>
      <c r="AL142" s="3" t="s">
        <v>1811</v>
      </c>
      <c r="AM142" s="4" t="s">
        <v>62</v>
      </c>
      <c r="AP142" s="5">
        <v>1</v>
      </c>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row>
    <row r="143" ht="16.5" customHeight="1">
      <c r="A143" s="3" t="s">
        <v>1793</v>
      </c>
      <c r="B143" s="3" t="s">
        <v>1794</v>
      </c>
      <c r="C143" s="3" t="s">
        <v>1795</v>
      </c>
      <c r="D143" s="3" t="s">
        <v>1641</v>
      </c>
      <c r="E143" s="4" t="s">
        <v>1796</v>
      </c>
      <c r="F143" s="3">
        <v>6838</v>
      </c>
      <c r="H143" s="5" t="str">
        <f t="shared" si="8"/>
        <v>N</v>
      </c>
      <c r="I143" s="4" t="s">
        <v>1812</v>
      </c>
      <c r="J143" s="4" t="s">
        <v>480</v>
      </c>
      <c r="K143" s="4" t="s">
        <v>1798</v>
      </c>
      <c r="L143" s="4" t="s">
        <v>1799</v>
      </c>
      <c r="M143" s="4" t="s">
        <v>1800</v>
      </c>
      <c r="N143" s="4" t="s">
        <v>1801</v>
      </c>
      <c r="O143" s="4" t="s">
        <v>1802</v>
      </c>
      <c r="P143" s="4" t="s">
        <v>842</v>
      </c>
      <c r="Q143" s="4" t="s">
        <v>842</v>
      </c>
      <c r="R143" s="4" t="s">
        <v>1813</v>
      </c>
      <c r="S143" s="3" t="s">
        <v>823</v>
      </c>
      <c r="T143" s="5" t="str">
        <f t="shared" si="9"/>
        <v>Y</v>
      </c>
      <c r="W143" s="5" t="str">
        <f t="shared" si="10"/>
        <v>Y</v>
      </c>
      <c r="X143" s="4" t="s">
        <v>51</v>
      </c>
      <c r="Y143" s="3" t="s">
        <v>1804</v>
      </c>
      <c r="Z143" s="3" t="s">
        <v>1805</v>
      </c>
      <c r="AA143" s="4" t="s">
        <v>1806</v>
      </c>
      <c r="AB143" s="4" t="s">
        <v>1807</v>
      </c>
      <c r="AC143" s="5" t="s">
        <v>56</v>
      </c>
      <c r="AH143" s="5" t="str">
        <f t="shared" si="11"/>
        <v>Y</v>
      </c>
      <c r="AI143" s="3" t="s">
        <v>1808</v>
      </c>
      <c r="AJ143" s="3" t="s">
        <v>1809</v>
      </c>
      <c r="AK143" s="3" t="s">
        <v>1810</v>
      </c>
      <c r="AL143" s="3" t="s">
        <v>1811</v>
      </c>
      <c r="AM143" s="4" t="s">
        <v>62</v>
      </c>
      <c r="AP143" s="5">
        <v>1</v>
      </c>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row>
    <row r="144" ht="16.5" customHeight="1">
      <c r="A144" s="3" t="s">
        <v>1814</v>
      </c>
      <c r="B144" s="3" t="s">
        <v>1815</v>
      </c>
      <c r="C144" s="3" t="s">
        <v>1816</v>
      </c>
      <c r="D144" s="3" t="s">
        <v>1641</v>
      </c>
      <c r="E144" s="4" t="s">
        <v>1760</v>
      </c>
      <c r="F144" s="3">
        <v>7436</v>
      </c>
      <c r="H144" s="5" t="str">
        <f t="shared" si="8"/>
        <v>N</v>
      </c>
      <c r="I144" s="4" t="s">
        <v>1817</v>
      </c>
      <c r="J144" s="4" t="s">
        <v>480</v>
      </c>
      <c r="K144" s="4" t="s">
        <v>1818</v>
      </c>
      <c r="L144" s="4" t="s">
        <v>1819</v>
      </c>
      <c r="M144" s="4" t="s">
        <v>1820</v>
      </c>
      <c r="N144" s="4" t="s">
        <v>241</v>
      </c>
      <c r="O144" s="4" t="s">
        <v>1821</v>
      </c>
      <c r="P144" s="4" t="s">
        <v>842</v>
      </c>
      <c r="Q144" s="4" t="s">
        <v>842</v>
      </c>
      <c r="R144" s="4" t="s">
        <v>1822</v>
      </c>
      <c r="S144" s="3" t="s">
        <v>312</v>
      </c>
      <c r="T144" s="5" t="str">
        <f t="shared" si="9"/>
        <v>Y</v>
      </c>
      <c r="W144" s="5" t="str">
        <f t="shared" si="10"/>
        <v>Y</v>
      </c>
      <c r="X144" s="4" t="s">
        <v>51</v>
      </c>
      <c r="Y144" s="3" t="s">
        <v>1823</v>
      </c>
      <c r="Z144" s="3" t="s">
        <v>1824</v>
      </c>
      <c r="AA144" s="4" t="s">
        <v>1825</v>
      </c>
      <c r="AB144" s="4" t="s">
        <v>1826</v>
      </c>
      <c r="AC144" s="5" t="s">
        <v>56</v>
      </c>
      <c r="AH144" s="5" t="str">
        <f t="shared" si="11"/>
        <v>Y</v>
      </c>
      <c r="AI144" s="3" t="s">
        <v>1827</v>
      </c>
      <c r="AJ144" s="3" t="s">
        <v>1828</v>
      </c>
      <c r="AK144" s="3" t="s">
        <v>1829</v>
      </c>
      <c r="AL144" s="3" t="s">
        <v>1830</v>
      </c>
      <c r="AM144" s="4" t="s">
        <v>62</v>
      </c>
      <c r="AP144" s="5">
        <v>1</v>
      </c>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row>
    <row r="145" ht="16.5" customHeight="1">
      <c r="A145" s="3" t="s">
        <v>1814</v>
      </c>
      <c r="B145" s="3" t="s">
        <v>1815</v>
      </c>
      <c r="C145" s="3" t="s">
        <v>1816</v>
      </c>
      <c r="D145" s="3" t="s">
        <v>1641</v>
      </c>
      <c r="E145" s="4" t="s">
        <v>1760</v>
      </c>
      <c r="F145" s="3">
        <v>7436</v>
      </c>
      <c r="H145" s="5" t="str">
        <f t="shared" si="8"/>
        <v>N</v>
      </c>
      <c r="I145" s="4" t="s">
        <v>1831</v>
      </c>
      <c r="J145" s="4" t="s">
        <v>480</v>
      </c>
      <c r="K145" s="4" t="s">
        <v>1818</v>
      </c>
      <c r="L145" s="4" t="s">
        <v>1819</v>
      </c>
      <c r="M145" s="4" t="s">
        <v>1820</v>
      </c>
      <c r="N145" s="4" t="s">
        <v>241</v>
      </c>
      <c r="O145" s="4" t="s">
        <v>1821</v>
      </c>
      <c r="P145" s="4" t="s">
        <v>842</v>
      </c>
      <c r="Q145" s="4" t="s">
        <v>842</v>
      </c>
      <c r="R145" s="4" t="s">
        <v>1822</v>
      </c>
      <c r="S145" s="3" t="s">
        <v>312</v>
      </c>
      <c r="T145" s="5" t="str">
        <f t="shared" si="9"/>
        <v>Y</v>
      </c>
      <c r="W145" s="5" t="str">
        <f t="shared" si="10"/>
        <v>Y</v>
      </c>
      <c r="X145" s="4" t="s">
        <v>51</v>
      </c>
      <c r="Y145" s="3" t="s">
        <v>1823</v>
      </c>
      <c r="Z145" s="3" t="s">
        <v>1824</v>
      </c>
      <c r="AA145" s="4" t="s">
        <v>1825</v>
      </c>
      <c r="AB145" s="4" t="s">
        <v>1826</v>
      </c>
      <c r="AC145" s="5" t="s">
        <v>56</v>
      </c>
      <c r="AH145" s="5" t="str">
        <f t="shared" si="11"/>
        <v>Y</v>
      </c>
      <c r="AI145" s="3" t="s">
        <v>1827</v>
      </c>
      <c r="AJ145" s="3" t="s">
        <v>1828</v>
      </c>
      <c r="AK145" s="3" t="s">
        <v>1829</v>
      </c>
      <c r="AL145" s="3" t="s">
        <v>1830</v>
      </c>
      <c r="AM145" s="4" t="s">
        <v>62</v>
      </c>
      <c r="AP145" s="5">
        <v>1</v>
      </c>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row>
    <row r="146" ht="16.5" customHeight="1">
      <c r="A146" s="3" t="s">
        <v>1832</v>
      </c>
      <c r="B146" s="3" t="s">
        <v>1833</v>
      </c>
      <c r="C146" s="3" t="s">
        <v>1834</v>
      </c>
      <c r="D146" s="3" t="s">
        <v>1641</v>
      </c>
      <c r="E146" s="4" t="s">
        <v>1760</v>
      </c>
      <c r="F146" s="3">
        <v>8065</v>
      </c>
      <c r="H146" s="5" t="str">
        <f t="shared" si="8"/>
        <v>N</v>
      </c>
      <c r="I146" s="4" t="s">
        <v>1835</v>
      </c>
      <c r="J146" s="4" t="s">
        <v>263</v>
      </c>
      <c r="K146" s="4" t="s">
        <v>1836</v>
      </c>
      <c r="L146" s="4" t="s">
        <v>408</v>
      </c>
      <c r="M146" s="4" t="s">
        <v>1837</v>
      </c>
      <c r="N146" s="4" t="s">
        <v>1838</v>
      </c>
      <c r="O146" s="4" t="s">
        <v>1839</v>
      </c>
      <c r="P146" s="4" t="s">
        <v>842</v>
      </c>
      <c r="Q146" s="4" t="s">
        <v>842</v>
      </c>
      <c r="R146" s="4" t="s">
        <v>1840</v>
      </c>
      <c r="S146" s="3" t="s">
        <v>428</v>
      </c>
      <c r="T146" s="5" t="str">
        <f t="shared" si="9"/>
        <v>Y</v>
      </c>
      <c r="W146" s="5" t="str">
        <f t="shared" si="10"/>
        <v>Y</v>
      </c>
      <c r="X146" s="4" t="s">
        <v>51</v>
      </c>
      <c r="Y146" s="3" t="s">
        <v>1841</v>
      </c>
      <c r="Z146" s="3" t="s">
        <v>1842</v>
      </c>
      <c r="AA146" s="4" t="s">
        <v>1843</v>
      </c>
      <c r="AB146" s="4" t="s">
        <v>1844</v>
      </c>
      <c r="AC146" s="5" t="s">
        <v>56</v>
      </c>
      <c r="AH146" s="5" t="str">
        <f t="shared" si="11"/>
        <v>Y</v>
      </c>
      <c r="AI146" s="3" t="s">
        <v>1845</v>
      </c>
      <c r="AJ146" s="3" t="s">
        <v>1846</v>
      </c>
      <c r="AK146" s="3" t="s">
        <v>1847</v>
      </c>
      <c r="AL146" s="3" t="s">
        <v>1848</v>
      </c>
      <c r="AM146" s="4" t="s">
        <v>62</v>
      </c>
      <c r="AP146" s="5">
        <v>1</v>
      </c>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row>
    <row r="147" ht="16.5" customHeight="1">
      <c r="A147" s="3" t="s">
        <v>1849</v>
      </c>
      <c r="B147" s="3" t="s">
        <v>1850</v>
      </c>
      <c r="C147" s="3" t="s">
        <v>1851</v>
      </c>
      <c r="D147" s="3" t="s">
        <v>1641</v>
      </c>
      <c r="E147" s="4" t="s">
        <v>1852</v>
      </c>
      <c r="F147" s="3">
        <v>8068</v>
      </c>
      <c r="H147" s="5" t="str">
        <f t="shared" si="8"/>
        <v>N</v>
      </c>
      <c r="I147" s="4" t="s">
        <v>1853</v>
      </c>
      <c r="J147" s="4" t="s">
        <v>1854</v>
      </c>
      <c r="K147" s="4" t="s">
        <v>1855</v>
      </c>
      <c r="L147" s="4" t="s">
        <v>161</v>
      </c>
      <c r="M147" s="4" t="s">
        <v>1856</v>
      </c>
      <c r="N147" s="4" t="s">
        <v>1857</v>
      </c>
      <c r="O147" s="4" t="s">
        <v>1858</v>
      </c>
      <c r="P147" s="4" t="s">
        <v>842</v>
      </c>
      <c r="Q147" s="4" t="s">
        <v>842</v>
      </c>
      <c r="R147" s="4" t="s">
        <v>1859</v>
      </c>
      <c r="S147" s="3" t="s">
        <v>182</v>
      </c>
      <c r="T147" s="5" t="str">
        <f t="shared" si="9"/>
        <v>Y</v>
      </c>
      <c r="W147" s="5" t="str">
        <f t="shared" si="10"/>
        <v>Y</v>
      </c>
      <c r="X147" s="4" t="s">
        <v>51</v>
      </c>
      <c r="Y147" s="3" t="s">
        <v>1860</v>
      </c>
      <c r="Z147" s="3" t="s">
        <v>1861</v>
      </c>
      <c r="AA147" s="4" t="s">
        <v>1862</v>
      </c>
      <c r="AB147" s="4" t="s">
        <v>1863</v>
      </c>
      <c r="AC147" s="5" t="s">
        <v>56</v>
      </c>
      <c r="AH147" s="5" t="str">
        <f t="shared" si="11"/>
        <v>Y</v>
      </c>
      <c r="AI147" s="3" t="s">
        <v>1864</v>
      </c>
      <c r="AJ147" s="3" t="s">
        <v>1865</v>
      </c>
      <c r="AK147" s="3" t="s">
        <v>1866</v>
      </c>
      <c r="AL147" s="3" t="s">
        <v>1867</v>
      </c>
      <c r="AM147" s="4" t="s">
        <v>62</v>
      </c>
      <c r="AP147" s="5">
        <v>1</v>
      </c>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row>
    <row r="148" ht="16.5" customHeight="1">
      <c r="A148" s="3" t="s">
        <v>1868</v>
      </c>
      <c r="B148" s="3" t="s">
        <v>1869</v>
      </c>
      <c r="C148" s="3" t="s">
        <v>1870</v>
      </c>
      <c r="D148" s="3" t="s">
        <v>1641</v>
      </c>
      <c r="E148" s="4" t="s">
        <v>1760</v>
      </c>
      <c r="F148" s="3">
        <v>7665</v>
      </c>
      <c r="H148" s="5" t="str">
        <f t="shared" si="8"/>
        <v>N</v>
      </c>
      <c r="I148" s="4" t="s">
        <v>1871</v>
      </c>
      <c r="J148" s="4" t="s">
        <v>480</v>
      </c>
      <c r="K148" s="4" t="s">
        <v>1872</v>
      </c>
      <c r="L148" s="4" t="s">
        <v>241</v>
      </c>
      <c r="M148" s="4" t="s">
        <v>1873</v>
      </c>
      <c r="N148" s="4" t="s">
        <v>1874</v>
      </c>
      <c r="O148" s="4" t="s">
        <v>1875</v>
      </c>
      <c r="P148" s="4" t="s">
        <v>842</v>
      </c>
      <c r="Q148" s="4" t="s">
        <v>842</v>
      </c>
      <c r="R148" s="4" t="s">
        <v>1876</v>
      </c>
      <c r="S148" s="3" t="s">
        <v>312</v>
      </c>
      <c r="T148" s="5" t="str">
        <f t="shared" si="9"/>
        <v>Y</v>
      </c>
      <c r="W148" s="5" t="str">
        <f t="shared" si="10"/>
        <v>Y</v>
      </c>
      <c r="X148" s="4" t="s">
        <v>51</v>
      </c>
      <c r="Y148" s="3" t="s">
        <v>1877</v>
      </c>
      <c r="Z148" s="3" t="s">
        <v>1878</v>
      </c>
      <c r="AA148" s="4" t="s">
        <v>1879</v>
      </c>
      <c r="AB148" s="4" t="s">
        <v>1880</v>
      </c>
      <c r="AC148" s="5" t="s">
        <v>56</v>
      </c>
      <c r="AH148" s="5" t="str">
        <f t="shared" si="11"/>
        <v>Y</v>
      </c>
      <c r="AI148" s="3" t="s">
        <v>1881</v>
      </c>
      <c r="AJ148" s="3" t="s">
        <v>1882</v>
      </c>
      <c r="AK148" s="3" t="s">
        <v>1883</v>
      </c>
      <c r="AL148" s="3" t="s">
        <v>1884</v>
      </c>
      <c r="AM148" s="4" t="s">
        <v>62</v>
      </c>
      <c r="AP148" s="5">
        <v>1</v>
      </c>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row>
    <row r="149" ht="16.5" customHeight="1">
      <c r="A149" s="3" t="s">
        <v>1868</v>
      </c>
      <c r="B149" s="3" t="s">
        <v>1869</v>
      </c>
      <c r="C149" s="3" t="s">
        <v>1870</v>
      </c>
      <c r="D149" s="3" t="s">
        <v>1641</v>
      </c>
      <c r="E149" s="4" t="s">
        <v>1760</v>
      </c>
      <c r="F149" s="3">
        <v>7665</v>
      </c>
      <c r="H149" s="5" t="str">
        <f t="shared" si="8"/>
        <v>N</v>
      </c>
      <c r="I149" s="4" t="s">
        <v>1885</v>
      </c>
      <c r="J149" s="4" t="s">
        <v>480</v>
      </c>
      <c r="K149" s="4" t="s">
        <v>1872</v>
      </c>
      <c r="L149" s="4" t="s">
        <v>241</v>
      </c>
      <c r="M149" s="4" t="s">
        <v>1873</v>
      </c>
      <c r="N149" s="4" t="s">
        <v>1874</v>
      </c>
      <c r="O149" s="4" t="s">
        <v>1875</v>
      </c>
      <c r="P149" s="4" t="s">
        <v>842</v>
      </c>
      <c r="Q149" s="4" t="s">
        <v>842</v>
      </c>
      <c r="R149" s="4" t="s">
        <v>1876</v>
      </c>
      <c r="S149" s="3" t="s">
        <v>312</v>
      </c>
      <c r="T149" s="5" t="str">
        <f t="shared" si="9"/>
        <v>Y</v>
      </c>
      <c r="W149" s="5" t="str">
        <f t="shared" si="10"/>
        <v>Y</v>
      </c>
      <c r="X149" s="4" t="s">
        <v>51</v>
      </c>
      <c r="Y149" s="3" t="s">
        <v>1877</v>
      </c>
      <c r="Z149" s="3" t="s">
        <v>1878</v>
      </c>
      <c r="AA149" s="4" t="s">
        <v>1879</v>
      </c>
      <c r="AB149" s="4" t="s">
        <v>1880</v>
      </c>
      <c r="AC149" s="5" t="s">
        <v>56</v>
      </c>
      <c r="AH149" s="5" t="str">
        <f t="shared" si="11"/>
        <v>Y</v>
      </c>
      <c r="AI149" s="3" t="s">
        <v>1881</v>
      </c>
      <c r="AJ149" s="3" t="s">
        <v>1882</v>
      </c>
      <c r="AK149" s="3" t="s">
        <v>1883</v>
      </c>
      <c r="AL149" s="3" t="s">
        <v>1884</v>
      </c>
      <c r="AM149" s="4" t="s">
        <v>62</v>
      </c>
      <c r="AP149" s="5">
        <v>1</v>
      </c>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row>
    <row r="150" ht="16.5" customHeight="1">
      <c r="A150" s="3" t="s">
        <v>1886</v>
      </c>
      <c r="B150" s="3" t="s">
        <v>1887</v>
      </c>
      <c r="C150" s="3" t="s">
        <v>1888</v>
      </c>
      <c r="D150" s="3" t="s">
        <v>1641</v>
      </c>
      <c r="E150" s="4" t="s">
        <v>1760</v>
      </c>
      <c r="F150" s="3">
        <v>7040</v>
      </c>
      <c r="H150" s="5" t="str">
        <f t="shared" si="8"/>
        <v>N</v>
      </c>
      <c r="I150" s="4" t="s">
        <v>1889</v>
      </c>
      <c r="J150" s="4" t="s">
        <v>480</v>
      </c>
      <c r="K150" s="4" t="s">
        <v>1890</v>
      </c>
      <c r="L150" s="4" t="s">
        <v>1819</v>
      </c>
      <c r="M150" s="4" t="s">
        <v>1891</v>
      </c>
      <c r="N150" s="4" t="s">
        <v>1874</v>
      </c>
      <c r="O150" s="4" t="s">
        <v>1892</v>
      </c>
      <c r="P150" s="4" t="s">
        <v>842</v>
      </c>
      <c r="Q150" s="4" t="s">
        <v>842</v>
      </c>
      <c r="R150" s="4" t="s">
        <v>1893</v>
      </c>
      <c r="S150" s="3" t="s">
        <v>312</v>
      </c>
      <c r="T150" s="5" t="str">
        <f t="shared" si="9"/>
        <v>Y</v>
      </c>
      <c r="W150" s="5" t="str">
        <f t="shared" si="10"/>
        <v>Y</v>
      </c>
      <c r="X150" s="4" t="s">
        <v>51</v>
      </c>
      <c r="Y150" s="3" t="s">
        <v>1894</v>
      </c>
      <c r="Z150" s="3" t="s">
        <v>1895</v>
      </c>
      <c r="AA150" s="4" t="s">
        <v>1896</v>
      </c>
      <c r="AB150" s="4" t="s">
        <v>1897</v>
      </c>
      <c r="AC150" s="5" t="s">
        <v>56</v>
      </c>
      <c r="AH150" s="5" t="str">
        <f t="shared" si="11"/>
        <v>Y</v>
      </c>
      <c r="AI150" s="3" t="s">
        <v>1898</v>
      </c>
      <c r="AJ150" s="3" t="s">
        <v>1899</v>
      </c>
      <c r="AK150" s="3" t="s">
        <v>1883</v>
      </c>
      <c r="AL150" s="3" t="s">
        <v>1900</v>
      </c>
      <c r="AM150" s="4" t="s">
        <v>62</v>
      </c>
      <c r="AP150" s="5">
        <v>1</v>
      </c>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row>
    <row r="151" ht="16.5" customHeight="1">
      <c r="A151" s="3" t="s">
        <v>1886</v>
      </c>
      <c r="B151" s="3" t="s">
        <v>1887</v>
      </c>
      <c r="C151" s="3" t="s">
        <v>1888</v>
      </c>
      <c r="D151" s="3" t="s">
        <v>1641</v>
      </c>
      <c r="E151" s="4" t="s">
        <v>1760</v>
      </c>
      <c r="F151" s="3">
        <v>7040</v>
      </c>
      <c r="H151" s="5" t="str">
        <f t="shared" si="8"/>
        <v>N</v>
      </c>
      <c r="I151" s="4" t="s">
        <v>1901</v>
      </c>
      <c r="J151" s="4" t="s">
        <v>480</v>
      </c>
      <c r="K151" s="4" t="s">
        <v>1890</v>
      </c>
      <c r="L151" s="4" t="s">
        <v>1819</v>
      </c>
      <c r="M151" s="4" t="s">
        <v>1891</v>
      </c>
      <c r="N151" s="4" t="s">
        <v>1874</v>
      </c>
      <c r="O151" s="4" t="s">
        <v>1892</v>
      </c>
      <c r="P151" s="4" t="s">
        <v>842</v>
      </c>
      <c r="Q151" s="4" t="s">
        <v>842</v>
      </c>
      <c r="R151" s="4" t="s">
        <v>1893</v>
      </c>
      <c r="S151" s="3" t="s">
        <v>312</v>
      </c>
      <c r="T151" s="5" t="str">
        <f t="shared" si="9"/>
        <v>Y</v>
      </c>
      <c r="W151" s="5" t="str">
        <f t="shared" si="10"/>
        <v>Y</v>
      </c>
      <c r="X151" s="4" t="s">
        <v>51</v>
      </c>
      <c r="Y151" s="3" t="s">
        <v>1894</v>
      </c>
      <c r="Z151" s="3" t="s">
        <v>1895</v>
      </c>
      <c r="AA151" s="4" t="s">
        <v>1896</v>
      </c>
      <c r="AB151" s="4" t="s">
        <v>1897</v>
      </c>
      <c r="AC151" s="5" t="s">
        <v>56</v>
      </c>
      <c r="AH151" s="5" t="str">
        <f t="shared" si="11"/>
        <v>Y</v>
      </c>
      <c r="AI151" s="3" t="s">
        <v>1898</v>
      </c>
      <c r="AJ151" s="3" t="s">
        <v>1899</v>
      </c>
      <c r="AK151" s="3" t="s">
        <v>1883</v>
      </c>
      <c r="AL151" s="3" t="s">
        <v>1900</v>
      </c>
      <c r="AM151" s="4" t="s">
        <v>62</v>
      </c>
      <c r="AP151" s="5">
        <v>1</v>
      </c>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row>
    <row r="152" ht="16.5" customHeight="1">
      <c r="A152" s="3" t="s">
        <v>1902</v>
      </c>
      <c r="B152" s="3" t="s">
        <v>1903</v>
      </c>
      <c r="C152" s="3" t="s">
        <v>1904</v>
      </c>
      <c r="D152" s="3" t="s">
        <v>1641</v>
      </c>
      <c r="E152" s="4" t="s">
        <v>1760</v>
      </c>
      <c r="F152" s="3">
        <v>7673</v>
      </c>
      <c r="H152" s="5" t="str">
        <f t="shared" si="8"/>
        <v>N</v>
      </c>
      <c r="I152" s="4" t="s">
        <v>1905</v>
      </c>
      <c r="J152" s="4" t="s">
        <v>241</v>
      </c>
      <c r="K152" s="4" t="s">
        <v>1906</v>
      </c>
      <c r="L152" s="4" t="s">
        <v>480</v>
      </c>
      <c r="M152" s="4" t="s">
        <v>1907</v>
      </c>
      <c r="N152" s="4" t="s">
        <v>161</v>
      </c>
      <c r="O152" s="4" t="s">
        <v>1908</v>
      </c>
      <c r="P152" s="4" t="s">
        <v>1909</v>
      </c>
      <c r="Q152" s="4" t="s">
        <v>1910</v>
      </c>
      <c r="R152" s="4" t="s">
        <v>1911</v>
      </c>
      <c r="S152" s="3" t="s">
        <v>1912</v>
      </c>
      <c r="T152" s="5" t="str">
        <f t="shared" si="9"/>
        <v>Y</v>
      </c>
      <c r="W152" s="5" t="str">
        <f t="shared" si="10"/>
        <v>Y</v>
      </c>
      <c r="X152" s="4" t="s">
        <v>51</v>
      </c>
      <c r="Y152" s="3" t="s">
        <v>1913</v>
      </c>
      <c r="Z152" s="3" t="s">
        <v>1914</v>
      </c>
      <c r="AA152" s="4" t="s">
        <v>1915</v>
      </c>
      <c r="AB152" s="4" t="s">
        <v>1916</v>
      </c>
      <c r="AC152" s="5" t="s">
        <v>56</v>
      </c>
      <c r="AH152" s="5" t="str">
        <f t="shared" si="11"/>
        <v>Y</v>
      </c>
      <c r="AI152" s="3" t="s">
        <v>1917</v>
      </c>
      <c r="AJ152" s="3" t="s">
        <v>1918</v>
      </c>
      <c r="AK152" s="3" t="s">
        <v>1919</v>
      </c>
      <c r="AL152" s="3" t="s">
        <v>1920</v>
      </c>
      <c r="AM152" s="4" t="s">
        <v>62</v>
      </c>
      <c r="AP152" s="5">
        <v>1</v>
      </c>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row>
    <row r="153" ht="16.5" customHeight="1">
      <c r="A153" s="3" t="s">
        <v>1902</v>
      </c>
      <c r="B153" s="3" t="s">
        <v>1903</v>
      </c>
      <c r="C153" s="3" t="s">
        <v>1904</v>
      </c>
      <c r="D153" s="3" t="s">
        <v>1641</v>
      </c>
      <c r="E153" s="4" t="s">
        <v>1760</v>
      </c>
      <c r="F153" s="3">
        <v>7673</v>
      </c>
      <c r="H153" s="5" t="str">
        <f t="shared" si="8"/>
        <v>N</v>
      </c>
      <c r="I153" s="4" t="s">
        <v>1921</v>
      </c>
      <c r="J153" s="4" t="s">
        <v>241</v>
      </c>
      <c r="K153" s="4" t="s">
        <v>1906</v>
      </c>
      <c r="L153" s="4" t="s">
        <v>480</v>
      </c>
      <c r="M153" s="4" t="s">
        <v>1907</v>
      </c>
      <c r="N153" s="4" t="s">
        <v>161</v>
      </c>
      <c r="O153" s="4" t="s">
        <v>1908</v>
      </c>
      <c r="P153" s="4" t="s">
        <v>1909</v>
      </c>
      <c r="Q153" s="4" t="s">
        <v>1910</v>
      </c>
      <c r="R153" s="4" t="s">
        <v>1922</v>
      </c>
      <c r="S153" s="3" t="s">
        <v>1912</v>
      </c>
      <c r="T153" s="5" t="str">
        <f t="shared" si="9"/>
        <v>Y</v>
      </c>
      <c r="W153" s="5" t="str">
        <f t="shared" si="10"/>
        <v>Y</v>
      </c>
      <c r="X153" s="4" t="s">
        <v>51</v>
      </c>
      <c r="Y153" s="3" t="s">
        <v>1913</v>
      </c>
      <c r="Z153" s="3" t="s">
        <v>1914</v>
      </c>
      <c r="AA153" s="4" t="s">
        <v>1915</v>
      </c>
      <c r="AB153" s="4" t="s">
        <v>1916</v>
      </c>
      <c r="AC153" s="5" t="s">
        <v>56</v>
      </c>
      <c r="AH153" s="5" t="str">
        <f t="shared" si="11"/>
        <v>Y</v>
      </c>
      <c r="AI153" s="3" t="s">
        <v>1917</v>
      </c>
      <c r="AJ153" s="3" t="s">
        <v>1918</v>
      </c>
      <c r="AK153" s="3" t="s">
        <v>1919</v>
      </c>
      <c r="AL153" s="3" t="s">
        <v>1920</v>
      </c>
      <c r="AM153" s="4" t="s">
        <v>62</v>
      </c>
      <c r="AP153" s="5">
        <v>1</v>
      </c>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row>
    <row r="154" ht="16.5" customHeight="1">
      <c r="A154" s="3" t="s">
        <v>1923</v>
      </c>
      <c r="B154" s="3" t="s">
        <v>1924</v>
      </c>
      <c r="C154" s="3" t="s">
        <v>1925</v>
      </c>
      <c r="D154" s="3" t="s">
        <v>1641</v>
      </c>
      <c r="E154" s="4" t="s">
        <v>1760</v>
      </c>
      <c r="F154" s="3">
        <v>6834</v>
      </c>
      <c r="H154" s="5" t="str">
        <f t="shared" si="8"/>
        <v>N</v>
      </c>
      <c r="I154" s="4" t="s">
        <v>1926</v>
      </c>
      <c r="J154" s="4" t="s">
        <v>480</v>
      </c>
      <c r="K154" s="4" t="s">
        <v>1927</v>
      </c>
      <c r="L154" s="4" t="s">
        <v>241</v>
      </c>
      <c r="M154" s="4" t="s">
        <v>1928</v>
      </c>
      <c r="N154" s="4" t="s">
        <v>1763</v>
      </c>
      <c r="O154" s="4" t="s">
        <v>1929</v>
      </c>
      <c r="P154" s="4" t="s">
        <v>1930</v>
      </c>
      <c r="Q154" s="4" t="s">
        <v>1931</v>
      </c>
      <c r="R154" s="4" t="s">
        <v>1932</v>
      </c>
      <c r="S154" s="3" t="s">
        <v>1933</v>
      </c>
      <c r="T154" s="5" t="str">
        <f t="shared" si="9"/>
        <v>Y</v>
      </c>
      <c r="W154" s="5" t="str">
        <f t="shared" si="10"/>
        <v>Y</v>
      </c>
      <c r="X154" s="4" t="s">
        <v>51</v>
      </c>
      <c r="Y154" s="3" t="s">
        <v>1934</v>
      </c>
      <c r="Z154" s="3" t="s">
        <v>1935</v>
      </c>
      <c r="AA154" s="4" t="s">
        <v>1936</v>
      </c>
      <c r="AB154" s="4" t="s">
        <v>1937</v>
      </c>
      <c r="AC154" s="5" t="s">
        <v>56</v>
      </c>
      <c r="AH154" s="5" t="str">
        <f t="shared" si="11"/>
        <v>Y</v>
      </c>
      <c r="AI154" s="3" t="s">
        <v>1938</v>
      </c>
      <c r="AJ154" s="3" t="s">
        <v>1939</v>
      </c>
      <c r="AK154" s="3" t="s">
        <v>1940</v>
      </c>
      <c r="AL154" s="3" t="s">
        <v>1941</v>
      </c>
      <c r="AM154" s="4" t="s">
        <v>62</v>
      </c>
      <c r="AP154" s="5">
        <v>1</v>
      </c>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row>
    <row r="155" ht="16.5" customHeight="1">
      <c r="A155" s="3" t="s">
        <v>1923</v>
      </c>
      <c r="B155" s="3" t="s">
        <v>1924</v>
      </c>
      <c r="C155" s="3" t="s">
        <v>1925</v>
      </c>
      <c r="D155" s="3" t="s">
        <v>1641</v>
      </c>
      <c r="E155" s="4" t="s">
        <v>1760</v>
      </c>
      <c r="F155" s="3">
        <v>6834</v>
      </c>
      <c r="H155" s="5" t="str">
        <f t="shared" si="8"/>
        <v>N</v>
      </c>
      <c r="I155" s="4" t="s">
        <v>1926</v>
      </c>
      <c r="J155" s="4" t="s">
        <v>480</v>
      </c>
      <c r="K155" s="4" t="s">
        <v>1927</v>
      </c>
      <c r="L155" s="4" t="s">
        <v>241</v>
      </c>
      <c r="M155" s="4" t="s">
        <v>1928</v>
      </c>
      <c r="N155" s="4" t="s">
        <v>1763</v>
      </c>
      <c r="O155" s="4" t="s">
        <v>1929</v>
      </c>
      <c r="P155" s="4" t="s">
        <v>1930</v>
      </c>
      <c r="Q155" s="4" t="s">
        <v>1931</v>
      </c>
      <c r="R155" s="4" t="s">
        <v>1932</v>
      </c>
      <c r="S155" s="3" t="s">
        <v>1933</v>
      </c>
      <c r="T155" s="5" t="str">
        <f t="shared" si="9"/>
        <v>Y</v>
      </c>
      <c r="W155" s="5" t="str">
        <f t="shared" si="10"/>
        <v>Y</v>
      </c>
      <c r="X155" s="4" t="s">
        <v>51</v>
      </c>
      <c r="Y155" s="3" t="s">
        <v>1934</v>
      </c>
      <c r="Z155" s="3" t="s">
        <v>1935</v>
      </c>
      <c r="AA155" s="4" t="s">
        <v>1936</v>
      </c>
      <c r="AB155" s="4" t="s">
        <v>1937</v>
      </c>
      <c r="AC155" s="5" t="s">
        <v>56</v>
      </c>
      <c r="AH155" s="5" t="str">
        <f t="shared" si="11"/>
        <v>Y</v>
      </c>
      <c r="AI155" s="3" t="s">
        <v>1938</v>
      </c>
      <c r="AJ155" s="3" t="s">
        <v>1939</v>
      </c>
      <c r="AK155" s="3" t="s">
        <v>1940</v>
      </c>
      <c r="AL155" s="3" t="s">
        <v>1941</v>
      </c>
      <c r="AM155" s="4" t="s">
        <v>62</v>
      </c>
      <c r="AP155" s="5">
        <v>1</v>
      </c>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row>
    <row r="156" ht="16.5" customHeight="1">
      <c r="A156" s="3" t="s">
        <v>1942</v>
      </c>
      <c r="B156" s="3" t="s">
        <v>1943</v>
      </c>
      <c r="C156" s="3" t="s">
        <v>1944</v>
      </c>
      <c r="D156" s="3" t="s">
        <v>1641</v>
      </c>
      <c r="E156" s="4" t="s">
        <v>1945</v>
      </c>
      <c r="F156" s="3">
        <v>8182</v>
      </c>
      <c r="H156" s="5" t="str">
        <f t="shared" si="8"/>
        <v>N</v>
      </c>
      <c r="I156" s="4" t="s">
        <v>1946</v>
      </c>
      <c r="J156" s="4" t="s">
        <v>480</v>
      </c>
      <c r="K156" s="4" t="s">
        <v>1947</v>
      </c>
      <c r="L156" s="4" t="s">
        <v>309</v>
      </c>
      <c r="M156" s="4" t="s">
        <v>1948</v>
      </c>
      <c r="N156" s="4" t="s">
        <v>1949</v>
      </c>
      <c r="O156" s="4" t="s">
        <v>1950</v>
      </c>
      <c r="P156" s="4" t="s">
        <v>1819</v>
      </c>
      <c r="Q156" s="4" t="s">
        <v>1951</v>
      </c>
      <c r="R156" s="4" t="s">
        <v>1952</v>
      </c>
      <c r="S156" s="3" t="s">
        <v>1953</v>
      </c>
      <c r="T156" s="5" t="str">
        <f t="shared" si="9"/>
        <v>Y</v>
      </c>
      <c r="W156" s="5" t="str">
        <f t="shared" si="10"/>
        <v>Y</v>
      </c>
      <c r="X156" s="4" t="s">
        <v>51</v>
      </c>
      <c r="Y156" s="3" t="s">
        <v>1954</v>
      </c>
      <c r="Z156" s="3" t="s">
        <v>1955</v>
      </c>
      <c r="AA156" s="4" t="s">
        <v>1956</v>
      </c>
      <c r="AB156" s="4" t="s">
        <v>1957</v>
      </c>
      <c r="AC156" s="5" t="s">
        <v>56</v>
      </c>
      <c r="AH156" s="5" t="str">
        <f t="shared" si="11"/>
        <v>Y</v>
      </c>
      <c r="AI156" s="3" t="s">
        <v>1958</v>
      </c>
      <c r="AJ156" s="3" t="s">
        <v>1959</v>
      </c>
      <c r="AK156" s="3" t="s">
        <v>1960</v>
      </c>
      <c r="AL156" s="3" t="s">
        <v>1961</v>
      </c>
      <c r="AM156" s="4" t="s">
        <v>62</v>
      </c>
      <c r="AP156" s="5">
        <v>1</v>
      </c>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c r="BZ156" s="7"/>
    </row>
    <row r="157" ht="16.5" customHeight="1">
      <c r="A157" s="3" t="s">
        <v>1942</v>
      </c>
      <c r="B157" s="3" t="s">
        <v>1943</v>
      </c>
      <c r="C157" s="3" t="s">
        <v>1944</v>
      </c>
      <c r="D157" s="3" t="s">
        <v>1641</v>
      </c>
      <c r="E157" s="4" t="s">
        <v>1945</v>
      </c>
      <c r="F157" s="3">
        <v>8182</v>
      </c>
      <c r="H157" s="5" t="str">
        <f t="shared" si="8"/>
        <v>N</v>
      </c>
      <c r="I157" s="4" t="s">
        <v>1946</v>
      </c>
      <c r="J157" s="4" t="s">
        <v>480</v>
      </c>
      <c r="K157" s="4" t="s">
        <v>1947</v>
      </c>
      <c r="L157" s="4" t="s">
        <v>309</v>
      </c>
      <c r="M157" s="4" t="s">
        <v>1948</v>
      </c>
      <c r="N157" s="4" t="s">
        <v>1949</v>
      </c>
      <c r="O157" s="4" t="s">
        <v>1950</v>
      </c>
      <c r="P157" s="4" t="s">
        <v>1819</v>
      </c>
      <c r="Q157" s="4" t="s">
        <v>1951</v>
      </c>
      <c r="R157" s="4" t="s">
        <v>1952</v>
      </c>
      <c r="S157" s="3" t="s">
        <v>1953</v>
      </c>
      <c r="T157" s="5" t="str">
        <f t="shared" si="9"/>
        <v>Y</v>
      </c>
      <c r="W157" s="5" t="str">
        <f t="shared" si="10"/>
        <v>Y</v>
      </c>
      <c r="X157" s="4" t="s">
        <v>51</v>
      </c>
      <c r="Y157" s="3" t="s">
        <v>1954</v>
      </c>
      <c r="Z157" s="3" t="s">
        <v>1955</v>
      </c>
      <c r="AA157" s="4" t="s">
        <v>1956</v>
      </c>
      <c r="AB157" s="4" t="s">
        <v>1957</v>
      </c>
      <c r="AC157" s="5" t="s">
        <v>56</v>
      </c>
      <c r="AH157" s="5" t="str">
        <f t="shared" si="11"/>
        <v>Y</v>
      </c>
      <c r="AI157" s="3" t="s">
        <v>1958</v>
      </c>
      <c r="AJ157" s="3" t="s">
        <v>1959</v>
      </c>
      <c r="AK157" s="3" t="s">
        <v>1960</v>
      </c>
      <c r="AL157" s="3" t="s">
        <v>1961</v>
      </c>
      <c r="AM157" s="4" t="s">
        <v>62</v>
      </c>
      <c r="AP157" s="5">
        <v>1</v>
      </c>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7"/>
      <c r="BZ157" s="7"/>
    </row>
    <row r="158" ht="16.5" customHeight="1">
      <c r="A158" s="3" t="s">
        <v>1962</v>
      </c>
      <c r="B158" s="3" t="s">
        <v>1963</v>
      </c>
      <c r="C158" s="3" t="s">
        <v>1964</v>
      </c>
      <c r="D158" s="3" t="s">
        <v>1641</v>
      </c>
      <c r="E158" s="4" t="s">
        <v>1945</v>
      </c>
      <c r="F158" s="3">
        <v>8183</v>
      </c>
      <c r="H158" s="5" t="str">
        <f t="shared" si="8"/>
        <v>N</v>
      </c>
      <c r="I158" s="4" t="s">
        <v>1965</v>
      </c>
      <c r="J158" s="4" t="s">
        <v>480</v>
      </c>
      <c r="K158" s="4" t="s">
        <v>1966</v>
      </c>
      <c r="L158" s="4" t="s">
        <v>596</v>
      </c>
      <c r="M158" s="4" t="s">
        <v>1967</v>
      </c>
      <c r="N158" s="4" t="s">
        <v>1819</v>
      </c>
      <c r="O158" s="4" t="s">
        <v>1968</v>
      </c>
      <c r="P158" s="4" t="s">
        <v>309</v>
      </c>
      <c r="Q158" s="4" t="s">
        <v>1969</v>
      </c>
      <c r="R158" s="4" t="s">
        <v>1970</v>
      </c>
      <c r="S158" s="3" t="s">
        <v>1971</v>
      </c>
      <c r="T158" s="5" t="str">
        <f t="shared" si="9"/>
        <v>Y</v>
      </c>
      <c r="W158" s="5" t="str">
        <f t="shared" si="10"/>
        <v>Y</v>
      </c>
      <c r="X158" s="4" t="s">
        <v>51</v>
      </c>
      <c r="Y158" s="3" t="s">
        <v>1972</v>
      </c>
      <c r="Z158" s="3" t="s">
        <v>1973</v>
      </c>
      <c r="AA158" s="4" t="s">
        <v>1974</v>
      </c>
      <c r="AB158" s="4" t="s">
        <v>1975</v>
      </c>
      <c r="AC158" s="5" t="s">
        <v>56</v>
      </c>
      <c r="AH158" s="5" t="str">
        <f t="shared" si="11"/>
        <v>Y</v>
      </c>
      <c r="AI158" s="3" t="s">
        <v>1976</v>
      </c>
      <c r="AJ158" s="3" t="s">
        <v>1977</v>
      </c>
      <c r="AK158" s="3" t="s">
        <v>1978</v>
      </c>
      <c r="AL158" s="3" t="s">
        <v>1979</v>
      </c>
      <c r="AM158" s="4" t="s">
        <v>62</v>
      </c>
      <c r="AP158" s="5">
        <v>1</v>
      </c>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row>
    <row r="159" ht="16.5" customHeight="1">
      <c r="A159" s="3" t="s">
        <v>1962</v>
      </c>
      <c r="B159" s="3" t="s">
        <v>1963</v>
      </c>
      <c r="C159" s="3" t="s">
        <v>1964</v>
      </c>
      <c r="D159" s="3" t="s">
        <v>1641</v>
      </c>
      <c r="E159" s="4" t="s">
        <v>1945</v>
      </c>
      <c r="F159" s="3">
        <v>8183</v>
      </c>
      <c r="H159" s="5" t="str">
        <f t="shared" si="8"/>
        <v>N</v>
      </c>
      <c r="I159" s="4" t="s">
        <v>1965</v>
      </c>
      <c r="J159" s="4" t="s">
        <v>480</v>
      </c>
      <c r="K159" s="4" t="s">
        <v>1966</v>
      </c>
      <c r="L159" s="4" t="s">
        <v>596</v>
      </c>
      <c r="M159" s="4" t="s">
        <v>1967</v>
      </c>
      <c r="N159" s="4" t="s">
        <v>1819</v>
      </c>
      <c r="O159" s="4" t="s">
        <v>1968</v>
      </c>
      <c r="P159" s="4" t="s">
        <v>309</v>
      </c>
      <c r="Q159" s="4" t="s">
        <v>1969</v>
      </c>
      <c r="R159" s="4" t="s">
        <v>1970</v>
      </c>
      <c r="S159" s="3" t="s">
        <v>1971</v>
      </c>
      <c r="T159" s="5" t="str">
        <f t="shared" si="9"/>
        <v>Y</v>
      </c>
      <c r="W159" s="5" t="str">
        <f t="shared" si="10"/>
        <v>Y</v>
      </c>
      <c r="X159" s="4" t="s">
        <v>51</v>
      </c>
      <c r="Y159" s="3" t="s">
        <v>1972</v>
      </c>
      <c r="Z159" s="3" t="s">
        <v>1973</v>
      </c>
      <c r="AA159" s="4" t="s">
        <v>1974</v>
      </c>
      <c r="AB159" s="4" t="s">
        <v>1975</v>
      </c>
      <c r="AC159" s="5" t="s">
        <v>56</v>
      </c>
      <c r="AH159" s="5" t="str">
        <f t="shared" si="11"/>
        <v>Y</v>
      </c>
      <c r="AI159" s="3" t="s">
        <v>1976</v>
      </c>
      <c r="AJ159" s="3" t="s">
        <v>1977</v>
      </c>
      <c r="AK159" s="3" t="s">
        <v>1978</v>
      </c>
      <c r="AL159" s="3" t="s">
        <v>1979</v>
      </c>
      <c r="AM159" s="4" t="s">
        <v>62</v>
      </c>
      <c r="AP159" s="5">
        <v>1</v>
      </c>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c r="BZ159" s="7"/>
    </row>
    <row r="160" ht="16.5" customHeight="1">
      <c r="A160" s="3" t="s">
        <v>1980</v>
      </c>
      <c r="B160" s="3" t="s">
        <v>1981</v>
      </c>
      <c r="C160" s="3" t="s">
        <v>1982</v>
      </c>
      <c r="D160" s="3" t="s">
        <v>1641</v>
      </c>
      <c r="E160" s="4" t="s">
        <v>1945</v>
      </c>
      <c r="F160" s="3">
        <v>7814</v>
      </c>
      <c r="H160" s="5" t="str">
        <f t="shared" si="8"/>
        <v>N</v>
      </c>
      <c r="I160" s="4" t="s">
        <v>1983</v>
      </c>
      <c r="J160" s="4" t="s">
        <v>1819</v>
      </c>
      <c r="K160" s="4" t="s">
        <v>1984</v>
      </c>
      <c r="L160" s="4" t="s">
        <v>1985</v>
      </c>
      <c r="M160" s="4" t="s">
        <v>1986</v>
      </c>
      <c r="N160" s="4" t="s">
        <v>480</v>
      </c>
      <c r="O160" s="4" t="s">
        <v>1987</v>
      </c>
      <c r="P160" s="4" t="s">
        <v>596</v>
      </c>
      <c r="Q160" s="4" t="s">
        <v>1988</v>
      </c>
      <c r="R160" s="4" t="s">
        <v>1989</v>
      </c>
      <c r="S160" s="3" t="s">
        <v>1990</v>
      </c>
      <c r="T160" s="5" t="str">
        <f t="shared" si="9"/>
        <v>Y</v>
      </c>
      <c r="W160" s="5" t="str">
        <f t="shared" si="10"/>
        <v>Y</v>
      </c>
      <c r="X160" s="4" t="s">
        <v>51</v>
      </c>
      <c r="Y160" s="3" t="s">
        <v>1991</v>
      </c>
      <c r="Z160" s="3" t="s">
        <v>1992</v>
      </c>
      <c r="AA160" s="4" t="s">
        <v>1993</v>
      </c>
      <c r="AB160" s="4" t="s">
        <v>1994</v>
      </c>
      <c r="AC160" s="5" t="s">
        <v>56</v>
      </c>
      <c r="AH160" s="5" t="str">
        <f t="shared" si="11"/>
        <v>Y</v>
      </c>
      <c r="AI160" s="3" t="s">
        <v>1995</v>
      </c>
      <c r="AJ160" s="3" t="s">
        <v>1996</v>
      </c>
      <c r="AK160" s="3" t="s">
        <v>1997</v>
      </c>
      <c r="AL160" s="3" t="s">
        <v>1998</v>
      </c>
      <c r="AM160" s="4" t="s">
        <v>62</v>
      </c>
      <c r="AP160" s="5">
        <v>1</v>
      </c>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7"/>
      <c r="BZ160" s="7"/>
    </row>
    <row r="161" ht="16.5" customHeight="1">
      <c r="A161" s="3" t="s">
        <v>1980</v>
      </c>
      <c r="B161" s="3" t="s">
        <v>1981</v>
      </c>
      <c r="C161" s="3" t="s">
        <v>1982</v>
      </c>
      <c r="D161" s="3" t="s">
        <v>1641</v>
      </c>
      <c r="E161" s="4" t="s">
        <v>1945</v>
      </c>
      <c r="F161" s="3">
        <v>7814</v>
      </c>
      <c r="H161" s="5" t="str">
        <f t="shared" si="8"/>
        <v>N</v>
      </c>
      <c r="I161" s="4" t="s">
        <v>1983</v>
      </c>
      <c r="J161" s="4" t="s">
        <v>1819</v>
      </c>
      <c r="K161" s="4" t="s">
        <v>1984</v>
      </c>
      <c r="L161" s="4" t="s">
        <v>1985</v>
      </c>
      <c r="M161" s="4" t="s">
        <v>1986</v>
      </c>
      <c r="N161" s="4" t="s">
        <v>480</v>
      </c>
      <c r="O161" s="4" t="s">
        <v>1987</v>
      </c>
      <c r="P161" s="4" t="s">
        <v>596</v>
      </c>
      <c r="Q161" s="4" t="s">
        <v>1988</v>
      </c>
      <c r="R161" s="4" t="s">
        <v>1999</v>
      </c>
      <c r="S161" s="3" t="s">
        <v>1990</v>
      </c>
      <c r="T161" s="5" t="str">
        <f t="shared" si="9"/>
        <v>Y</v>
      </c>
      <c r="W161" s="5" t="str">
        <f t="shared" si="10"/>
        <v>Y</v>
      </c>
      <c r="X161" s="4" t="s">
        <v>51</v>
      </c>
      <c r="Y161" s="3" t="s">
        <v>1991</v>
      </c>
      <c r="Z161" s="3" t="s">
        <v>1992</v>
      </c>
      <c r="AA161" s="4" t="s">
        <v>1993</v>
      </c>
      <c r="AB161" s="4" t="s">
        <v>1994</v>
      </c>
      <c r="AC161" s="5" t="s">
        <v>56</v>
      </c>
      <c r="AH161" s="5" t="str">
        <f t="shared" si="11"/>
        <v>Y</v>
      </c>
      <c r="AI161" s="3" t="s">
        <v>1995</v>
      </c>
      <c r="AJ161" s="3" t="s">
        <v>1996</v>
      </c>
      <c r="AK161" s="3" t="s">
        <v>1997</v>
      </c>
      <c r="AL161" s="3" t="s">
        <v>1998</v>
      </c>
      <c r="AM161" s="4" t="s">
        <v>62</v>
      </c>
      <c r="AP161" s="5">
        <v>1</v>
      </c>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row>
    <row r="162" ht="16.5" customHeight="1">
      <c r="A162" s="3" t="s">
        <v>2000</v>
      </c>
      <c r="B162" s="3" t="s">
        <v>2001</v>
      </c>
      <c r="C162" s="3" t="s">
        <v>2002</v>
      </c>
      <c r="D162" s="3" t="s">
        <v>1641</v>
      </c>
      <c r="E162" s="4" t="s">
        <v>1945</v>
      </c>
      <c r="F162" s="3">
        <v>8180</v>
      </c>
      <c r="H162" s="5" t="str">
        <f t="shared" si="8"/>
        <v>N</v>
      </c>
      <c r="I162" s="4" t="s">
        <v>2003</v>
      </c>
      <c r="J162" s="4" t="s">
        <v>480</v>
      </c>
      <c r="K162" s="4" t="s">
        <v>2004</v>
      </c>
      <c r="L162" s="4" t="s">
        <v>2005</v>
      </c>
      <c r="M162" s="4" t="s">
        <v>2006</v>
      </c>
      <c r="N162" s="4" t="s">
        <v>1352</v>
      </c>
      <c r="O162" s="4" t="s">
        <v>2007</v>
      </c>
      <c r="P162" s="4" t="s">
        <v>2008</v>
      </c>
      <c r="Q162" s="4" t="s">
        <v>2009</v>
      </c>
      <c r="R162" s="4" t="s">
        <v>1999</v>
      </c>
      <c r="S162" s="3" t="s">
        <v>2010</v>
      </c>
      <c r="T162" s="5" t="str">
        <f t="shared" si="9"/>
        <v>Y</v>
      </c>
      <c r="W162" s="5" t="str">
        <f t="shared" si="10"/>
        <v>Y</v>
      </c>
      <c r="X162" s="4" t="s">
        <v>51</v>
      </c>
      <c r="Y162" s="3" t="s">
        <v>2011</v>
      </c>
      <c r="Z162" s="3" t="s">
        <v>2012</v>
      </c>
      <c r="AA162" s="4" t="s">
        <v>2013</v>
      </c>
      <c r="AB162" s="4" t="s">
        <v>2014</v>
      </c>
      <c r="AC162" s="5" t="s">
        <v>56</v>
      </c>
      <c r="AH162" s="5" t="str">
        <f t="shared" si="11"/>
        <v>Y</v>
      </c>
      <c r="AI162" s="3" t="s">
        <v>2015</v>
      </c>
      <c r="AJ162" s="3" t="s">
        <v>2016</v>
      </c>
      <c r="AK162" s="3" t="s">
        <v>2017</v>
      </c>
      <c r="AL162" s="3" t="s">
        <v>2018</v>
      </c>
      <c r="AM162" s="4" t="s">
        <v>62</v>
      </c>
      <c r="AP162" s="5">
        <v>1</v>
      </c>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row>
    <row r="163" ht="16.5" customHeight="1">
      <c r="A163" s="3" t="s">
        <v>2000</v>
      </c>
      <c r="B163" s="3" t="s">
        <v>2001</v>
      </c>
      <c r="C163" s="3" t="s">
        <v>2002</v>
      </c>
      <c r="D163" s="3" t="s">
        <v>1641</v>
      </c>
      <c r="E163" s="4" t="s">
        <v>1945</v>
      </c>
      <c r="F163" s="3">
        <v>8180</v>
      </c>
      <c r="H163" s="5" t="str">
        <f t="shared" si="8"/>
        <v>N</v>
      </c>
      <c r="I163" s="4" t="s">
        <v>2019</v>
      </c>
      <c r="J163" s="4" t="s">
        <v>480</v>
      </c>
      <c r="K163" s="4" t="s">
        <v>2004</v>
      </c>
      <c r="L163" s="4" t="s">
        <v>2005</v>
      </c>
      <c r="M163" s="4" t="s">
        <v>2006</v>
      </c>
      <c r="N163" s="4" t="s">
        <v>1352</v>
      </c>
      <c r="O163" s="4" t="s">
        <v>2007</v>
      </c>
      <c r="P163" s="4" t="s">
        <v>2008</v>
      </c>
      <c r="Q163" s="4" t="s">
        <v>2009</v>
      </c>
      <c r="R163" s="4" t="s">
        <v>2020</v>
      </c>
      <c r="S163" s="3" t="s">
        <v>2010</v>
      </c>
      <c r="T163" s="5" t="str">
        <f t="shared" si="9"/>
        <v>Y</v>
      </c>
      <c r="W163" s="5" t="str">
        <f t="shared" si="10"/>
        <v>Y</v>
      </c>
      <c r="X163" s="4" t="s">
        <v>51</v>
      </c>
      <c r="Y163" s="3" t="s">
        <v>2011</v>
      </c>
      <c r="Z163" s="3" t="s">
        <v>2012</v>
      </c>
      <c r="AA163" s="4" t="s">
        <v>2013</v>
      </c>
      <c r="AB163" s="4" t="s">
        <v>2014</v>
      </c>
      <c r="AC163" s="5" t="s">
        <v>56</v>
      </c>
      <c r="AH163" s="5" t="str">
        <f t="shared" si="11"/>
        <v>Y</v>
      </c>
      <c r="AI163" s="3" t="s">
        <v>2015</v>
      </c>
      <c r="AJ163" s="3" t="s">
        <v>2016</v>
      </c>
      <c r="AK163" s="3" t="s">
        <v>2017</v>
      </c>
      <c r="AL163" s="3" t="s">
        <v>2018</v>
      </c>
      <c r="AM163" s="4" t="s">
        <v>62</v>
      </c>
      <c r="AP163" s="5">
        <v>1</v>
      </c>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7"/>
      <c r="BZ163" s="7"/>
    </row>
    <row r="164" ht="16.5" customHeight="1">
      <c r="A164" s="3" t="s">
        <v>2021</v>
      </c>
      <c r="B164" s="3" t="s">
        <v>2022</v>
      </c>
      <c r="C164" s="3" t="s">
        <v>2023</v>
      </c>
      <c r="D164" s="3" t="s">
        <v>1641</v>
      </c>
      <c r="E164" s="4" t="s">
        <v>1945</v>
      </c>
      <c r="F164" s="3">
        <v>8181</v>
      </c>
      <c r="H164" s="5" t="str">
        <f t="shared" si="8"/>
        <v>N</v>
      </c>
      <c r="I164" s="4" t="s">
        <v>2024</v>
      </c>
      <c r="J164" s="4" t="s">
        <v>1819</v>
      </c>
      <c r="K164" s="4" t="s">
        <v>2025</v>
      </c>
      <c r="L164" s="4" t="s">
        <v>480</v>
      </c>
      <c r="M164" s="4" t="s">
        <v>2026</v>
      </c>
      <c r="N164" s="4" t="s">
        <v>2005</v>
      </c>
      <c r="O164" s="4" t="s">
        <v>2027</v>
      </c>
      <c r="P164" s="4" t="s">
        <v>596</v>
      </c>
      <c r="Q164" s="4" t="s">
        <v>2028</v>
      </c>
      <c r="R164" s="4" t="s">
        <v>2020</v>
      </c>
      <c r="S164" s="3" t="s">
        <v>2029</v>
      </c>
      <c r="T164" s="5" t="str">
        <f t="shared" si="9"/>
        <v>Y</v>
      </c>
      <c r="W164" s="5" t="str">
        <f t="shared" si="10"/>
        <v>Y</v>
      </c>
      <c r="X164" s="4" t="s">
        <v>51</v>
      </c>
      <c r="Y164" s="3" t="s">
        <v>2030</v>
      </c>
      <c r="Z164" s="3" t="s">
        <v>2031</v>
      </c>
      <c r="AA164" s="4" t="s">
        <v>2032</v>
      </c>
      <c r="AB164" s="4" t="s">
        <v>2033</v>
      </c>
      <c r="AC164" s="5" t="s">
        <v>56</v>
      </c>
      <c r="AH164" s="5" t="str">
        <f t="shared" si="11"/>
        <v>Y</v>
      </c>
      <c r="AI164" s="3" t="s">
        <v>2034</v>
      </c>
      <c r="AJ164" s="3" t="s">
        <v>2035</v>
      </c>
      <c r="AK164" s="3" t="s">
        <v>2036</v>
      </c>
      <c r="AL164" s="3" t="s">
        <v>2037</v>
      </c>
      <c r="AM164" s="4" t="s">
        <v>62</v>
      </c>
      <c r="AP164" s="5">
        <v>1</v>
      </c>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7"/>
      <c r="BZ164" s="7"/>
    </row>
    <row r="165" ht="16.5" customHeight="1">
      <c r="A165" s="3" t="s">
        <v>2021</v>
      </c>
      <c r="B165" s="3" t="s">
        <v>2022</v>
      </c>
      <c r="C165" s="3" t="s">
        <v>2023</v>
      </c>
      <c r="D165" s="3" t="s">
        <v>1641</v>
      </c>
      <c r="E165" s="4" t="s">
        <v>1945</v>
      </c>
      <c r="F165" s="3">
        <v>8181</v>
      </c>
      <c r="H165" s="5" t="str">
        <f t="shared" si="8"/>
        <v>N</v>
      </c>
      <c r="I165" s="4" t="s">
        <v>2024</v>
      </c>
      <c r="J165" s="4" t="s">
        <v>1819</v>
      </c>
      <c r="K165" s="4" t="s">
        <v>2025</v>
      </c>
      <c r="L165" s="4" t="s">
        <v>480</v>
      </c>
      <c r="M165" s="4" t="s">
        <v>2026</v>
      </c>
      <c r="N165" s="4" t="s">
        <v>2005</v>
      </c>
      <c r="O165" s="4" t="s">
        <v>2027</v>
      </c>
      <c r="P165" s="4" t="s">
        <v>596</v>
      </c>
      <c r="Q165" s="4" t="s">
        <v>2028</v>
      </c>
      <c r="R165" s="4" t="s">
        <v>2038</v>
      </c>
      <c r="S165" s="3" t="s">
        <v>2029</v>
      </c>
      <c r="T165" s="5" t="str">
        <f t="shared" si="9"/>
        <v>Y</v>
      </c>
      <c r="W165" s="5" t="str">
        <f t="shared" si="10"/>
        <v>Y</v>
      </c>
      <c r="X165" s="4" t="s">
        <v>51</v>
      </c>
      <c r="Y165" s="3" t="s">
        <v>2030</v>
      </c>
      <c r="Z165" s="3" t="s">
        <v>2031</v>
      </c>
      <c r="AA165" s="4" t="s">
        <v>2032</v>
      </c>
      <c r="AB165" s="4" t="s">
        <v>2033</v>
      </c>
      <c r="AC165" s="5" t="s">
        <v>56</v>
      </c>
      <c r="AH165" s="5" t="str">
        <f t="shared" si="11"/>
        <v>Y</v>
      </c>
      <c r="AI165" s="3" t="s">
        <v>2034</v>
      </c>
      <c r="AJ165" s="3" t="s">
        <v>2035</v>
      </c>
      <c r="AK165" s="3" t="s">
        <v>2036</v>
      </c>
      <c r="AL165" s="3" t="s">
        <v>2037</v>
      </c>
      <c r="AM165" s="4" t="s">
        <v>62</v>
      </c>
      <c r="AP165" s="5">
        <v>1</v>
      </c>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c r="BZ165" s="7"/>
    </row>
    <row r="166" ht="16.5" customHeight="1">
      <c r="A166" s="3" t="s">
        <v>2039</v>
      </c>
      <c r="B166" s="3" t="s">
        <v>2040</v>
      </c>
      <c r="C166" s="3" t="s">
        <v>2041</v>
      </c>
      <c r="D166" s="3" t="s">
        <v>1641</v>
      </c>
      <c r="E166" s="4" t="s">
        <v>2042</v>
      </c>
      <c r="F166" s="3">
        <v>9814</v>
      </c>
      <c r="H166" s="5" t="str">
        <f t="shared" si="8"/>
        <v>N</v>
      </c>
      <c r="I166" s="4" t="s">
        <v>2043</v>
      </c>
      <c r="J166" s="4" t="s">
        <v>2044</v>
      </c>
      <c r="K166" s="4" t="s">
        <v>2045</v>
      </c>
      <c r="L166" s="4" t="s">
        <v>2046</v>
      </c>
      <c r="M166" s="4" t="s">
        <v>2047</v>
      </c>
      <c r="N166" s="4" t="s">
        <v>93</v>
      </c>
      <c r="O166" s="4" t="s">
        <v>2048</v>
      </c>
      <c r="P166" s="4" t="s">
        <v>1819</v>
      </c>
      <c r="Q166" s="4" t="s">
        <v>2049</v>
      </c>
      <c r="R166" s="4" t="s">
        <v>2038</v>
      </c>
      <c r="S166" s="3" t="s">
        <v>2050</v>
      </c>
      <c r="T166" s="5" t="str">
        <f t="shared" si="9"/>
        <v>Y</v>
      </c>
      <c r="W166" s="5" t="str">
        <f t="shared" si="10"/>
        <v>Y</v>
      </c>
      <c r="X166" s="4" t="s">
        <v>51</v>
      </c>
      <c r="Y166" s="3" t="s">
        <v>2051</v>
      </c>
      <c r="Z166" s="3" t="s">
        <v>2052</v>
      </c>
      <c r="AA166" s="4" t="s">
        <v>2053</v>
      </c>
      <c r="AB166" s="4" t="s">
        <v>2054</v>
      </c>
      <c r="AC166" s="5" t="s">
        <v>56</v>
      </c>
      <c r="AH166" s="5" t="str">
        <f t="shared" si="11"/>
        <v>Y</v>
      </c>
      <c r="AI166" s="3" t="s">
        <v>2055</v>
      </c>
      <c r="AJ166" s="3" t="s">
        <v>2056</v>
      </c>
      <c r="AK166" s="3" t="s">
        <v>2057</v>
      </c>
      <c r="AL166" s="3" t="s">
        <v>2058</v>
      </c>
      <c r="AM166" s="4" t="s">
        <v>62</v>
      </c>
      <c r="AP166" s="5">
        <v>1</v>
      </c>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row>
    <row r="167" ht="16.5" customHeight="1">
      <c r="A167" s="3" t="s">
        <v>2039</v>
      </c>
      <c r="B167" s="3" t="s">
        <v>2040</v>
      </c>
      <c r="C167" s="3" t="s">
        <v>2041</v>
      </c>
      <c r="D167" s="3" t="s">
        <v>1641</v>
      </c>
      <c r="E167" s="4" t="s">
        <v>2042</v>
      </c>
      <c r="F167" s="3">
        <v>9814</v>
      </c>
      <c r="H167" s="5" t="str">
        <f t="shared" si="8"/>
        <v>N</v>
      </c>
      <c r="I167" s="4" t="s">
        <v>2043</v>
      </c>
      <c r="J167" s="4" t="s">
        <v>2044</v>
      </c>
      <c r="K167" s="4" t="s">
        <v>2045</v>
      </c>
      <c r="L167" s="4" t="s">
        <v>2046</v>
      </c>
      <c r="M167" s="4" t="s">
        <v>2047</v>
      </c>
      <c r="N167" s="4" t="s">
        <v>93</v>
      </c>
      <c r="O167" s="4" t="s">
        <v>2048</v>
      </c>
      <c r="P167" s="4" t="s">
        <v>1819</v>
      </c>
      <c r="Q167" s="4" t="s">
        <v>2049</v>
      </c>
      <c r="R167" s="4" t="s">
        <v>2059</v>
      </c>
      <c r="S167" s="3" t="s">
        <v>2050</v>
      </c>
      <c r="T167" s="5" t="str">
        <f t="shared" si="9"/>
        <v>Y</v>
      </c>
      <c r="W167" s="5" t="str">
        <f t="shared" si="10"/>
        <v>Y</v>
      </c>
      <c r="X167" s="4" t="s">
        <v>51</v>
      </c>
      <c r="Y167" s="3" t="s">
        <v>2051</v>
      </c>
      <c r="Z167" s="3" t="s">
        <v>2052</v>
      </c>
      <c r="AA167" s="4" t="s">
        <v>2053</v>
      </c>
      <c r="AB167" s="4" t="s">
        <v>2054</v>
      </c>
      <c r="AC167" s="5" t="s">
        <v>56</v>
      </c>
      <c r="AH167" s="5" t="str">
        <f t="shared" si="11"/>
        <v>Y</v>
      </c>
      <c r="AI167" s="3" t="s">
        <v>2055</v>
      </c>
      <c r="AJ167" s="3" t="s">
        <v>2056</v>
      </c>
      <c r="AK167" s="3" t="s">
        <v>2057</v>
      </c>
      <c r="AL167" s="3" t="s">
        <v>2058</v>
      </c>
      <c r="AM167" s="4" t="s">
        <v>62</v>
      </c>
      <c r="AP167" s="5">
        <v>1</v>
      </c>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7"/>
      <c r="BZ167" s="7"/>
    </row>
    <row r="168" ht="16.5" customHeight="1">
      <c r="A168" s="3" t="s">
        <v>2060</v>
      </c>
      <c r="B168" s="3" t="s">
        <v>2061</v>
      </c>
      <c r="C168" s="3" t="s">
        <v>2062</v>
      </c>
      <c r="D168" s="3" t="s">
        <v>1641</v>
      </c>
      <c r="E168" s="4" t="s">
        <v>2042</v>
      </c>
      <c r="F168" s="3">
        <v>8904</v>
      </c>
      <c r="H168" s="5" t="str">
        <f t="shared" si="8"/>
        <v>N</v>
      </c>
      <c r="I168" s="4" t="s">
        <v>2063</v>
      </c>
      <c r="J168" s="4" t="s">
        <v>2064</v>
      </c>
      <c r="K168" s="4" t="s">
        <v>2065</v>
      </c>
      <c r="L168" s="4" t="s">
        <v>2044</v>
      </c>
      <c r="M168" s="4" t="s">
        <v>2066</v>
      </c>
      <c r="N168" s="4" t="s">
        <v>93</v>
      </c>
      <c r="O168" s="4" t="s">
        <v>2067</v>
      </c>
      <c r="P168" s="4" t="s">
        <v>2068</v>
      </c>
      <c r="Q168" s="4" t="s">
        <v>2069</v>
      </c>
      <c r="R168" s="4" t="s">
        <v>2070</v>
      </c>
      <c r="S168" s="3" t="s">
        <v>2071</v>
      </c>
      <c r="T168" s="5" t="str">
        <f t="shared" si="9"/>
        <v>Y</v>
      </c>
      <c r="W168" s="5" t="str">
        <f t="shared" si="10"/>
        <v>Y</v>
      </c>
      <c r="X168" s="4" t="s">
        <v>51</v>
      </c>
      <c r="Y168" s="3" t="s">
        <v>2072</v>
      </c>
      <c r="Z168" s="3" t="s">
        <v>2073</v>
      </c>
      <c r="AA168" s="4" t="s">
        <v>2074</v>
      </c>
      <c r="AB168" s="4" t="s">
        <v>2075</v>
      </c>
      <c r="AC168" s="5" t="s">
        <v>56</v>
      </c>
      <c r="AH168" s="5" t="str">
        <f t="shared" si="11"/>
        <v>Y</v>
      </c>
      <c r="AI168" s="3" t="s">
        <v>2076</v>
      </c>
      <c r="AJ168" s="3" t="s">
        <v>2077</v>
      </c>
      <c r="AK168" s="3" t="s">
        <v>2078</v>
      </c>
      <c r="AL168" s="3" t="s">
        <v>2079</v>
      </c>
      <c r="AM168" s="4" t="s">
        <v>62</v>
      </c>
      <c r="AP168" s="5">
        <v>1</v>
      </c>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row>
    <row r="169" ht="16.5" customHeight="1">
      <c r="A169" s="3" t="s">
        <v>2060</v>
      </c>
      <c r="B169" s="3" t="s">
        <v>2061</v>
      </c>
      <c r="C169" s="3" t="s">
        <v>2062</v>
      </c>
      <c r="D169" s="3" t="s">
        <v>1641</v>
      </c>
      <c r="E169" s="4" t="s">
        <v>2042</v>
      </c>
      <c r="F169" s="3">
        <v>8904</v>
      </c>
      <c r="H169" s="5" t="str">
        <f t="shared" si="8"/>
        <v>N</v>
      </c>
      <c r="I169" s="4" t="s">
        <v>2063</v>
      </c>
      <c r="J169" s="4" t="s">
        <v>2064</v>
      </c>
      <c r="K169" s="4" t="s">
        <v>2065</v>
      </c>
      <c r="L169" s="4" t="s">
        <v>2044</v>
      </c>
      <c r="M169" s="4" t="s">
        <v>2066</v>
      </c>
      <c r="N169" s="4" t="s">
        <v>93</v>
      </c>
      <c r="O169" s="4" t="s">
        <v>2067</v>
      </c>
      <c r="P169" s="4" t="s">
        <v>2068</v>
      </c>
      <c r="Q169" s="4" t="s">
        <v>2069</v>
      </c>
      <c r="R169" s="4" t="s">
        <v>2080</v>
      </c>
      <c r="S169" s="3" t="s">
        <v>2071</v>
      </c>
      <c r="T169" s="5" t="str">
        <f t="shared" si="9"/>
        <v>Y</v>
      </c>
      <c r="W169" s="5" t="str">
        <f t="shared" si="10"/>
        <v>Y</v>
      </c>
      <c r="X169" s="4" t="s">
        <v>51</v>
      </c>
      <c r="Y169" s="3" t="s">
        <v>2072</v>
      </c>
      <c r="Z169" s="3" t="s">
        <v>2073</v>
      </c>
      <c r="AA169" s="4" t="s">
        <v>2074</v>
      </c>
      <c r="AB169" s="4" t="s">
        <v>2075</v>
      </c>
      <c r="AC169" s="5" t="s">
        <v>56</v>
      </c>
      <c r="AH169" s="5" t="str">
        <f t="shared" si="11"/>
        <v>Y</v>
      </c>
      <c r="AI169" s="3" t="s">
        <v>2076</v>
      </c>
      <c r="AJ169" s="3" t="s">
        <v>2077</v>
      </c>
      <c r="AK169" s="3" t="s">
        <v>2078</v>
      </c>
      <c r="AL169" s="3" t="s">
        <v>2079</v>
      </c>
      <c r="AM169" s="4" t="s">
        <v>62</v>
      </c>
      <c r="AP169" s="5">
        <v>1</v>
      </c>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7"/>
      <c r="BZ169" s="7"/>
    </row>
    <row r="170" ht="16.5" customHeight="1">
      <c r="A170" s="3" t="s">
        <v>2081</v>
      </c>
      <c r="B170" s="3" t="s">
        <v>2082</v>
      </c>
      <c r="C170" s="3" t="s">
        <v>2083</v>
      </c>
      <c r="D170" s="3" t="s">
        <v>1641</v>
      </c>
      <c r="E170" s="4" t="s">
        <v>2042</v>
      </c>
      <c r="F170" s="3">
        <v>8811</v>
      </c>
      <c r="H170" s="5" t="str">
        <f t="shared" si="8"/>
        <v>N</v>
      </c>
      <c r="I170" s="4" t="s">
        <v>2084</v>
      </c>
      <c r="J170" s="4" t="s">
        <v>2044</v>
      </c>
      <c r="K170" s="4" t="s">
        <v>2085</v>
      </c>
      <c r="L170" s="4" t="s">
        <v>480</v>
      </c>
      <c r="M170" s="4" t="s">
        <v>2086</v>
      </c>
      <c r="N170" s="4" t="s">
        <v>2046</v>
      </c>
      <c r="O170" s="4" t="s">
        <v>2087</v>
      </c>
      <c r="P170" s="4" t="s">
        <v>1819</v>
      </c>
      <c r="Q170" s="4" t="s">
        <v>2088</v>
      </c>
      <c r="R170" s="4" t="s">
        <v>2089</v>
      </c>
      <c r="S170" s="3" t="s">
        <v>2090</v>
      </c>
      <c r="T170" s="5" t="str">
        <f t="shared" si="9"/>
        <v>Y</v>
      </c>
      <c r="W170" s="5" t="str">
        <f t="shared" si="10"/>
        <v>Y</v>
      </c>
      <c r="X170" s="4" t="s">
        <v>51</v>
      </c>
      <c r="Y170" s="3" t="s">
        <v>2091</v>
      </c>
      <c r="Z170" s="3" t="s">
        <v>2092</v>
      </c>
      <c r="AA170" s="4" t="s">
        <v>2093</v>
      </c>
      <c r="AB170" s="4" t="s">
        <v>2094</v>
      </c>
      <c r="AC170" s="5" t="s">
        <v>56</v>
      </c>
      <c r="AH170" s="5" t="str">
        <f t="shared" si="11"/>
        <v>Y</v>
      </c>
      <c r="AI170" s="3" t="s">
        <v>2095</v>
      </c>
      <c r="AJ170" s="3" t="s">
        <v>2096</v>
      </c>
      <c r="AK170" s="3" t="s">
        <v>2097</v>
      </c>
      <c r="AL170" s="3" t="s">
        <v>2098</v>
      </c>
      <c r="AM170" s="4" t="s">
        <v>62</v>
      </c>
      <c r="AP170" s="5">
        <v>1</v>
      </c>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7"/>
      <c r="BV170" s="7"/>
      <c r="BW170" s="7"/>
      <c r="BX170" s="7"/>
      <c r="BY170" s="7"/>
      <c r="BZ170" s="7"/>
    </row>
    <row r="171" ht="16.5" customHeight="1">
      <c r="A171" s="3" t="s">
        <v>2081</v>
      </c>
      <c r="B171" s="3" t="s">
        <v>2082</v>
      </c>
      <c r="C171" s="3" t="s">
        <v>2083</v>
      </c>
      <c r="D171" s="3" t="s">
        <v>1641</v>
      </c>
      <c r="E171" s="4" t="s">
        <v>2042</v>
      </c>
      <c r="F171" s="3">
        <v>8811</v>
      </c>
      <c r="H171" s="5" t="str">
        <f t="shared" si="8"/>
        <v>N</v>
      </c>
      <c r="I171" s="4" t="s">
        <v>2084</v>
      </c>
      <c r="J171" s="4" t="s">
        <v>2044</v>
      </c>
      <c r="K171" s="4" t="s">
        <v>2085</v>
      </c>
      <c r="L171" s="4" t="s">
        <v>480</v>
      </c>
      <c r="M171" s="4" t="s">
        <v>2086</v>
      </c>
      <c r="N171" s="4" t="s">
        <v>2046</v>
      </c>
      <c r="O171" s="4" t="s">
        <v>2087</v>
      </c>
      <c r="P171" s="4" t="s">
        <v>1819</v>
      </c>
      <c r="Q171" s="4" t="s">
        <v>2088</v>
      </c>
      <c r="R171" s="4" t="s">
        <v>2089</v>
      </c>
      <c r="S171" s="3" t="s">
        <v>2090</v>
      </c>
      <c r="T171" s="5" t="str">
        <f t="shared" si="9"/>
        <v>Y</v>
      </c>
      <c r="W171" s="5" t="str">
        <f t="shared" si="10"/>
        <v>Y</v>
      </c>
      <c r="X171" s="4" t="s">
        <v>51</v>
      </c>
      <c r="Y171" s="3" t="s">
        <v>2091</v>
      </c>
      <c r="Z171" s="3" t="s">
        <v>2092</v>
      </c>
      <c r="AA171" s="4" t="s">
        <v>2093</v>
      </c>
      <c r="AB171" s="4" t="s">
        <v>2094</v>
      </c>
      <c r="AC171" s="5" t="s">
        <v>56</v>
      </c>
      <c r="AH171" s="5" t="str">
        <f t="shared" si="11"/>
        <v>Y</v>
      </c>
      <c r="AI171" s="3" t="s">
        <v>2095</v>
      </c>
      <c r="AJ171" s="3" t="s">
        <v>2096</v>
      </c>
      <c r="AK171" s="3" t="s">
        <v>2097</v>
      </c>
      <c r="AL171" s="3" t="s">
        <v>2098</v>
      </c>
      <c r="AM171" s="4" t="s">
        <v>62</v>
      </c>
      <c r="AP171" s="5">
        <v>1</v>
      </c>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7"/>
      <c r="BZ171" s="7"/>
    </row>
    <row r="172" ht="16.5" customHeight="1">
      <c r="A172" s="3" t="s">
        <v>2099</v>
      </c>
      <c r="B172" s="3" t="s">
        <v>2100</v>
      </c>
      <c r="C172" s="3" t="s">
        <v>2101</v>
      </c>
      <c r="D172" s="3" t="s">
        <v>1641</v>
      </c>
      <c r="E172" s="4" t="s">
        <v>2102</v>
      </c>
      <c r="F172" s="3">
        <v>8134</v>
      </c>
      <c r="H172" s="5" t="str">
        <f t="shared" si="8"/>
        <v>N</v>
      </c>
      <c r="I172" s="4" t="s">
        <v>2103</v>
      </c>
      <c r="J172" s="4" t="s">
        <v>405</v>
      </c>
      <c r="K172" s="4" t="s">
        <v>2104</v>
      </c>
      <c r="L172" s="4" t="s">
        <v>2105</v>
      </c>
      <c r="M172" s="4" t="s">
        <v>2106</v>
      </c>
      <c r="N172" s="4" t="s">
        <v>241</v>
      </c>
      <c r="O172" s="4" t="s">
        <v>2107</v>
      </c>
      <c r="P172" s="4" t="s">
        <v>161</v>
      </c>
      <c r="Q172" s="4" t="s">
        <v>2108</v>
      </c>
      <c r="R172" s="4" t="s">
        <v>2109</v>
      </c>
      <c r="S172" s="3" t="s">
        <v>2110</v>
      </c>
      <c r="T172" s="5" t="str">
        <f t="shared" si="9"/>
        <v>Y</v>
      </c>
      <c r="W172" s="5" t="str">
        <f t="shared" si="10"/>
        <v>Y</v>
      </c>
      <c r="X172" s="4" t="s">
        <v>51</v>
      </c>
      <c r="Y172" s="3" t="s">
        <v>2111</v>
      </c>
      <c r="Z172" s="3" t="s">
        <v>2112</v>
      </c>
      <c r="AA172" s="4" t="s">
        <v>2113</v>
      </c>
      <c r="AB172" s="4" t="s">
        <v>2114</v>
      </c>
      <c r="AC172" s="5" t="s">
        <v>56</v>
      </c>
      <c r="AH172" s="5" t="str">
        <f t="shared" si="11"/>
        <v>Y</v>
      </c>
      <c r="AI172" s="3" t="s">
        <v>2115</v>
      </c>
      <c r="AJ172" s="3" t="s">
        <v>2116</v>
      </c>
      <c r="AK172" s="3" t="s">
        <v>2117</v>
      </c>
      <c r="AL172" s="3" t="s">
        <v>2118</v>
      </c>
      <c r="AM172" s="4" t="s">
        <v>62</v>
      </c>
      <c r="AP172" s="5">
        <v>1</v>
      </c>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7"/>
      <c r="BV172" s="7"/>
      <c r="BW172" s="7"/>
      <c r="BX172" s="7"/>
      <c r="BY172" s="7"/>
      <c r="BZ172" s="7"/>
    </row>
    <row r="173" ht="16.5" customHeight="1">
      <c r="A173" s="3" t="s">
        <v>2119</v>
      </c>
      <c r="B173" s="3" t="s">
        <v>2100</v>
      </c>
      <c r="C173" s="3" t="s">
        <v>2120</v>
      </c>
      <c r="D173" s="3" t="s">
        <v>1641</v>
      </c>
      <c r="E173" s="4" t="s">
        <v>2102</v>
      </c>
      <c r="F173" s="3">
        <v>8133</v>
      </c>
      <c r="H173" s="5" t="str">
        <f t="shared" si="8"/>
        <v>N</v>
      </c>
      <c r="I173" s="4" t="s">
        <v>2121</v>
      </c>
      <c r="J173" s="4" t="s">
        <v>405</v>
      </c>
      <c r="K173" s="4" t="s">
        <v>2104</v>
      </c>
      <c r="L173" s="4" t="s">
        <v>2105</v>
      </c>
      <c r="M173" s="4" t="s">
        <v>2106</v>
      </c>
      <c r="N173" s="4" t="s">
        <v>241</v>
      </c>
      <c r="O173" s="4" t="s">
        <v>2107</v>
      </c>
      <c r="P173" s="4" t="s">
        <v>161</v>
      </c>
      <c r="Q173" s="4" t="s">
        <v>2108</v>
      </c>
      <c r="R173" s="4" t="s">
        <v>2109</v>
      </c>
      <c r="S173" s="3" t="s">
        <v>2110</v>
      </c>
      <c r="T173" s="5" t="str">
        <f t="shared" si="9"/>
        <v>Y</v>
      </c>
      <c r="W173" s="5" t="str">
        <f t="shared" si="10"/>
        <v>Y</v>
      </c>
      <c r="X173" s="4" t="s">
        <v>51</v>
      </c>
      <c r="Y173" s="3" t="s">
        <v>2111</v>
      </c>
      <c r="Z173" s="3" t="s">
        <v>2112</v>
      </c>
      <c r="AA173" s="4" t="s">
        <v>2113</v>
      </c>
      <c r="AB173" s="4" t="s">
        <v>2114</v>
      </c>
      <c r="AC173" s="5" t="s">
        <v>56</v>
      </c>
      <c r="AH173" s="5" t="str">
        <f t="shared" si="11"/>
        <v>Y</v>
      </c>
      <c r="AI173" s="3" t="s">
        <v>2115</v>
      </c>
      <c r="AJ173" s="3" t="s">
        <v>2116</v>
      </c>
      <c r="AK173" s="3" t="s">
        <v>2117</v>
      </c>
      <c r="AL173" s="3" t="s">
        <v>2118</v>
      </c>
      <c r="AM173" s="4" t="s">
        <v>62</v>
      </c>
      <c r="AP173" s="5">
        <v>1</v>
      </c>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row>
    <row r="174" ht="16.5" customHeight="1">
      <c r="A174" s="3" t="s">
        <v>2122</v>
      </c>
      <c r="B174" s="3" t="s">
        <v>2123</v>
      </c>
      <c r="C174" s="3" t="s">
        <v>2124</v>
      </c>
      <c r="D174" s="3" t="s">
        <v>1641</v>
      </c>
      <c r="E174" s="4" t="s">
        <v>2102</v>
      </c>
      <c r="F174" s="3">
        <v>8147</v>
      </c>
      <c r="H174" s="5" t="str">
        <f t="shared" si="8"/>
        <v>N</v>
      </c>
      <c r="I174" s="4" t="s">
        <v>2125</v>
      </c>
      <c r="J174" s="4" t="s">
        <v>405</v>
      </c>
      <c r="K174" s="4" t="s">
        <v>2126</v>
      </c>
      <c r="L174" s="4" t="s">
        <v>2105</v>
      </c>
      <c r="M174" s="4" t="s">
        <v>2127</v>
      </c>
      <c r="N174" s="4" t="s">
        <v>241</v>
      </c>
      <c r="O174" s="4" t="s">
        <v>2128</v>
      </c>
      <c r="P174" s="4" t="s">
        <v>1857</v>
      </c>
      <c r="Q174" s="4" t="s">
        <v>2129</v>
      </c>
      <c r="R174" s="4" t="s">
        <v>2130</v>
      </c>
      <c r="S174" s="3" t="s">
        <v>2110</v>
      </c>
      <c r="T174" s="5" t="str">
        <f t="shared" si="9"/>
        <v>Y</v>
      </c>
      <c r="W174" s="5" t="str">
        <f t="shared" si="10"/>
        <v>Y</v>
      </c>
      <c r="X174" s="4" t="s">
        <v>51</v>
      </c>
      <c r="Y174" s="3" t="s">
        <v>2131</v>
      </c>
      <c r="Z174" s="3" t="s">
        <v>2132</v>
      </c>
      <c r="AA174" s="4" t="s">
        <v>2133</v>
      </c>
      <c r="AB174" s="4" t="s">
        <v>2134</v>
      </c>
      <c r="AC174" s="5" t="s">
        <v>56</v>
      </c>
      <c r="AH174" s="5" t="str">
        <f t="shared" si="11"/>
        <v>Y</v>
      </c>
      <c r="AI174" s="3" t="s">
        <v>2115</v>
      </c>
      <c r="AJ174" s="3" t="s">
        <v>2135</v>
      </c>
      <c r="AK174" s="3" t="s">
        <v>2136</v>
      </c>
      <c r="AL174" s="3" t="s">
        <v>2137</v>
      </c>
      <c r="AM174" s="4" t="s">
        <v>62</v>
      </c>
      <c r="AP174" s="5">
        <v>1</v>
      </c>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row>
    <row r="175" ht="16.5" customHeight="1">
      <c r="A175" s="3" t="s">
        <v>2122</v>
      </c>
      <c r="B175" s="3" t="s">
        <v>2123</v>
      </c>
      <c r="C175" s="3" t="s">
        <v>2124</v>
      </c>
      <c r="D175" s="3" t="s">
        <v>1641</v>
      </c>
      <c r="E175" s="4" t="s">
        <v>2102</v>
      </c>
      <c r="F175" s="3">
        <v>8147</v>
      </c>
      <c r="H175" s="5" t="str">
        <f t="shared" si="8"/>
        <v>N</v>
      </c>
      <c r="I175" s="4" t="s">
        <v>2125</v>
      </c>
      <c r="J175" s="4" t="s">
        <v>405</v>
      </c>
      <c r="K175" s="4" t="s">
        <v>2126</v>
      </c>
      <c r="L175" s="4" t="s">
        <v>2105</v>
      </c>
      <c r="M175" s="4" t="s">
        <v>2127</v>
      </c>
      <c r="N175" s="4" t="s">
        <v>241</v>
      </c>
      <c r="O175" s="4" t="s">
        <v>2128</v>
      </c>
      <c r="P175" s="4" t="s">
        <v>1857</v>
      </c>
      <c r="Q175" s="4" t="s">
        <v>2129</v>
      </c>
      <c r="R175" s="4" t="s">
        <v>2130</v>
      </c>
      <c r="S175" s="3" t="s">
        <v>2110</v>
      </c>
      <c r="T175" s="5" t="str">
        <f t="shared" si="9"/>
        <v>Y</v>
      </c>
      <c r="W175" s="5" t="str">
        <f t="shared" si="10"/>
        <v>Y</v>
      </c>
      <c r="X175" s="4" t="s">
        <v>51</v>
      </c>
      <c r="Y175" s="3" t="s">
        <v>2131</v>
      </c>
      <c r="Z175" s="3" t="s">
        <v>2132</v>
      </c>
      <c r="AA175" s="4" t="s">
        <v>2133</v>
      </c>
      <c r="AB175" s="4" t="s">
        <v>2134</v>
      </c>
      <c r="AC175" s="5" t="s">
        <v>56</v>
      </c>
      <c r="AH175" s="5" t="str">
        <f t="shared" si="11"/>
        <v>Y</v>
      </c>
      <c r="AI175" s="3" t="s">
        <v>2115</v>
      </c>
      <c r="AJ175" s="3" t="s">
        <v>2135</v>
      </c>
      <c r="AK175" s="3" t="s">
        <v>2136</v>
      </c>
      <c r="AL175" s="3" t="s">
        <v>2137</v>
      </c>
      <c r="AM175" s="4" t="s">
        <v>62</v>
      </c>
      <c r="AP175" s="5">
        <v>1</v>
      </c>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row>
    <row r="176" ht="16.5" customHeight="1">
      <c r="A176" s="3" t="s">
        <v>2138</v>
      </c>
      <c r="B176" s="3" t="s">
        <v>2139</v>
      </c>
      <c r="C176" s="3" t="s">
        <v>2140</v>
      </c>
      <c r="D176" s="3" t="s">
        <v>2141</v>
      </c>
      <c r="E176" s="4" t="s">
        <v>1199</v>
      </c>
      <c r="F176" s="3">
        <v>2025</v>
      </c>
      <c r="H176" s="5" t="str">
        <f t="shared" si="8"/>
        <v>N</v>
      </c>
      <c r="I176" s="4" t="s">
        <v>2142</v>
      </c>
      <c r="J176" s="4" t="s">
        <v>1350</v>
      </c>
      <c r="K176" s="4" t="s">
        <v>2143</v>
      </c>
      <c r="L176" s="4" t="s">
        <v>2144</v>
      </c>
      <c r="M176" s="4" t="s">
        <v>2145</v>
      </c>
      <c r="N176" s="4" t="s">
        <v>161</v>
      </c>
      <c r="O176" s="4" t="s">
        <v>2146</v>
      </c>
      <c r="P176" s="4" t="s">
        <v>2147</v>
      </c>
      <c r="Q176" s="4" t="s">
        <v>2148</v>
      </c>
      <c r="R176" s="4" t="s">
        <v>2149</v>
      </c>
      <c r="S176" s="3" t="s">
        <v>428</v>
      </c>
      <c r="T176" s="5" t="str">
        <f t="shared" si="9"/>
        <v>Y</v>
      </c>
      <c r="W176" s="5" t="str">
        <f t="shared" si="10"/>
        <v>Y</v>
      </c>
      <c r="X176" s="4" t="s">
        <v>51</v>
      </c>
      <c r="Y176" s="4" t="s">
        <v>2150</v>
      </c>
      <c r="Z176" s="4" t="s">
        <v>2151</v>
      </c>
      <c r="AA176" s="4" t="s">
        <v>2152</v>
      </c>
      <c r="AB176" s="4" t="s">
        <v>2153</v>
      </c>
      <c r="AC176" s="5" t="s">
        <v>56</v>
      </c>
      <c r="AH176" s="5" t="str">
        <f t="shared" si="11"/>
        <v>Y</v>
      </c>
      <c r="AI176" s="4" t="s">
        <v>2154</v>
      </c>
      <c r="AJ176" s="4" t="s">
        <v>2155</v>
      </c>
      <c r="AK176" s="3" t="s">
        <v>2156</v>
      </c>
      <c r="AL176" s="3" t="s">
        <v>2157</v>
      </c>
      <c r="AM176" s="4" t="s">
        <v>62</v>
      </c>
      <c r="AP176" s="5">
        <v>1</v>
      </c>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row>
    <row r="177" ht="16.5" customHeight="1">
      <c r="A177" s="3" t="s">
        <v>2158</v>
      </c>
      <c r="B177" s="3" t="s">
        <v>2159</v>
      </c>
      <c r="C177" s="3" t="s">
        <v>2160</v>
      </c>
      <c r="D177" s="3" t="s">
        <v>2141</v>
      </c>
      <c r="E177" s="4" t="s">
        <v>1199</v>
      </c>
      <c r="F177" s="3">
        <v>3612</v>
      </c>
      <c r="H177" s="5" t="str">
        <f t="shared" si="8"/>
        <v>N</v>
      </c>
      <c r="I177" s="4" t="s">
        <v>2161</v>
      </c>
      <c r="J177" s="4" t="s">
        <v>2162</v>
      </c>
      <c r="K177" s="4" t="s">
        <v>2163</v>
      </c>
      <c r="L177" s="4" t="s">
        <v>2164</v>
      </c>
      <c r="M177" s="4" t="s">
        <v>2165</v>
      </c>
      <c r="N177" s="4" t="s">
        <v>2166</v>
      </c>
      <c r="O177" s="4" t="s">
        <v>2167</v>
      </c>
      <c r="P177" s="4" t="s">
        <v>2168</v>
      </c>
      <c r="Q177" s="4" t="s">
        <v>2169</v>
      </c>
      <c r="R177" s="4" t="s">
        <v>2170</v>
      </c>
      <c r="S177" s="3" t="s">
        <v>428</v>
      </c>
      <c r="T177" s="5" t="str">
        <f t="shared" si="9"/>
        <v>Y</v>
      </c>
      <c r="W177" s="5" t="str">
        <f t="shared" si="10"/>
        <v>Y</v>
      </c>
      <c r="X177" s="4" t="s">
        <v>51</v>
      </c>
      <c r="Y177" s="4" t="s">
        <v>2171</v>
      </c>
      <c r="Z177" s="4" t="s">
        <v>2172</v>
      </c>
      <c r="AA177" s="4" t="s">
        <v>2173</v>
      </c>
      <c r="AB177" s="4" t="s">
        <v>2174</v>
      </c>
      <c r="AC177" s="5" t="s">
        <v>56</v>
      </c>
      <c r="AH177" s="5" t="str">
        <f t="shared" si="11"/>
        <v>Y</v>
      </c>
      <c r="AI177" s="4" t="s">
        <v>2175</v>
      </c>
      <c r="AJ177" s="4" t="s">
        <v>2176</v>
      </c>
      <c r="AK177" s="3" t="s">
        <v>2177</v>
      </c>
      <c r="AL177" s="3" t="s">
        <v>2178</v>
      </c>
      <c r="AM177" s="4" t="s">
        <v>62</v>
      </c>
      <c r="AP177" s="5">
        <v>1</v>
      </c>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7"/>
      <c r="BV177" s="7"/>
      <c r="BW177" s="7"/>
      <c r="BX177" s="7"/>
      <c r="BY177" s="7"/>
      <c r="BZ177" s="7"/>
    </row>
    <row r="178" ht="16.5" customHeight="1">
      <c r="A178" s="3" t="s">
        <v>2179</v>
      </c>
      <c r="B178" s="3" t="s">
        <v>2180</v>
      </c>
      <c r="C178" s="3" t="s">
        <v>2181</v>
      </c>
      <c r="D178" s="3" t="s">
        <v>2141</v>
      </c>
      <c r="E178" s="4" t="s">
        <v>2182</v>
      </c>
      <c r="F178" s="3">
        <v>7229</v>
      </c>
      <c r="H178" s="5" t="str">
        <f t="shared" si="8"/>
        <v>N</v>
      </c>
      <c r="I178" s="4" t="s">
        <v>2183</v>
      </c>
      <c r="J178" s="4" t="s">
        <v>1857</v>
      </c>
      <c r="K178" s="4" t="s">
        <v>2184</v>
      </c>
      <c r="L178" s="4" t="s">
        <v>738</v>
      </c>
      <c r="M178" s="4" t="s">
        <v>2185</v>
      </c>
      <c r="N178" s="4" t="s">
        <v>161</v>
      </c>
      <c r="O178" s="4" t="s">
        <v>2186</v>
      </c>
      <c r="P178" s="4" t="s">
        <v>480</v>
      </c>
      <c r="Q178" s="4" t="s">
        <v>2187</v>
      </c>
      <c r="R178" s="4" t="s">
        <v>2188</v>
      </c>
      <c r="S178" s="3" t="s">
        <v>428</v>
      </c>
      <c r="T178" s="5" t="str">
        <f t="shared" si="9"/>
        <v>Y</v>
      </c>
      <c r="W178" s="5" t="str">
        <f t="shared" si="10"/>
        <v>Y</v>
      </c>
      <c r="X178" s="4" t="s">
        <v>51</v>
      </c>
      <c r="Y178" s="4" t="s">
        <v>2189</v>
      </c>
      <c r="Z178" s="4" t="s">
        <v>2190</v>
      </c>
      <c r="AA178" s="4" t="s">
        <v>2191</v>
      </c>
      <c r="AB178" s="4" t="s">
        <v>2192</v>
      </c>
      <c r="AC178" s="5" t="s">
        <v>56</v>
      </c>
      <c r="AH178" s="5" t="str">
        <f t="shared" si="11"/>
        <v>Y</v>
      </c>
      <c r="AI178" s="4" t="s">
        <v>2193</v>
      </c>
      <c r="AJ178" s="4" t="s">
        <v>2194</v>
      </c>
      <c r="AK178" s="3" t="s">
        <v>2195</v>
      </c>
      <c r="AL178" s="3" t="s">
        <v>2196</v>
      </c>
      <c r="AM178" s="4" t="s">
        <v>62</v>
      </c>
      <c r="AP178" s="5">
        <v>1</v>
      </c>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7"/>
      <c r="BZ178" s="7"/>
    </row>
    <row r="179" ht="16.5" customHeight="1">
      <c r="A179" s="3" t="s">
        <v>2197</v>
      </c>
      <c r="B179" s="3" t="s">
        <v>2198</v>
      </c>
      <c r="C179" s="3" t="s">
        <v>2199</v>
      </c>
      <c r="D179" s="3" t="s">
        <v>2200</v>
      </c>
      <c r="E179" s="4" t="s">
        <v>2201</v>
      </c>
      <c r="F179" s="3">
        <v>10455</v>
      </c>
      <c r="H179" s="5" t="str">
        <f t="shared" si="8"/>
        <v>N</v>
      </c>
      <c r="I179" s="4" t="s">
        <v>2202</v>
      </c>
      <c r="J179" s="4" t="s">
        <v>405</v>
      </c>
      <c r="K179" s="4" t="s">
        <v>2203</v>
      </c>
      <c r="L179" s="4" t="s">
        <v>577</v>
      </c>
      <c r="M179" s="4" t="s">
        <v>2204</v>
      </c>
      <c r="N179" s="4" t="s">
        <v>892</v>
      </c>
      <c r="O179" s="4" t="s">
        <v>2205</v>
      </c>
      <c r="P179" s="4" t="s">
        <v>2206</v>
      </c>
      <c r="Q179" s="4" t="s">
        <v>2207</v>
      </c>
      <c r="R179" s="4" t="s">
        <v>2208</v>
      </c>
      <c r="S179" s="3" t="s">
        <v>428</v>
      </c>
      <c r="T179" s="5" t="str">
        <f t="shared" si="9"/>
        <v>Y</v>
      </c>
      <c r="W179" s="5" t="str">
        <f t="shared" si="10"/>
        <v>Y</v>
      </c>
      <c r="X179" s="4" t="s">
        <v>51</v>
      </c>
      <c r="Y179" s="4" t="s">
        <v>2209</v>
      </c>
      <c r="Z179" s="4" t="s">
        <v>2210</v>
      </c>
      <c r="AA179" s="4" t="s">
        <v>2211</v>
      </c>
      <c r="AB179" s="4" t="s">
        <v>2212</v>
      </c>
      <c r="AC179" s="5" t="s">
        <v>56</v>
      </c>
      <c r="AH179" s="5" t="str">
        <f t="shared" si="11"/>
        <v>Y</v>
      </c>
      <c r="AI179" s="4" t="s">
        <v>2213</v>
      </c>
      <c r="AJ179" s="4" t="s">
        <v>2214</v>
      </c>
      <c r="AK179" s="3" t="s">
        <v>2215</v>
      </c>
      <c r="AL179" s="3" t="s">
        <v>2216</v>
      </c>
      <c r="AM179" s="4" t="s">
        <v>62</v>
      </c>
      <c r="AP179" s="5">
        <v>1</v>
      </c>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c r="BZ179" s="7"/>
    </row>
    <row r="180" ht="16.5" customHeight="1">
      <c r="A180" s="3" t="s">
        <v>2217</v>
      </c>
      <c r="B180" s="3" t="s">
        <v>2218</v>
      </c>
      <c r="C180" s="3" t="s">
        <v>2199</v>
      </c>
      <c r="D180" s="3" t="s">
        <v>2200</v>
      </c>
      <c r="E180" s="4" t="s">
        <v>2201</v>
      </c>
      <c r="F180" s="3">
        <v>4278</v>
      </c>
      <c r="H180" s="5" t="str">
        <f t="shared" si="8"/>
        <v>N</v>
      </c>
      <c r="I180" s="4" t="s">
        <v>2219</v>
      </c>
      <c r="J180" s="4" t="s">
        <v>2044</v>
      </c>
      <c r="K180" s="4" t="s">
        <v>2220</v>
      </c>
      <c r="L180" s="4" t="s">
        <v>577</v>
      </c>
      <c r="M180" s="4" t="s">
        <v>2221</v>
      </c>
      <c r="N180" s="4" t="s">
        <v>2206</v>
      </c>
      <c r="O180" s="4" t="s">
        <v>2222</v>
      </c>
      <c r="P180" s="4" t="s">
        <v>116</v>
      </c>
      <c r="Q180" s="4" t="s">
        <v>2223</v>
      </c>
      <c r="R180" s="4" t="s">
        <v>2224</v>
      </c>
      <c r="S180" s="3" t="s">
        <v>878</v>
      </c>
      <c r="T180" s="5" t="str">
        <f t="shared" si="9"/>
        <v>Y</v>
      </c>
      <c r="W180" s="5" t="str">
        <f t="shared" si="10"/>
        <v>Y</v>
      </c>
      <c r="X180" s="4" t="s">
        <v>51</v>
      </c>
      <c r="Y180" s="4" t="s">
        <v>2225</v>
      </c>
      <c r="Z180" s="4" t="s">
        <v>2226</v>
      </c>
      <c r="AA180" s="4" t="s">
        <v>2227</v>
      </c>
      <c r="AB180" s="4" t="s">
        <v>2228</v>
      </c>
      <c r="AC180" s="5" t="s">
        <v>56</v>
      </c>
      <c r="AH180" s="5" t="str">
        <f t="shared" si="11"/>
        <v>Y</v>
      </c>
      <c r="AI180" s="4" t="s">
        <v>2229</v>
      </c>
      <c r="AJ180" s="4" t="s">
        <v>2230</v>
      </c>
      <c r="AK180" s="3" t="s">
        <v>2231</v>
      </c>
      <c r="AL180" s="3" t="s">
        <v>2232</v>
      </c>
      <c r="AM180" s="4" t="s">
        <v>62</v>
      </c>
      <c r="AP180" s="5">
        <v>1</v>
      </c>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c r="BZ180" s="7"/>
    </row>
    <row r="181" ht="16.5" customHeight="1">
      <c r="A181" s="3" t="s">
        <v>2217</v>
      </c>
      <c r="B181" s="3" t="s">
        <v>2218</v>
      </c>
      <c r="C181" s="3" t="s">
        <v>2199</v>
      </c>
      <c r="D181" s="3" t="s">
        <v>2200</v>
      </c>
      <c r="E181" s="4" t="s">
        <v>2201</v>
      </c>
      <c r="F181" s="3">
        <v>4278</v>
      </c>
      <c r="H181" s="5" t="str">
        <f t="shared" si="8"/>
        <v>N</v>
      </c>
      <c r="I181" s="4" t="s">
        <v>2219</v>
      </c>
      <c r="J181" s="4" t="s">
        <v>405</v>
      </c>
      <c r="K181" s="4" t="s">
        <v>2233</v>
      </c>
      <c r="L181" s="4" t="s">
        <v>577</v>
      </c>
      <c r="M181" s="4" t="s">
        <v>2234</v>
      </c>
      <c r="N181" s="4" t="s">
        <v>2235</v>
      </c>
      <c r="O181" s="4" t="s">
        <v>2236</v>
      </c>
      <c r="P181" s="4" t="s">
        <v>2237</v>
      </c>
      <c r="Q181" s="4" t="s">
        <v>2238</v>
      </c>
      <c r="R181" s="4" t="s">
        <v>2239</v>
      </c>
      <c r="S181" s="3" t="s">
        <v>823</v>
      </c>
      <c r="T181" s="5" t="str">
        <f t="shared" si="9"/>
        <v>Y</v>
      </c>
      <c r="W181" s="5" t="str">
        <f t="shared" si="10"/>
        <v>Y</v>
      </c>
      <c r="X181" s="4" t="s">
        <v>51</v>
      </c>
      <c r="Y181" s="4" t="s">
        <v>2240</v>
      </c>
      <c r="Z181" s="4" t="s">
        <v>2241</v>
      </c>
      <c r="AA181" s="4" t="s">
        <v>2242</v>
      </c>
      <c r="AB181" s="4" t="s">
        <v>2243</v>
      </c>
      <c r="AC181" s="5" t="s">
        <v>56</v>
      </c>
      <c r="AH181" s="5" t="str">
        <f t="shared" si="11"/>
        <v>Y</v>
      </c>
      <c r="AI181" s="4" t="s">
        <v>2229</v>
      </c>
      <c r="AJ181" s="4" t="s">
        <v>2230</v>
      </c>
      <c r="AK181" s="3" t="s">
        <v>2244</v>
      </c>
      <c r="AL181" s="3" t="s">
        <v>2245</v>
      </c>
      <c r="AM181" s="4" t="s">
        <v>62</v>
      </c>
      <c r="AP181" s="5">
        <v>1</v>
      </c>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7"/>
      <c r="BV181" s="7"/>
      <c r="BW181" s="7"/>
      <c r="BX181" s="7"/>
      <c r="BY181" s="7"/>
      <c r="BZ181" s="7"/>
    </row>
    <row r="182" ht="16.5" customHeight="1">
      <c r="A182" s="3" t="s">
        <v>2246</v>
      </c>
      <c r="B182" s="3" t="s">
        <v>2247</v>
      </c>
      <c r="C182" s="3" t="s">
        <v>2248</v>
      </c>
      <c r="D182" s="3" t="s">
        <v>2200</v>
      </c>
      <c r="E182" s="4" t="s">
        <v>2201</v>
      </c>
      <c r="F182" s="3">
        <v>10211</v>
      </c>
      <c r="H182" s="5" t="str">
        <f t="shared" si="8"/>
        <v>N</v>
      </c>
      <c r="I182" s="4" t="s">
        <v>2249</v>
      </c>
      <c r="J182" s="4" t="s">
        <v>2250</v>
      </c>
      <c r="K182" s="4" t="s">
        <v>2251</v>
      </c>
      <c r="L182" s="4" t="s">
        <v>577</v>
      </c>
      <c r="M182" s="4" t="s">
        <v>2252</v>
      </c>
      <c r="N182" s="4" t="s">
        <v>596</v>
      </c>
      <c r="O182" s="4" t="s">
        <v>2253</v>
      </c>
      <c r="P182" s="4" t="s">
        <v>2254</v>
      </c>
      <c r="Q182" s="4" t="s">
        <v>2255</v>
      </c>
      <c r="R182" s="4" t="s">
        <v>2256</v>
      </c>
      <c r="S182" s="4" t="s">
        <v>203</v>
      </c>
      <c r="T182" s="5" t="str">
        <f t="shared" si="9"/>
        <v>Y</v>
      </c>
      <c r="W182" s="5" t="str">
        <f t="shared" si="10"/>
        <v>Y</v>
      </c>
      <c r="X182" s="4" t="s">
        <v>51</v>
      </c>
      <c r="Y182" s="4" t="s">
        <v>2240</v>
      </c>
      <c r="Z182" s="4" t="s">
        <v>2241</v>
      </c>
      <c r="AA182" s="4" t="s">
        <v>2257</v>
      </c>
      <c r="AB182" s="4" t="s">
        <v>2243</v>
      </c>
      <c r="AC182" s="5" t="s">
        <v>56</v>
      </c>
      <c r="AH182" s="5" t="str">
        <f t="shared" si="11"/>
        <v>Y</v>
      </c>
      <c r="AI182" s="4" t="s">
        <v>2258</v>
      </c>
      <c r="AJ182" s="8" t="s">
        <v>2259</v>
      </c>
      <c r="AK182" s="3" t="s">
        <v>2260</v>
      </c>
      <c r="AL182" s="3" t="s">
        <v>2261</v>
      </c>
      <c r="AM182" s="4" t="s">
        <v>62</v>
      </c>
      <c r="AP182" s="5">
        <v>1</v>
      </c>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7"/>
      <c r="BZ182" s="7"/>
    </row>
    <row r="183" ht="16.5" customHeight="1">
      <c r="A183" s="3" t="s">
        <v>2246</v>
      </c>
      <c r="B183" s="3" t="s">
        <v>2247</v>
      </c>
      <c r="C183" s="3" t="s">
        <v>2248</v>
      </c>
      <c r="D183" s="3" t="s">
        <v>2200</v>
      </c>
      <c r="E183" s="4" t="s">
        <v>2201</v>
      </c>
      <c r="F183" s="3">
        <v>10211</v>
      </c>
      <c r="H183" s="5" t="str">
        <f t="shared" si="8"/>
        <v>N</v>
      </c>
      <c r="I183" s="4" t="s">
        <v>2249</v>
      </c>
      <c r="J183" s="4" t="s">
        <v>2250</v>
      </c>
      <c r="K183" s="4" t="s">
        <v>2251</v>
      </c>
      <c r="L183" s="4" t="s">
        <v>577</v>
      </c>
      <c r="M183" s="4" t="s">
        <v>2252</v>
      </c>
      <c r="N183" s="4" t="s">
        <v>596</v>
      </c>
      <c r="O183" s="4" t="s">
        <v>2253</v>
      </c>
      <c r="P183" s="4" t="s">
        <v>2254</v>
      </c>
      <c r="Q183" s="4" t="s">
        <v>2255</v>
      </c>
      <c r="R183" s="4" t="s">
        <v>2256</v>
      </c>
      <c r="S183" s="4" t="s">
        <v>182</v>
      </c>
      <c r="T183" s="5" t="str">
        <f t="shared" si="9"/>
        <v>Y</v>
      </c>
      <c r="W183" s="5" t="str">
        <f t="shared" si="10"/>
        <v>Y</v>
      </c>
      <c r="X183" s="4" t="s">
        <v>51</v>
      </c>
      <c r="Y183" s="4" t="s">
        <v>2262</v>
      </c>
      <c r="Z183" s="4" t="s">
        <v>2263</v>
      </c>
      <c r="AA183" s="4" t="s">
        <v>2264</v>
      </c>
      <c r="AB183" s="4" t="s">
        <v>2265</v>
      </c>
      <c r="AC183" s="5" t="s">
        <v>56</v>
      </c>
      <c r="AH183" s="5" t="str">
        <f t="shared" si="11"/>
        <v>Y</v>
      </c>
      <c r="AI183" s="4" t="s">
        <v>2266</v>
      </c>
      <c r="AJ183" s="4" t="s">
        <v>2267</v>
      </c>
      <c r="AK183" s="3" t="s">
        <v>2260</v>
      </c>
      <c r="AL183" s="3" t="s">
        <v>2261</v>
      </c>
      <c r="AM183" s="4" t="s">
        <v>62</v>
      </c>
      <c r="AP183" s="5">
        <v>1</v>
      </c>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7"/>
      <c r="BZ183" s="7"/>
    </row>
    <row r="184" ht="16.5" customHeight="1">
      <c r="A184" s="3" t="s">
        <v>2268</v>
      </c>
      <c r="B184" s="3" t="s">
        <v>2269</v>
      </c>
      <c r="C184" s="3" t="s">
        <v>2270</v>
      </c>
      <c r="D184" s="3" t="s">
        <v>2200</v>
      </c>
      <c r="E184" s="4" t="s">
        <v>2271</v>
      </c>
      <c r="F184" s="3">
        <v>6460</v>
      </c>
      <c r="H184" s="5" t="str">
        <f t="shared" si="8"/>
        <v>N</v>
      </c>
      <c r="I184" s="4" t="s">
        <v>2272</v>
      </c>
      <c r="J184" s="4" t="s">
        <v>116</v>
      </c>
      <c r="K184" s="4" t="s">
        <v>2273</v>
      </c>
      <c r="L184" s="4" t="s">
        <v>2274</v>
      </c>
      <c r="M184" s="4" t="s">
        <v>2275</v>
      </c>
      <c r="N184" s="4" t="s">
        <v>2276</v>
      </c>
      <c r="O184" s="4" t="s">
        <v>2277</v>
      </c>
      <c r="P184" s="4" t="s">
        <v>2278</v>
      </c>
      <c r="Q184" s="4" t="s">
        <v>2279</v>
      </c>
      <c r="R184" s="4" t="s">
        <v>2280</v>
      </c>
      <c r="S184" s="3" t="s">
        <v>144</v>
      </c>
      <c r="T184" s="5" t="str">
        <f t="shared" si="9"/>
        <v>Y</v>
      </c>
      <c r="W184" s="5" t="str">
        <f t="shared" si="10"/>
        <v>Y</v>
      </c>
      <c r="X184" s="4" t="s">
        <v>51</v>
      </c>
      <c r="Y184" s="4" t="s">
        <v>2281</v>
      </c>
      <c r="Z184" s="4" t="s">
        <v>2282</v>
      </c>
      <c r="AA184" s="4" t="s">
        <v>2283</v>
      </c>
      <c r="AB184" s="4" t="s">
        <v>2284</v>
      </c>
      <c r="AC184" s="5" t="s">
        <v>56</v>
      </c>
      <c r="AH184" s="5" t="str">
        <f t="shared" si="11"/>
        <v>Y</v>
      </c>
      <c r="AI184" s="4" t="s">
        <v>2285</v>
      </c>
      <c r="AJ184" s="4" t="s">
        <v>2286</v>
      </c>
      <c r="AK184" s="3" t="s">
        <v>2287</v>
      </c>
      <c r="AL184" s="3" t="s">
        <v>2288</v>
      </c>
      <c r="AM184" s="4" t="s">
        <v>62</v>
      </c>
      <c r="AP184" s="5">
        <v>1</v>
      </c>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c r="BV184" s="7"/>
      <c r="BW184" s="7"/>
      <c r="BX184" s="7"/>
      <c r="BY184" s="7"/>
      <c r="BZ184" s="7"/>
    </row>
    <row r="185" ht="16.5" customHeight="1">
      <c r="A185" s="3" t="s">
        <v>2268</v>
      </c>
      <c r="B185" s="3" t="s">
        <v>2269</v>
      </c>
      <c r="C185" s="3" t="s">
        <v>2270</v>
      </c>
      <c r="D185" s="3" t="s">
        <v>2200</v>
      </c>
      <c r="E185" s="4" t="s">
        <v>2271</v>
      </c>
      <c r="F185" s="3">
        <v>6460</v>
      </c>
      <c r="H185" s="5" t="str">
        <f t="shared" si="8"/>
        <v>N</v>
      </c>
      <c r="I185" s="4" t="s">
        <v>2272</v>
      </c>
      <c r="J185" s="4" t="s">
        <v>116</v>
      </c>
      <c r="K185" s="4" t="s">
        <v>2273</v>
      </c>
      <c r="L185" s="4" t="s">
        <v>2274</v>
      </c>
      <c r="M185" s="4" t="s">
        <v>2275</v>
      </c>
      <c r="N185" s="4" t="s">
        <v>2276</v>
      </c>
      <c r="O185" s="4" t="s">
        <v>2277</v>
      </c>
      <c r="P185" s="4" t="s">
        <v>2278</v>
      </c>
      <c r="Q185" s="4" t="s">
        <v>2279</v>
      </c>
      <c r="R185" s="8" t="s">
        <v>2289</v>
      </c>
      <c r="S185" s="3" t="s">
        <v>428</v>
      </c>
      <c r="T185" s="5" t="str">
        <f t="shared" si="9"/>
        <v>Y</v>
      </c>
      <c r="W185" s="5" t="str">
        <f t="shared" si="10"/>
        <v>Y</v>
      </c>
      <c r="X185" s="4" t="s">
        <v>51</v>
      </c>
      <c r="Y185" s="4" t="s">
        <v>2290</v>
      </c>
      <c r="Z185" s="4" t="s">
        <v>2291</v>
      </c>
      <c r="AA185" s="4" t="s">
        <v>2292</v>
      </c>
      <c r="AB185" s="4" t="s">
        <v>2293</v>
      </c>
      <c r="AC185" s="5" t="s">
        <v>56</v>
      </c>
      <c r="AH185" s="5" t="str">
        <f t="shared" si="11"/>
        <v>Y</v>
      </c>
      <c r="AI185" s="4" t="s">
        <v>2285</v>
      </c>
      <c r="AJ185" s="4" t="s">
        <v>2286</v>
      </c>
      <c r="AK185" s="3" t="s">
        <v>2287</v>
      </c>
      <c r="AL185" s="3" t="s">
        <v>2288</v>
      </c>
      <c r="AM185" s="4" t="s">
        <v>62</v>
      </c>
      <c r="AP185" s="5">
        <v>1</v>
      </c>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7"/>
      <c r="BV185" s="7"/>
      <c r="BW185" s="7"/>
      <c r="BX185" s="7"/>
      <c r="BY185" s="7"/>
      <c r="BZ185" s="7"/>
    </row>
    <row r="186" ht="16.5" customHeight="1">
      <c r="A186" s="3" t="s">
        <v>2294</v>
      </c>
      <c r="B186" s="3" t="s">
        <v>2295</v>
      </c>
      <c r="C186" s="3" t="s">
        <v>2296</v>
      </c>
      <c r="D186" s="3" t="s">
        <v>2200</v>
      </c>
      <c r="E186" s="4" t="s">
        <v>2297</v>
      </c>
      <c r="F186" s="3">
        <v>6443</v>
      </c>
      <c r="H186" s="5" t="str">
        <f t="shared" si="8"/>
        <v>N</v>
      </c>
      <c r="I186" s="4" t="s">
        <v>2298</v>
      </c>
      <c r="J186" s="4" t="s">
        <v>1857</v>
      </c>
      <c r="K186" s="4" t="s">
        <v>2299</v>
      </c>
      <c r="L186" s="4" t="s">
        <v>577</v>
      </c>
      <c r="M186" s="4" t="s">
        <v>2300</v>
      </c>
      <c r="N186" s="4" t="s">
        <v>263</v>
      </c>
      <c r="O186" s="4" t="s">
        <v>2301</v>
      </c>
      <c r="P186" s="4" t="s">
        <v>2302</v>
      </c>
      <c r="Q186" s="4" t="s">
        <v>2303</v>
      </c>
      <c r="R186" s="4" t="s">
        <v>2304</v>
      </c>
      <c r="S186" s="3" t="s">
        <v>428</v>
      </c>
      <c r="T186" s="5" t="str">
        <f t="shared" si="9"/>
        <v>Y</v>
      </c>
      <c r="W186" s="5" t="str">
        <f t="shared" si="10"/>
        <v>Y</v>
      </c>
      <c r="X186" s="4" t="s">
        <v>51</v>
      </c>
      <c r="Y186" s="4" t="s">
        <v>2305</v>
      </c>
      <c r="Z186" s="4" t="s">
        <v>2306</v>
      </c>
      <c r="AA186" s="4" t="s">
        <v>2307</v>
      </c>
      <c r="AB186" s="4" t="s">
        <v>2308</v>
      </c>
      <c r="AC186" s="5" t="s">
        <v>56</v>
      </c>
      <c r="AH186" s="5" t="str">
        <f t="shared" si="11"/>
        <v>Y</v>
      </c>
      <c r="AI186" s="4" t="s">
        <v>2309</v>
      </c>
      <c r="AJ186" s="4" t="s">
        <v>2310</v>
      </c>
      <c r="AK186" s="3" t="s">
        <v>2311</v>
      </c>
      <c r="AL186" s="3" t="s">
        <v>2312</v>
      </c>
      <c r="AM186" s="4" t="s">
        <v>62</v>
      </c>
      <c r="AP186" s="5">
        <v>1</v>
      </c>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7"/>
      <c r="BZ186" s="7"/>
    </row>
    <row r="187" ht="16.5" customHeight="1">
      <c r="A187" s="3" t="s">
        <v>2313</v>
      </c>
      <c r="B187" s="3" t="s">
        <v>2314</v>
      </c>
      <c r="C187" s="3" t="s">
        <v>2315</v>
      </c>
      <c r="D187" s="3" t="s">
        <v>2200</v>
      </c>
      <c r="E187" s="4" t="s">
        <v>2316</v>
      </c>
      <c r="F187" s="3">
        <v>9774</v>
      </c>
      <c r="H187" s="5" t="str">
        <f t="shared" si="8"/>
        <v>N</v>
      </c>
      <c r="I187" s="4" t="s">
        <v>2317</v>
      </c>
      <c r="J187" s="4" t="s">
        <v>1857</v>
      </c>
      <c r="K187" s="4" t="s">
        <v>2318</v>
      </c>
      <c r="L187" s="4" t="s">
        <v>577</v>
      </c>
      <c r="M187" s="4" t="s">
        <v>2319</v>
      </c>
      <c r="N187" s="4" t="s">
        <v>2320</v>
      </c>
      <c r="O187" s="4" t="s">
        <v>2321</v>
      </c>
      <c r="P187" s="4" t="s">
        <v>2322</v>
      </c>
      <c r="Q187" s="4" t="s">
        <v>2323</v>
      </c>
      <c r="R187" s="4" t="s">
        <v>2324</v>
      </c>
      <c r="S187" s="4" t="s">
        <v>203</v>
      </c>
      <c r="T187" s="5" t="str">
        <f t="shared" si="9"/>
        <v>Y</v>
      </c>
      <c r="W187" s="5" t="str">
        <f t="shared" si="10"/>
        <v>Y</v>
      </c>
      <c r="X187" s="4" t="s">
        <v>51</v>
      </c>
      <c r="Y187" s="4" t="s">
        <v>2325</v>
      </c>
      <c r="Z187" s="4" t="s">
        <v>2326</v>
      </c>
      <c r="AA187" s="4" t="s">
        <v>2327</v>
      </c>
      <c r="AB187" s="4" t="s">
        <v>2328</v>
      </c>
      <c r="AC187" s="5" t="s">
        <v>56</v>
      </c>
      <c r="AH187" s="5" t="str">
        <f t="shared" si="11"/>
        <v>Y</v>
      </c>
      <c r="AI187" s="4" t="s">
        <v>2329</v>
      </c>
      <c r="AJ187" s="4" t="s">
        <v>2330</v>
      </c>
      <c r="AK187" s="3" t="s">
        <v>2331</v>
      </c>
      <c r="AL187" s="3" t="s">
        <v>2332</v>
      </c>
      <c r="AM187" s="4" t="s">
        <v>62</v>
      </c>
      <c r="AP187" s="5">
        <v>1</v>
      </c>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7"/>
      <c r="BV187" s="7"/>
      <c r="BW187" s="7"/>
      <c r="BX187" s="7"/>
      <c r="BY187" s="7"/>
      <c r="BZ187" s="7"/>
    </row>
    <row r="188" ht="16.5" customHeight="1">
      <c r="A188" s="3" t="s">
        <v>2313</v>
      </c>
      <c r="B188" s="3" t="s">
        <v>2314</v>
      </c>
      <c r="C188" s="3" t="s">
        <v>2315</v>
      </c>
      <c r="D188" s="3" t="s">
        <v>2200</v>
      </c>
      <c r="E188" s="4" t="s">
        <v>2316</v>
      </c>
      <c r="F188" s="3">
        <v>9774</v>
      </c>
      <c r="H188" s="5" t="str">
        <f t="shared" si="8"/>
        <v>N</v>
      </c>
      <c r="I188" s="4" t="s">
        <v>2317</v>
      </c>
      <c r="J188" s="4" t="s">
        <v>1857</v>
      </c>
      <c r="K188" s="4" t="s">
        <v>2318</v>
      </c>
      <c r="L188" s="4" t="s">
        <v>577</v>
      </c>
      <c r="M188" s="4" t="s">
        <v>2319</v>
      </c>
      <c r="N188" s="4" t="s">
        <v>2320</v>
      </c>
      <c r="O188" s="4" t="s">
        <v>2321</v>
      </c>
      <c r="P188" s="4" t="s">
        <v>2322</v>
      </c>
      <c r="Q188" s="4" t="s">
        <v>2323</v>
      </c>
      <c r="R188" s="4" t="s">
        <v>2324</v>
      </c>
      <c r="S188" s="3" t="s">
        <v>823</v>
      </c>
      <c r="T188" s="5" t="str">
        <f t="shared" si="9"/>
        <v>Y</v>
      </c>
      <c r="W188" s="5" t="str">
        <f t="shared" si="10"/>
        <v>Y</v>
      </c>
      <c r="X188" s="4" t="s">
        <v>51</v>
      </c>
      <c r="Y188" s="4" t="s">
        <v>2333</v>
      </c>
      <c r="Z188" s="4" t="s">
        <v>2334</v>
      </c>
      <c r="AA188" s="4" t="s">
        <v>2335</v>
      </c>
      <c r="AB188" s="4" t="s">
        <v>2336</v>
      </c>
      <c r="AC188" s="5" t="s">
        <v>56</v>
      </c>
      <c r="AH188" s="5" t="str">
        <f t="shared" si="11"/>
        <v>Y</v>
      </c>
      <c r="AI188" s="4" t="s">
        <v>2329</v>
      </c>
      <c r="AJ188" s="4" t="s">
        <v>2330</v>
      </c>
      <c r="AK188" s="3" t="s">
        <v>2331</v>
      </c>
      <c r="AL188" s="3" t="s">
        <v>2337</v>
      </c>
      <c r="AM188" s="4" t="s">
        <v>62</v>
      </c>
      <c r="AP188" s="5">
        <v>1</v>
      </c>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c r="BV188" s="7"/>
      <c r="BW188" s="7"/>
      <c r="BX188" s="7"/>
      <c r="BY188" s="7"/>
      <c r="BZ188" s="7"/>
    </row>
    <row r="189" ht="16.5" customHeight="1">
      <c r="A189" s="3" t="s">
        <v>2338</v>
      </c>
      <c r="B189" s="3" t="s">
        <v>2339</v>
      </c>
      <c r="C189" s="3" t="s">
        <v>2340</v>
      </c>
      <c r="D189" s="3" t="s">
        <v>2200</v>
      </c>
      <c r="E189" s="4" t="s">
        <v>2316</v>
      </c>
      <c r="F189" s="3">
        <v>6594</v>
      </c>
      <c r="H189" s="5" t="str">
        <f t="shared" si="8"/>
        <v>N</v>
      </c>
      <c r="I189" s="4" t="s">
        <v>2341</v>
      </c>
      <c r="J189" s="4" t="s">
        <v>1857</v>
      </c>
      <c r="K189" s="4" t="s">
        <v>2342</v>
      </c>
      <c r="L189" s="4" t="s">
        <v>577</v>
      </c>
      <c r="M189" s="4" t="s">
        <v>2343</v>
      </c>
      <c r="N189" s="4" t="s">
        <v>2320</v>
      </c>
      <c r="O189" s="4" t="s">
        <v>2344</v>
      </c>
      <c r="P189" s="4" t="s">
        <v>2345</v>
      </c>
      <c r="Q189" s="4" t="s">
        <v>2346</v>
      </c>
      <c r="R189" s="4" t="s">
        <v>2347</v>
      </c>
      <c r="S189" s="3" t="s">
        <v>823</v>
      </c>
      <c r="T189" s="5" t="str">
        <f t="shared" si="9"/>
        <v>Y</v>
      </c>
      <c r="W189" s="5" t="str">
        <f t="shared" si="10"/>
        <v>Y</v>
      </c>
      <c r="X189" s="4" t="s">
        <v>51</v>
      </c>
      <c r="Y189" s="4" t="s">
        <v>2348</v>
      </c>
      <c r="Z189" s="4" t="s">
        <v>2349</v>
      </c>
      <c r="AA189" s="4" t="s">
        <v>2350</v>
      </c>
      <c r="AB189" s="4" t="s">
        <v>2351</v>
      </c>
      <c r="AC189" s="5" t="s">
        <v>56</v>
      </c>
      <c r="AH189" s="5" t="str">
        <f t="shared" si="11"/>
        <v>Y</v>
      </c>
      <c r="AI189" s="4" t="s">
        <v>2352</v>
      </c>
      <c r="AJ189" s="4" t="s">
        <v>2353</v>
      </c>
      <c r="AK189" s="3" t="s">
        <v>2354</v>
      </c>
      <c r="AL189" s="3" t="s">
        <v>2355</v>
      </c>
      <c r="AM189" s="4" t="s">
        <v>62</v>
      </c>
      <c r="AP189" s="5">
        <v>1</v>
      </c>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c r="BV189" s="7"/>
      <c r="BW189" s="7"/>
      <c r="BX189" s="7"/>
      <c r="BY189" s="7"/>
      <c r="BZ189" s="7"/>
    </row>
    <row r="190" ht="16.5" customHeight="1">
      <c r="A190" s="3" t="s">
        <v>2338</v>
      </c>
      <c r="B190" s="3" t="s">
        <v>2339</v>
      </c>
      <c r="C190" s="3" t="s">
        <v>2340</v>
      </c>
      <c r="D190" s="3" t="s">
        <v>2200</v>
      </c>
      <c r="E190" s="4" t="s">
        <v>2316</v>
      </c>
      <c r="F190" s="3">
        <v>6594</v>
      </c>
      <c r="H190" s="5" t="str">
        <f t="shared" si="8"/>
        <v>N</v>
      </c>
      <c r="I190" s="4" t="s">
        <v>2341</v>
      </c>
      <c r="J190" s="4" t="s">
        <v>1857</v>
      </c>
      <c r="K190" s="4" t="s">
        <v>2342</v>
      </c>
      <c r="L190" s="4" t="s">
        <v>577</v>
      </c>
      <c r="M190" s="4" t="s">
        <v>2343</v>
      </c>
      <c r="N190" s="4" t="s">
        <v>2320</v>
      </c>
      <c r="O190" s="4" t="s">
        <v>2344</v>
      </c>
      <c r="P190" s="4" t="s">
        <v>2345</v>
      </c>
      <c r="Q190" s="4" t="s">
        <v>2346</v>
      </c>
      <c r="R190" s="8" t="s">
        <v>2356</v>
      </c>
      <c r="S190" s="3" t="s">
        <v>428</v>
      </c>
      <c r="T190" s="5" t="str">
        <f t="shared" si="9"/>
        <v>Y</v>
      </c>
      <c r="W190" s="5" t="str">
        <f t="shared" si="10"/>
        <v>Y</v>
      </c>
      <c r="X190" s="4" t="s">
        <v>51</v>
      </c>
      <c r="Y190" s="4" t="s">
        <v>2357</v>
      </c>
      <c r="Z190" s="4" t="s">
        <v>2358</v>
      </c>
      <c r="AA190" s="4" t="s">
        <v>2359</v>
      </c>
      <c r="AB190" s="4" t="s">
        <v>2360</v>
      </c>
      <c r="AC190" s="5" t="s">
        <v>56</v>
      </c>
      <c r="AH190" s="5" t="str">
        <f t="shared" si="11"/>
        <v>Y</v>
      </c>
      <c r="AI190" s="4" t="s">
        <v>2352</v>
      </c>
      <c r="AJ190" s="4" t="s">
        <v>2353</v>
      </c>
      <c r="AK190" s="3" t="s">
        <v>2354</v>
      </c>
      <c r="AL190" s="3" t="s">
        <v>2361</v>
      </c>
      <c r="AM190" s="4" t="s">
        <v>62</v>
      </c>
      <c r="AP190" s="5">
        <v>1</v>
      </c>
      <c r="AT190" s="7"/>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c r="BT190" s="7"/>
      <c r="BU190" s="7"/>
      <c r="BV190" s="7"/>
      <c r="BW190" s="7"/>
      <c r="BX190" s="7"/>
      <c r="BY190" s="7"/>
      <c r="BZ190" s="7"/>
    </row>
    <row r="191" ht="16.5" customHeight="1">
      <c r="A191" s="3" t="s">
        <v>2362</v>
      </c>
      <c r="B191" s="3" t="s">
        <v>2363</v>
      </c>
      <c r="C191" s="3" t="s">
        <v>2364</v>
      </c>
      <c r="D191" s="3" t="s">
        <v>2200</v>
      </c>
      <c r="E191" s="4" t="s">
        <v>2201</v>
      </c>
      <c r="F191" s="3">
        <v>7494</v>
      </c>
      <c r="H191" s="5" t="str">
        <f t="shared" si="8"/>
        <v>N</v>
      </c>
      <c r="I191" s="4" t="s">
        <v>2365</v>
      </c>
      <c r="J191" s="4" t="s">
        <v>405</v>
      </c>
      <c r="K191" s="4" t="s">
        <v>2366</v>
      </c>
      <c r="L191" s="4" t="s">
        <v>1819</v>
      </c>
      <c r="M191" s="4" t="s">
        <v>2367</v>
      </c>
      <c r="N191" s="4" t="s">
        <v>2044</v>
      </c>
      <c r="O191" s="4" t="s">
        <v>2368</v>
      </c>
      <c r="P191" s="4" t="s">
        <v>2369</v>
      </c>
      <c r="Q191" s="4" t="s">
        <v>2370</v>
      </c>
      <c r="R191" s="4" t="s">
        <v>2371</v>
      </c>
      <c r="S191" s="3" t="s">
        <v>2372</v>
      </c>
      <c r="T191" s="5" t="str">
        <f t="shared" si="9"/>
        <v>Y</v>
      </c>
      <c r="W191" s="5" t="str">
        <f t="shared" si="10"/>
        <v>Y</v>
      </c>
      <c r="X191" s="4" t="s">
        <v>51</v>
      </c>
      <c r="Y191" s="3" t="s">
        <v>2373</v>
      </c>
      <c r="Z191" s="3" t="s">
        <v>2374</v>
      </c>
      <c r="AA191" s="4" t="s">
        <v>2375</v>
      </c>
      <c r="AB191" s="4" t="s">
        <v>2376</v>
      </c>
      <c r="AC191" s="5" t="s">
        <v>56</v>
      </c>
      <c r="AH191" s="5" t="str">
        <f t="shared" si="11"/>
        <v>Y</v>
      </c>
      <c r="AI191" s="3" t="s">
        <v>2377</v>
      </c>
      <c r="AJ191" s="3" t="s">
        <v>2378</v>
      </c>
      <c r="AK191" s="3" t="s">
        <v>2379</v>
      </c>
      <c r="AL191" s="3" t="s">
        <v>2380</v>
      </c>
      <c r="AM191" s="4" t="s">
        <v>62</v>
      </c>
      <c r="AP191" s="5">
        <v>1</v>
      </c>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c r="BU191" s="7"/>
      <c r="BV191" s="7"/>
      <c r="BW191" s="7"/>
      <c r="BX191" s="7"/>
      <c r="BY191" s="7"/>
      <c r="BZ191" s="7"/>
    </row>
    <row r="192" ht="16.5" customHeight="1">
      <c r="A192" s="3" t="s">
        <v>2362</v>
      </c>
      <c r="B192" s="3" t="s">
        <v>2363</v>
      </c>
      <c r="C192" s="3" t="s">
        <v>2364</v>
      </c>
      <c r="D192" s="3" t="s">
        <v>2200</v>
      </c>
      <c r="E192" s="4" t="s">
        <v>2201</v>
      </c>
      <c r="F192" s="3">
        <v>7494</v>
      </c>
      <c r="H192" s="5" t="str">
        <f t="shared" si="8"/>
        <v>N</v>
      </c>
      <c r="I192" s="4" t="s">
        <v>2365</v>
      </c>
      <c r="J192" s="4" t="s">
        <v>405</v>
      </c>
      <c r="K192" s="4" t="s">
        <v>2366</v>
      </c>
      <c r="L192" s="4" t="s">
        <v>1819</v>
      </c>
      <c r="M192" s="4" t="s">
        <v>2367</v>
      </c>
      <c r="N192" s="4" t="s">
        <v>2044</v>
      </c>
      <c r="O192" s="4" t="s">
        <v>2368</v>
      </c>
      <c r="P192" s="4" t="s">
        <v>2369</v>
      </c>
      <c r="Q192" s="4" t="s">
        <v>2370</v>
      </c>
      <c r="R192" s="4" t="s">
        <v>2371</v>
      </c>
      <c r="S192" s="3" t="s">
        <v>2372</v>
      </c>
      <c r="T192" s="5" t="str">
        <f t="shared" si="9"/>
        <v>Y</v>
      </c>
      <c r="W192" s="5" t="str">
        <f t="shared" si="10"/>
        <v>Y</v>
      </c>
      <c r="X192" s="4" t="s">
        <v>51</v>
      </c>
      <c r="Y192" s="3" t="s">
        <v>2373</v>
      </c>
      <c r="Z192" s="3" t="s">
        <v>2374</v>
      </c>
      <c r="AA192" s="4" t="s">
        <v>2375</v>
      </c>
      <c r="AB192" s="4" t="s">
        <v>2376</v>
      </c>
      <c r="AC192" s="5" t="s">
        <v>56</v>
      </c>
      <c r="AH192" s="5" t="str">
        <f t="shared" si="11"/>
        <v>Y</v>
      </c>
      <c r="AI192" s="3" t="s">
        <v>2377</v>
      </c>
      <c r="AJ192" s="3" t="s">
        <v>2378</v>
      </c>
      <c r="AK192" s="3" t="s">
        <v>2379</v>
      </c>
      <c r="AL192" s="3" t="s">
        <v>2380</v>
      </c>
      <c r="AM192" s="4" t="s">
        <v>62</v>
      </c>
      <c r="AP192" s="5">
        <v>1</v>
      </c>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c r="BZ192" s="7"/>
    </row>
    <row r="193" ht="16.5" customHeight="1">
      <c r="A193" s="3" t="s">
        <v>2381</v>
      </c>
      <c r="B193" s="3" t="s">
        <v>2382</v>
      </c>
      <c r="C193" s="3" t="s">
        <v>2383</v>
      </c>
      <c r="D193" s="3" t="s">
        <v>2200</v>
      </c>
      <c r="E193" s="4" t="s">
        <v>2271</v>
      </c>
      <c r="F193" s="3">
        <v>7455</v>
      </c>
      <c r="H193" s="5" t="str">
        <f t="shared" si="8"/>
        <v>N</v>
      </c>
      <c r="I193" s="4" t="s">
        <v>2384</v>
      </c>
      <c r="J193" s="4" t="s">
        <v>480</v>
      </c>
      <c r="K193" s="4" t="s">
        <v>2385</v>
      </c>
      <c r="L193" s="4" t="s">
        <v>2044</v>
      </c>
      <c r="M193" s="4" t="s">
        <v>2386</v>
      </c>
      <c r="N193" s="4" t="s">
        <v>1819</v>
      </c>
      <c r="O193" s="4" t="s">
        <v>2387</v>
      </c>
      <c r="P193" s="4" t="s">
        <v>405</v>
      </c>
      <c r="Q193" s="4" t="s">
        <v>2388</v>
      </c>
      <c r="R193" s="4" t="s">
        <v>2389</v>
      </c>
      <c r="S193" s="3" t="s">
        <v>2390</v>
      </c>
      <c r="T193" s="5" t="str">
        <f t="shared" si="9"/>
        <v>Y</v>
      </c>
      <c r="W193" s="5" t="str">
        <f t="shared" si="10"/>
        <v>Y</v>
      </c>
      <c r="X193" s="4" t="s">
        <v>51</v>
      </c>
      <c r="Y193" s="3" t="s">
        <v>2391</v>
      </c>
      <c r="Z193" s="3" t="s">
        <v>2392</v>
      </c>
      <c r="AA193" s="4" t="s">
        <v>2393</v>
      </c>
      <c r="AB193" s="4" t="s">
        <v>2394</v>
      </c>
      <c r="AC193" s="5" t="s">
        <v>56</v>
      </c>
      <c r="AH193" s="5" t="str">
        <f t="shared" si="11"/>
        <v>Y</v>
      </c>
      <c r="AI193" s="3" t="s">
        <v>2395</v>
      </c>
      <c r="AJ193" s="3" t="s">
        <v>2396</v>
      </c>
      <c r="AK193" s="3" t="s">
        <v>2397</v>
      </c>
      <c r="AL193" s="3" t="s">
        <v>2398</v>
      </c>
      <c r="AM193" s="4" t="s">
        <v>62</v>
      </c>
      <c r="AP193" s="5">
        <v>1</v>
      </c>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c r="BU193" s="7"/>
      <c r="BV193" s="7"/>
      <c r="BW193" s="7"/>
      <c r="BX193" s="7"/>
      <c r="BY193" s="7"/>
      <c r="BZ193" s="7"/>
    </row>
    <row r="194" ht="16.5" customHeight="1">
      <c r="A194" s="3" t="s">
        <v>2381</v>
      </c>
      <c r="B194" s="3" t="s">
        <v>2382</v>
      </c>
      <c r="C194" s="3" t="s">
        <v>2383</v>
      </c>
      <c r="D194" s="3" t="s">
        <v>2200</v>
      </c>
      <c r="E194" s="4" t="s">
        <v>2271</v>
      </c>
      <c r="F194" s="3">
        <v>7455</v>
      </c>
      <c r="H194" s="5" t="str">
        <f t="shared" ref="H194:H257" si="12">IF(OR(AU194="Yes",AV194="Yes"),"Y","N")</f>
        <v>N</v>
      </c>
      <c r="I194" s="4" t="s">
        <v>2384</v>
      </c>
      <c r="J194" s="4" t="s">
        <v>480</v>
      </c>
      <c r="K194" s="4" t="s">
        <v>2385</v>
      </c>
      <c r="L194" s="4" t="s">
        <v>2044</v>
      </c>
      <c r="M194" s="4" t="s">
        <v>2386</v>
      </c>
      <c r="N194" s="4" t="s">
        <v>1819</v>
      </c>
      <c r="O194" s="4" t="s">
        <v>2387</v>
      </c>
      <c r="P194" s="4" t="s">
        <v>405</v>
      </c>
      <c r="Q194" s="4" t="s">
        <v>2388</v>
      </c>
      <c r="R194" s="4" t="s">
        <v>2389</v>
      </c>
      <c r="S194" s="3" t="s">
        <v>2390</v>
      </c>
      <c r="T194" s="5" t="str">
        <f t="shared" ref="T194:T257" si="13">IF(OR(AY194&lt;&gt;"Not Found",BA194&lt;&gt;"Not Found"),"Y","N")</f>
        <v>Y</v>
      </c>
      <c r="W194" s="5" t="str">
        <f t="shared" ref="W194:W257" si="14">IF(BC194&lt;&gt;"Not Found","Y","N")</f>
        <v>Y</v>
      </c>
      <c r="X194" s="4" t="s">
        <v>51</v>
      </c>
      <c r="Y194" s="3" t="s">
        <v>2391</v>
      </c>
      <c r="Z194" s="3" t="s">
        <v>2392</v>
      </c>
      <c r="AA194" s="4" t="s">
        <v>2393</v>
      </c>
      <c r="AB194" s="4" t="s">
        <v>2394</v>
      </c>
      <c r="AC194" s="5" t="s">
        <v>56</v>
      </c>
      <c r="AH194" s="5" t="str">
        <f t="shared" ref="AH194:AH257" si="15">IF(BD194&lt;&gt;"Not Found","Y","N")</f>
        <v>Y</v>
      </c>
      <c r="AI194" s="3" t="s">
        <v>2395</v>
      </c>
      <c r="AJ194" s="3" t="s">
        <v>2396</v>
      </c>
      <c r="AK194" s="3" t="s">
        <v>2397</v>
      </c>
      <c r="AL194" s="3" t="s">
        <v>2398</v>
      </c>
      <c r="AM194" s="4" t="s">
        <v>62</v>
      </c>
      <c r="AP194" s="5">
        <v>1</v>
      </c>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7"/>
      <c r="BZ194" s="7"/>
    </row>
    <row r="195" ht="16.5" customHeight="1">
      <c r="A195" s="3" t="s">
        <v>2399</v>
      </c>
      <c r="B195" s="3" t="s">
        <v>2400</v>
      </c>
      <c r="C195" s="3" t="s">
        <v>2401</v>
      </c>
      <c r="D195" s="3" t="s">
        <v>2200</v>
      </c>
      <c r="E195" s="4" t="s">
        <v>2271</v>
      </c>
      <c r="F195" s="3">
        <v>5945</v>
      </c>
      <c r="H195" s="5" t="str">
        <f t="shared" si="12"/>
        <v>N</v>
      </c>
      <c r="I195" s="4" t="s">
        <v>2402</v>
      </c>
      <c r="J195" s="4" t="s">
        <v>2044</v>
      </c>
      <c r="K195" s="4" t="s">
        <v>2403</v>
      </c>
      <c r="L195" s="4" t="s">
        <v>405</v>
      </c>
      <c r="M195" s="4" t="s">
        <v>2404</v>
      </c>
      <c r="N195" s="4" t="s">
        <v>1449</v>
      </c>
      <c r="O195" s="4" t="s">
        <v>2405</v>
      </c>
      <c r="P195" s="4" t="s">
        <v>2406</v>
      </c>
      <c r="Q195" s="4" t="s">
        <v>2407</v>
      </c>
      <c r="R195" s="4" t="s">
        <v>2408</v>
      </c>
      <c r="S195" s="3" t="s">
        <v>2409</v>
      </c>
      <c r="T195" s="5" t="str">
        <f t="shared" si="13"/>
        <v>Y</v>
      </c>
      <c r="W195" s="5" t="str">
        <f t="shared" si="14"/>
        <v>Y</v>
      </c>
      <c r="X195" s="4" t="s">
        <v>51</v>
      </c>
      <c r="Y195" s="3" t="s">
        <v>2410</v>
      </c>
      <c r="Z195" s="3" t="s">
        <v>2411</v>
      </c>
      <c r="AA195" s="4" t="s">
        <v>2412</v>
      </c>
      <c r="AB195" s="4" t="s">
        <v>2413</v>
      </c>
      <c r="AC195" s="5" t="s">
        <v>56</v>
      </c>
      <c r="AH195" s="5" t="str">
        <f t="shared" si="15"/>
        <v>Y</v>
      </c>
      <c r="AI195" s="3" t="s">
        <v>2414</v>
      </c>
      <c r="AJ195" s="3" t="s">
        <v>2415</v>
      </c>
      <c r="AK195" s="3" t="s">
        <v>2416</v>
      </c>
      <c r="AL195" s="3" t="s">
        <v>2417</v>
      </c>
      <c r="AM195" s="4" t="s">
        <v>62</v>
      </c>
      <c r="AP195" s="5">
        <v>1</v>
      </c>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c r="BU195" s="7"/>
      <c r="BV195" s="7"/>
      <c r="BW195" s="7"/>
      <c r="BX195" s="7"/>
      <c r="BY195" s="7"/>
      <c r="BZ195" s="7"/>
    </row>
    <row r="196" ht="16.5" customHeight="1">
      <c r="A196" s="3" t="s">
        <v>2399</v>
      </c>
      <c r="B196" s="3" t="s">
        <v>2400</v>
      </c>
      <c r="C196" s="3" t="s">
        <v>2401</v>
      </c>
      <c r="D196" s="3" t="s">
        <v>2200</v>
      </c>
      <c r="E196" s="4" t="s">
        <v>2271</v>
      </c>
      <c r="F196" s="3">
        <v>5945</v>
      </c>
      <c r="H196" s="5" t="str">
        <f t="shared" si="12"/>
        <v>N</v>
      </c>
      <c r="I196" s="4" t="s">
        <v>2402</v>
      </c>
      <c r="J196" s="4" t="s">
        <v>2044</v>
      </c>
      <c r="K196" s="4" t="s">
        <v>2403</v>
      </c>
      <c r="L196" s="4" t="s">
        <v>405</v>
      </c>
      <c r="M196" s="4" t="s">
        <v>2404</v>
      </c>
      <c r="N196" s="4" t="s">
        <v>1449</v>
      </c>
      <c r="O196" s="4" t="s">
        <v>2405</v>
      </c>
      <c r="P196" s="4" t="s">
        <v>2406</v>
      </c>
      <c r="Q196" s="4" t="s">
        <v>2407</v>
      </c>
      <c r="R196" s="4" t="s">
        <v>2408</v>
      </c>
      <c r="S196" s="3" t="s">
        <v>2409</v>
      </c>
      <c r="T196" s="5" t="str">
        <f t="shared" si="13"/>
        <v>Y</v>
      </c>
      <c r="W196" s="5" t="str">
        <f t="shared" si="14"/>
        <v>Y</v>
      </c>
      <c r="X196" s="4" t="s">
        <v>51</v>
      </c>
      <c r="Y196" s="3" t="s">
        <v>2410</v>
      </c>
      <c r="Z196" s="3" t="s">
        <v>2411</v>
      </c>
      <c r="AA196" s="4" t="s">
        <v>2412</v>
      </c>
      <c r="AB196" s="4" t="s">
        <v>2413</v>
      </c>
      <c r="AC196" s="5" t="s">
        <v>56</v>
      </c>
      <c r="AH196" s="5" t="str">
        <f t="shared" si="15"/>
        <v>Y</v>
      </c>
      <c r="AI196" s="3" t="s">
        <v>2414</v>
      </c>
      <c r="AJ196" s="3" t="s">
        <v>2415</v>
      </c>
      <c r="AK196" s="3" t="s">
        <v>2416</v>
      </c>
      <c r="AL196" s="3" t="s">
        <v>2417</v>
      </c>
      <c r="AM196" s="4" t="s">
        <v>62</v>
      </c>
      <c r="AP196" s="5">
        <v>1</v>
      </c>
      <c r="AT196" s="7"/>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c r="BT196" s="7"/>
      <c r="BU196" s="7"/>
      <c r="BV196" s="7"/>
      <c r="BW196" s="7"/>
      <c r="BX196" s="7"/>
      <c r="BY196" s="7"/>
      <c r="BZ196" s="7"/>
    </row>
    <row r="197" ht="16.5" customHeight="1">
      <c r="A197" s="3" t="s">
        <v>2418</v>
      </c>
      <c r="B197" s="3" t="s">
        <v>2419</v>
      </c>
      <c r="C197" s="3" t="s">
        <v>2420</v>
      </c>
      <c r="D197" s="3" t="s">
        <v>2200</v>
      </c>
      <c r="E197" s="4" t="s">
        <v>2297</v>
      </c>
      <c r="F197" s="3">
        <v>3617</v>
      </c>
      <c r="H197" s="5" t="str">
        <f t="shared" si="12"/>
        <v>N</v>
      </c>
      <c r="I197" s="4" t="s">
        <v>2421</v>
      </c>
      <c r="J197" s="4" t="s">
        <v>1819</v>
      </c>
      <c r="K197" s="4" t="s">
        <v>2422</v>
      </c>
      <c r="L197" s="4" t="s">
        <v>2423</v>
      </c>
      <c r="M197" s="4" t="s">
        <v>2424</v>
      </c>
      <c r="N197" s="4" t="s">
        <v>2425</v>
      </c>
      <c r="O197" s="4" t="s">
        <v>2426</v>
      </c>
      <c r="P197" s="4" t="s">
        <v>842</v>
      </c>
      <c r="Q197" s="4" t="s">
        <v>842</v>
      </c>
      <c r="R197" s="4" t="s">
        <v>2427</v>
      </c>
      <c r="S197" s="3" t="s">
        <v>2110</v>
      </c>
      <c r="T197" s="5" t="str">
        <f t="shared" si="13"/>
        <v>Y</v>
      </c>
      <c r="W197" s="5" t="str">
        <f t="shared" si="14"/>
        <v>Y</v>
      </c>
      <c r="X197" s="4" t="s">
        <v>51</v>
      </c>
      <c r="Y197" s="3" t="s">
        <v>2428</v>
      </c>
      <c r="Z197" s="3" t="s">
        <v>2429</v>
      </c>
      <c r="AA197" s="4" t="s">
        <v>2430</v>
      </c>
      <c r="AB197" s="4" t="s">
        <v>2431</v>
      </c>
      <c r="AC197" s="5" t="s">
        <v>56</v>
      </c>
      <c r="AH197" s="5" t="str">
        <f t="shared" si="15"/>
        <v>Y</v>
      </c>
      <c r="AI197" s="3" t="s">
        <v>2432</v>
      </c>
      <c r="AJ197" s="3" t="s">
        <v>2433</v>
      </c>
      <c r="AK197" s="3" t="s">
        <v>2434</v>
      </c>
      <c r="AL197" s="3" t="s">
        <v>2435</v>
      </c>
      <c r="AM197" s="4" t="s">
        <v>62</v>
      </c>
      <c r="AP197" s="5">
        <v>1</v>
      </c>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c r="BU197" s="7"/>
      <c r="BV197" s="7"/>
      <c r="BW197" s="7"/>
      <c r="BX197" s="7"/>
      <c r="BY197" s="7"/>
      <c r="BZ197" s="7"/>
    </row>
    <row r="198" ht="16.5" customHeight="1">
      <c r="A198" s="3" t="s">
        <v>2418</v>
      </c>
      <c r="B198" s="3" t="s">
        <v>2419</v>
      </c>
      <c r="C198" s="3" t="s">
        <v>2420</v>
      </c>
      <c r="D198" s="3" t="s">
        <v>2200</v>
      </c>
      <c r="E198" s="4" t="s">
        <v>2297</v>
      </c>
      <c r="F198" s="3">
        <v>3617</v>
      </c>
      <c r="H198" s="5" t="str">
        <f t="shared" si="12"/>
        <v>N</v>
      </c>
      <c r="I198" s="4" t="s">
        <v>2421</v>
      </c>
      <c r="J198" s="4" t="s">
        <v>1819</v>
      </c>
      <c r="K198" s="4" t="s">
        <v>2422</v>
      </c>
      <c r="L198" s="4" t="s">
        <v>2423</v>
      </c>
      <c r="M198" s="4" t="s">
        <v>2424</v>
      </c>
      <c r="N198" s="4" t="s">
        <v>2425</v>
      </c>
      <c r="O198" s="4" t="s">
        <v>2426</v>
      </c>
      <c r="P198" s="4" t="s">
        <v>842</v>
      </c>
      <c r="Q198" s="4" t="s">
        <v>842</v>
      </c>
      <c r="R198" s="4" t="s">
        <v>2427</v>
      </c>
      <c r="S198" s="3" t="s">
        <v>2110</v>
      </c>
      <c r="T198" s="5" t="str">
        <f t="shared" si="13"/>
        <v>Y</v>
      </c>
      <c r="W198" s="5" t="str">
        <f t="shared" si="14"/>
        <v>Y</v>
      </c>
      <c r="X198" s="4" t="s">
        <v>51</v>
      </c>
      <c r="Y198" s="3" t="s">
        <v>2428</v>
      </c>
      <c r="Z198" s="3" t="s">
        <v>2429</v>
      </c>
      <c r="AA198" s="4" t="s">
        <v>2430</v>
      </c>
      <c r="AB198" s="4" t="s">
        <v>2431</v>
      </c>
      <c r="AC198" s="5" t="s">
        <v>56</v>
      </c>
      <c r="AH198" s="5" t="str">
        <f t="shared" si="15"/>
        <v>Y</v>
      </c>
      <c r="AI198" s="3" t="s">
        <v>2432</v>
      </c>
      <c r="AJ198" s="3" t="s">
        <v>2433</v>
      </c>
      <c r="AK198" s="3" t="s">
        <v>2434</v>
      </c>
      <c r="AL198" s="3" t="s">
        <v>2435</v>
      </c>
      <c r="AM198" s="4" t="s">
        <v>62</v>
      </c>
      <c r="AP198" s="5">
        <v>1</v>
      </c>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7"/>
      <c r="BZ198" s="7"/>
    </row>
    <row r="199" ht="16.5" customHeight="1">
      <c r="A199" s="3" t="s">
        <v>2436</v>
      </c>
      <c r="B199" s="3" t="s">
        <v>2437</v>
      </c>
      <c r="C199" s="3" t="s">
        <v>2438</v>
      </c>
      <c r="D199" s="3" t="s">
        <v>2200</v>
      </c>
      <c r="E199" s="4" t="s">
        <v>2201</v>
      </c>
      <c r="F199" s="3">
        <v>3350</v>
      </c>
      <c r="H199" s="5" t="str">
        <f t="shared" si="12"/>
        <v>N</v>
      </c>
      <c r="I199" s="4" t="s">
        <v>2439</v>
      </c>
      <c r="J199" s="4" t="s">
        <v>2044</v>
      </c>
      <c r="K199" s="4" t="s">
        <v>2440</v>
      </c>
      <c r="L199" s="4" t="s">
        <v>2369</v>
      </c>
      <c r="M199" s="4" t="s">
        <v>2441</v>
      </c>
      <c r="N199" s="4" t="s">
        <v>2442</v>
      </c>
      <c r="O199" s="4" t="s">
        <v>2443</v>
      </c>
      <c r="P199" s="4" t="s">
        <v>842</v>
      </c>
      <c r="Q199" s="4" t="s">
        <v>842</v>
      </c>
      <c r="R199" s="4" t="s">
        <v>2444</v>
      </c>
      <c r="S199" s="3" t="s">
        <v>823</v>
      </c>
      <c r="T199" s="5" t="str">
        <f t="shared" si="13"/>
        <v>Y</v>
      </c>
      <c r="W199" s="5" t="str">
        <f t="shared" si="14"/>
        <v>Y</v>
      </c>
      <c r="X199" s="4" t="s">
        <v>51</v>
      </c>
      <c r="Y199" s="3" t="s">
        <v>2445</v>
      </c>
      <c r="Z199" s="3" t="s">
        <v>2446</v>
      </c>
      <c r="AA199" s="4" t="s">
        <v>2447</v>
      </c>
      <c r="AB199" s="4" t="s">
        <v>2448</v>
      </c>
      <c r="AC199" s="5" t="s">
        <v>56</v>
      </c>
      <c r="AH199" s="5" t="str">
        <f t="shared" si="15"/>
        <v>Y</v>
      </c>
      <c r="AI199" s="3" t="s">
        <v>2449</v>
      </c>
      <c r="AJ199" s="3" t="s">
        <v>2450</v>
      </c>
      <c r="AK199" s="3" t="s">
        <v>2451</v>
      </c>
      <c r="AL199" s="3" t="s">
        <v>2452</v>
      </c>
      <c r="AM199" s="4" t="s">
        <v>62</v>
      </c>
      <c r="AP199" s="5">
        <v>1</v>
      </c>
      <c r="AT199" s="7"/>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c r="BT199" s="7"/>
      <c r="BU199" s="7"/>
      <c r="BV199" s="7"/>
      <c r="BW199" s="7"/>
      <c r="BX199" s="7"/>
      <c r="BY199" s="7"/>
      <c r="BZ199" s="7"/>
    </row>
    <row r="200" ht="16.5" customHeight="1">
      <c r="A200" s="3" t="s">
        <v>2436</v>
      </c>
      <c r="B200" s="3" t="s">
        <v>2437</v>
      </c>
      <c r="C200" s="3" t="s">
        <v>2438</v>
      </c>
      <c r="D200" s="3" t="s">
        <v>2200</v>
      </c>
      <c r="E200" s="4" t="s">
        <v>2201</v>
      </c>
      <c r="F200" s="3">
        <v>3350</v>
      </c>
      <c r="H200" s="5" t="str">
        <f t="shared" si="12"/>
        <v>N</v>
      </c>
      <c r="I200" s="4" t="s">
        <v>2439</v>
      </c>
      <c r="J200" s="4" t="s">
        <v>2044</v>
      </c>
      <c r="K200" s="4" t="s">
        <v>2440</v>
      </c>
      <c r="L200" s="4" t="s">
        <v>2369</v>
      </c>
      <c r="M200" s="4" t="s">
        <v>2441</v>
      </c>
      <c r="N200" s="4" t="s">
        <v>2442</v>
      </c>
      <c r="O200" s="4" t="s">
        <v>2443</v>
      </c>
      <c r="P200" s="4" t="s">
        <v>842</v>
      </c>
      <c r="Q200" s="4" t="s">
        <v>842</v>
      </c>
      <c r="R200" s="4" t="s">
        <v>2444</v>
      </c>
      <c r="S200" s="3" t="s">
        <v>823</v>
      </c>
      <c r="T200" s="5" t="str">
        <f t="shared" si="13"/>
        <v>Y</v>
      </c>
      <c r="W200" s="5" t="str">
        <f t="shared" si="14"/>
        <v>Y</v>
      </c>
      <c r="X200" s="4" t="s">
        <v>51</v>
      </c>
      <c r="Y200" s="3" t="s">
        <v>2445</v>
      </c>
      <c r="Z200" s="3" t="s">
        <v>2446</v>
      </c>
      <c r="AA200" s="4" t="s">
        <v>2447</v>
      </c>
      <c r="AB200" s="4" t="s">
        <v>2448</v>
      </c>
      <c r="AC200" s="5" t="s">
        <v>56</v>
      </c>
      <c r="AH200" s="5" t="str">
        <f t="shared" si="15"/>
        <v>Y</v>
      </c>
      <c r="AI200" s="3" t="s">
        <v>2449</v>
      </c>
      <c r="AJ200" s="3" t="s">
        <v>2450</v>
      </c>
      <c r="AK200" s="3" t="s">
        <v>2451</v>
      </c>
      <c r="AL200" s="3" t="s">
        <v>2452</v>
      </c>
      <c r="AM200" s="4" t="s">
        <v>62</v>
      </c>
      <c r="AP200" s="5">
        <v>1</v>
      </c>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7"/>
      <c r="BV200" s="7"/>
      <c r="BW200" s="7"/>
      <c r="BX200" s="7"/>
      <c r="BY200" s="7"/>
      <c r="BZ200" s="7"/>
    </row>
    <row r="201" ht="16.5" customHeight="1">
      <c r="A201" s="3" t="s">
        <v>2453</v>
      </c>
      <c r="B201" s="3" t="s">
        <v>2454</v>
      </c>
      <c r="C201" s="3" t="s">
        <v>2455</v>
      </c>
      <c r="D201" s="3" t="s">
        <v>2200</v>
      </c>
      <c r="E201" s="4" t="s">
        <v>2271</v>
      </c>
      <c r="F201" s="3">
        <v>7821</v>
      </c>
      <c r="H201" s="5" t="str">
        <f t="shared" si="12"/>
        <v>N</v>
      </c>
      <c r="I201" s="4" t="s">
        <v>2456</v>
      </c>
      <c r="J201" s="4" t="s">
        <v>1819</v>
      </c>
      <c r="K201" s="4" t="s">
        <v>2457</v>
      </c>
      <c r="L201" s="4" t="s">
        <v>2458</v>
      </c>
      <c r="M201" s="4" t="s">
        <v>2459</v>
      </c>
      <c r="N201" s="4" t="s">
        <v>2460</v>
      </c>
      <c r="O201" s="4" t="s">
        <v>2461</v>
      </c>
      <c r="P201" s="4" t="s">
        <v>842</v>
      </c>
      <c r="Q201" s="4" t="s">
        <v>842</v>
      </c>
      <c r="R201" s="4" t="s">
        <v>2462</v>
      </c>
      <c r="S201" s="3" t="s">
        <v>428</v>
      </c>
      <c r="T201" s="5" t="str">
        <f t="shared" si="13"/>
        <v>Y</v>
      </c>
      <c r="W201" s="5" t="str">
        <f t="shared" si="14"/>
        <v>Y</v>
      </c>
      <c r="X201" s="4" t="s">
        <v>51</v>
      </c>
      <c r="Y201" s="3" t="s">
        <v>2463</v>
      </c>
      <c r="Z201" s="3" t="s">
        <v>2464</v>
      </c>
      <c r="AA201" s="4" t="s">
        <v>2465</v>
      </c>
      <c r="AB201" s="4" t="s">
        <v>2466</v>
      </c>
      <c r="AC201" s="5" t="s">
        <v>56</v>
      </c>
      <c r="AH201" s="5" t="str">
        <f t="shared" si="15"/>
        <v>Y</v>
      </c>
      <c r="AI201" s="3" t="s">
        <v>2467</v>
      </c>
      <c r="AJ201" s="3" t="s">
        <v>2468</v>
      </c>
      <c r="AK201" s="3" t="s">
        <v>2469</v>
      </c>
      <c r="AL201" s="3" t="s">
        <v>2470</v>
      </c>
      <c r="AM201" s="4" t="s">
        <v>62</v>
      </c>
      <c r="AP201" s="5">
        <v>1</v>
      </c>
      <c r="AT201" s="7"/>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c r="BT201" s="7"/>
      <c r="BU201" s="7"/>
      <c r="BV201" s="7"/>
      <c r="BW201" s="7"/>
      <c r="BX201" s="7"/>
      <c r="BY201" s="7"/>
      <c r="BZ201" s="7"/>
    </row>
    <row r="202" ht="16.5" customHeight="1">
      <c r="A202" s="3" t="s">
        <v>2453</v>
      </c>
      <c r="B202" s="3" t="s">
        <v>2454</v>
      </c>
      <c r="C202" s="3" t="s">
        <v>2455</v>
      </c>
      <c r="D202" s="3" t="s">
        <v>2200</v>
      </c>
      <c r="E202" s="4" t="s">
        <v>2271</v>
      </c>
      <c r="F202" s="3">
        <v>7821</v>
      </c>
      <c r="H202" s="5" t="str">
        <f t="shared" si="12"/>
        <v>N</v>
      </c>
      <c r="I202" s="4" t="s">
        <v>2456</v>
      </c>
      <c r="J202" s="4" t="s">
        <v>1819</v>
      </c>
      <c r="K202" s="4" t="s">
        <v>2457</v>
      </c>
      <c r="L202" s="4" t="s">
        <v>2458</v>
      </c>
      <c r="M202" s="4" t="s">
        <v>2459</v>
      </c>
      <c r="N202" s="4" t="s">
        <v>2460</v>
      </c>
      <c r="O202" s="4" t="s">
        <v>2461</v>
      </c>
      <c r="P202" s="4" t="s">
        <v>842</v>
      </c>
      <c r="Q202" s="4" t="s">
        <v>842</v>
      </c>
      <c r="R202" s="4" t="s">
        <v>2462</v>
      </c>
      <c r="S202" s="3" t="s">
        <v>428</v>
      </c>
      <c r="T202" s="5" t="str">
        <f t="shared" si="13"/>
        <v>Y</v>
      </c>
      <c r="W202" s="5" t="str">
        <f t="shared" si="14"/>
        <v>Y</v>
      </c>
      <c r="X202" s="4" t="s">
        <v>51</v>
      </c>
      <c r="Y202" s="3" t="s">
        <v>2463</v>
      </c>
      <c r="Z202" s="3" t="s">
        <v>2464</v>
      </c>
      <c r="AA202" s="4" t="s">
        <v>2465</v>
      </c>
      <c r="AB202" s="4" t="s">
        <v>2466</v>
      </c>
      <c r="AC202" s="5" t="s">
        <v>56</v>
      </c>
      <c r="AH202" s="5" t="str">
        <f t="shared" si="15"/>
        <v>Y</v>
      </c>
      <c r="AI202" s="3" t="s">
        <v>2467</v>
      </c>
      <c r="AJ202" s="3" t="s">
        <v>2468</v>
      </c>
      <c r="AK202" s="3" t="s">
        <v>2469</v>
      </c>
      <c r="AL202" s="3" t="s">
        <v>2470</v>
      </c>
      <c r="AM202" s="4" t="s">
        <v>62</v>
      </c>
      <c r="AP202" s="5">
        <v>1</v>
      </c>
      <c r="AT202" s="7"/>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c r="BT202" s="7"/>
      <c r="BU202" s="7"/>
      <c r="BV202" s="7"/>
      <c r="BW202" s="7"/>
      <c r="BX202" s="7"/>
      <c r="BY202" s="7"/>
      <c r="BZ202" s="7"/>
    </row>
    <row r="203" ht="16.5" customHeight="1">
      <c r="A203" s="3" t="s">
        <v>2471</v>
      </c>
      <c r="B203" s="3" t="s">
        <v>2472</v>
      </c>
      <c r="C203" s="3" t="s">
        <v>2455</v>
      </c>
      <c r="D203" s="3" t="s">
        <v>2200</v>
      </c>
      <c r="E203" s="4" t="s">
        <v>2297</v>
      </c>
      <c r="F203" s="3">
        <v>10504</v>
      </c>
      <c r="H203" s="5" t="str">
        <f t="shared" si="12"/>
        <v>N</v>
      </c>
      <c r="I203" s="4" t="s">
        <v>2473</v>
      </c>
      <c r="J203" s="4" t="s">
        <v>405</v>
      </c>
      <c r="K203" s="4" t="s">
        <v>2474</v>
      </c>
      <c r="L203" s="4" t="s">
        <v>596</v>
      </c>
      <c r="M203" s="4" t="s">
        <v>2475</v>
      </c>
      <c r="N203" s="4" t="s">
        <v>2425</v>
      </c>
      <c r="O203" s="4" t="s">
        <v>2476</v>
      </c>
      <c r="P203" s="4" t="s">
        <v>842</v>
      </c>
      <c r="Q203" s="4" t="s">
        <v>842</v>
      </c>
      <c r="R203" s="4" t="s">
        <v>2477</v>
      </c>
      <c r="S203" s="3" t="s">
        <v>428</v>
      </c>
      <c r="T203" s="5" t="str">
        <f t="shared" si="13"/>
        <v>Y</v>
      </c>
      <c r="W203" s="5" t="str">
        <f t="shared" si="14"/>
        <v>Y</v>
      </c>
      <c r="X203" s="4" t="s">
        <v>51</v>
      </c>
      <c r="Y203" s="3" t="s">
        <v>2478</v>
      </c>
      <c r="Z203" s="3" t="s">
        <v>2479</v>
      </c>
      <c r="AA203" s="4" t="s">
        <v>2480</v>
      </c>
      <c r="AB203" s="4" t="s">
        <v>2481</v>
      </c>
      <c r="AC203" s="5" t="s">
        <v>56</v>
      </c>
      <c r="AH203" s="5" t="str">
        <f t="shared" si="15"/>
        <v>Y</v>
      </c>
      <c r="AI203" s="3" t="s">
        <v>2482</v>
      </c>
      <c r="AJ203" s="3" t="s">
        <v>2483</v>
      </c>
      <c r="AK203" s="3" t="s">
        <v>2484</v>
      </c>
      <c r="AL203" s="3" t="s">
        <v>2485</v>
      </c>
      <c r="AM203" s="4" t="s">
        <v>62</v>
      </c>
      <c r="AP203" s="5">
        <v>1</v>
      </c>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7"/>
      <c r="BV203" s="7"/>
      <c r="BW203" s="7"/>
      <c r="BX203" s="7"/>
      <c r="BY203" s="7"/>
      <c r="BZ203" s="7"/>
    </row>
    <row r="204" ht="16.5" customHeight="1">
      <c r="A204" s="3" t="s">
        <v>2471</v>
      </c>
      <c r="B204" s="3" t="s">
        <v>2472</v>
      </c>
      <c r="C204" s="3" t="s">
        <v>2455</v>
      </c>
      <c r="D204" s="3" t="s">
        <v>2200</v>
      </c>
      <c r="E204" s="4" t="s">
        <v>2297</v>
      </c>
      <c r="F204" s="3">
        <v>10504</v>
      </c>
      <c r="H204" s="5" t="str">
        <f t="shared" si="12"/>
        <v>N</v>
      </c>
      <c r="I204" s="4" t="s">
        <v>2473</v>
      </c>
      <c r="J204" s="4" t="s">
        <v>405</v>
      </c>
      <c r="K204" s="4" t="s">
        <v>2474</v>
      </c>
      <c r="L204" s="4" t="s">
        <v>596</v>
      </c>
      <c r="M204" s="4" t="s">
        <v>2475</v>
      </c>
      <c r="N204" s="4" t="s">
        <v>2425</v>
      </c>
      <c r="O204" s="4" t="s">
        <v>2476</v>
      </c>
      <c r="P204" s="4" t="s">
        <v>842</v>
      </c>
      <c r="Q204" s="4" t="s">
        <v>842</v>
      </c>
      <c r="R204" s="4" t="s">
        <v>2477</v>
      </c>
      <c r="S204" s="3" t="s">
        <v>428</v>
      </c>
      <c r="T204" s="5" t="str">
        <f t="shared" si="13"/>
        <v>Y</v>
      </c>
      <c r="W204" s="5" t="str">
        <f t="shared" si="14"/>
        <v>Y</v>
      </c>
      <c r="X204" s="4" t="s">
        <v>51</v>
      </c>
      <c r="Y204" s="3" t="s">
        <v>2478</v>
      </c>
      <c r="Z204" s="3" t="s">
        <v>2479</v>
      </c>
      <c r="AA204" s="4" t="s">
        <v>2480</v>
      </c>
      <c r="AB204" s="4" t="s">
        <v>2481</v>
      </c>
      <c r="AC204" s="5" t="s">
        <v>56</v>
      </c>
      <c r="AH204" s="5" t="str">
        <f t="shared" si="15"/>
        <v>Y</v>
      </c>
      <c r="AI204" s="3" t="s">
        <v>2482</v>
      </c>
      <c r="AJ204" s="3" t="s">
        <v>2483</v>
      </c>
      <c r="AK204" s="3" t="s">
        <v>2484</v>
      </c>
      <c r="AL204" s="3" t="s">
        <v>2485</v>
      </c>
      <c r="AM204" s="4" t="s">
        <v>62</v>
      </c>
      <c r="AP204" s="5">
        <v>1</v>
      </c>
      <c r="AT204" s="7"/>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c r="BT204" s="7"/>
      <c r="BU204" s="7"/>
      <c r="BV204" s="7"/>
      <c r="BW204" s="7"/>
      <c r="BX204" s="7"/>
      <c r="BY204" s="7"/>
      <c r="BZ204" s="7"/>
    </row>
    <row r="205" ht="16.5" customHeight="1">
      <c r="A205" s="3" t="s">
        <v>2486</v>
      </c>
      <c r="B205" s="3" t="s">
        <v>2487</v>
      </c>
      <c r="C205" s="3" t="s">
        <v>2455</v>
      </c>
      <c r="D205" s="3" t="s">
        <v>2200</v>
      </c>
      <c r="E205" s="4" t="s">
        <v>2297</v>
      </c>
      <c r="F205" s="3">
        <v>10505</v>
      </c>
      <c r="H205" s="5" t="str">
        <f t="shared" si="12"/>
        <v>N</v>
      </c>
      <c r="I205" s="4" t="s">
        <v>2488</v>
      </c>
      <c r="J205" s="4" t="s">
        <v>2044</v>
      </c>
      <c r="K205" s="4" t="s">
        <v>2489</v>
      </c>
      <c r="L205" s="4" t="s">
        <v>1819</v>
      </c>
      <c r="M205" s="4" t="s">
        <v>2490</v>
      </c>
      <c r="N205" s="4" t="s">
        <v>596</v>
      </c>
      <c r="O205" s="4" t="s">
        <v>2491</v>
      </c>
      <c r="P205" s="4" t="s">
        <v>2492</v>
      </c>
      <c r="Q205" s="4" t="s">
        <v>2493</v>
      </c>
      <c r="R205" s="4" t="s">
        <v>2494</v>
      </c>
      <c r="S205" s="3" t="s">
        <v>2495</v>
      </c>
      <c r="T205" s="5" t="str">
        <f t="shared" si="13"/>
        <v>Y</v>
      </c>
      <c r="W205" s="5" t="str">
        <f t="shared" si="14"/>
        <v>Y</v>
      </c>
      <c r="X205" s="4" t="s">
        <v>51</v>
      </c>
      <c r="Y205" s="3" t="s">
        <v>2496</v>
      </c>
      <c r="Z205" s="3" t="s">
        <v>2497</v>
      </c>
      <c r="AA205" s="4" t="s">
        <v>2498</v>
      </c>
      <c r="AB205" s="4" t="s">
        <v>2499</v>
      </c>
      <c r="AC205" s="5" t="s">
        <v>56</v>
      </c>
      <c r="AH205" s="5" t="str">
        <f t="shared" si="15"/>
        <v>Y</v>
      </c>
      <c r="AI205" s="3" t="s">
        <v>2500</v>
      </c>
      <c r="AJ205" s="3" t="s">
        <v>2501</v>
      </c>
      <c r="AK205" s="3" t="s">
        <v>2502</v>
      </c>
      <c r="AL205" s="3" t="s">
        <v>2503</v>
      </c>
      <c r="AM205" s="4" t="s">
        <v>62</v>
      </c>
      <c r="AP205" s="5">
        <v>1</v>
      </c>
      <c r="AT205" s="7"/>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c r="BU205" s="7"/>
      <c r="BV205" s="7"/>
      <c r="BW205" s="7"/>
      <c r="BX205" s="7"/>
      <c r="BY205" s="7"/>
      <c r="BZ205" s="7"/>
    </row>
    <row r="206" ht="16.5" customHeight="1">
      <c r="A206" s="3" t="s">
        <v>2504</v>
      </c>
      <c r="B206" s="3" t="s">
        <v>2505</v>
      </c>
      <c r="C206" s="3" t="s">
        <v>2506</v>
      </c>
      <c r="D206" s="3" t="s">
        <v>2200</v>
      </c>
      <c r="E206" s="4" t="s">
        <v>2507</v>
      </c>
      <c r="F206" s="3">
        <v>9468</v>
      </c>
      <c r="H206" s="5" t="str">
        <f t="shared" si="12"/>
        <v>N</v>
      </c>
      <c r="I206" s="4" t="s">
        <v>2508</v>
      </c>
      <c r="J206" s="4" t="s">
        <v>1819</v>
      </c>
      <c r="K206" s="4" t="s">
        <v>2509</v>
      </c>
      <c r="L206" s="4" t="s">
        <v>2442</v>
      </c>
      <c r="M206" s="4" t="s">
        <v>2510</v>
      </c>
      <c r="N206" s="4" t="s">
        <v>2369</v>
      </c>
      <c r="O206" s="4" t="s">
        <v>2511</v>
      </c>
      <c r="P206" s="4" t="s">
        <v>662</v>
      </c>
      <c r="Q206" s="4" t="s">
        <v>2512</v>
      </c>
      <c r="R206" s="4" t="s">
        <v>2513</v>
      </c>
      <c r="S206" s="3" t="s">
        <v>428</v>
      </c>
      <c r="T206" s="5" t="str">
        <f t="shared" si="13"/>
        <v>Y</v>
      </c>
      <c r="W206" s="5" t="str">
        <f t="shared" si="14"/>
        <v>Y</v>
      </c>
      <c r="X206" s="4" t="s">
        <v>51</v>
      </c>
      <c r="Y206" s="3" t="s">
        <v>2514</v>
      </c>
      <c r="Z206" s="3" t="s">
        <v>2515</v>
      </c>
      <c r="AA206" s="4" t="s">
        <v>2516</v>
      </c>
      <c r="AB206" s="4" t="s">
        <v>2517</v>
      </c>
      <c r="AC206" s="5" t="s">
        <v>56</v>
      </c>
      <c r="AH206" s="5" t="str">
        <f t="shared" si="15"/>
        <v>Y</v>
      </c>
      <c r="AI206" s="3" t="s">
        <v>2518</v>
      </c>
      <c r="AJ206" s="3" t="s">
        <v>2519</v>
      </c>
      <c r="AK206" s="3" t="s">
        <v>2520</v>
      </c>
      <c r="AL206" s="3" t="s">
        <v>2521</v>
      </c>
      <c r="AM206" s="4" t="s">
        <v>62</v>
      </c>
      <c r="AP206" s="5">
        <v>1</v>
      </c>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c r="BU206" s="7"/>
      <c r="BV206" s="7"/>
      <c r="BW206" s="7"/>
      <c r="BX206" s="7"/>
      <c r="BY206" s="7"/>
      <c r="BZ206" s="7"/>
    </row>
    <row r="207" ht="16.5" customHeight="1">
      <c r="A207" s="3" t="s">
        <v>2522</v>
      </c>
      <c r="B207" s="3" t="s">
        <v>2523</v>
      </c>
      <c r="C207" s="3" t="s">
        <v>2524</v>
      </c>
      <c r="D207" s="3" t="s">
        <v>2200</v>
      </c>
      <c r="E207" s="4" t="s">
        <v>2507</v>
      </c>
      <c r="F207" s="3">
        <v>6958</v>
      </c>
      <c r="H207" s="5" t="str">
        <f t="shared" si="12"/>
        <v>N</v>
      </c>
      <c r="I207" s="4" t="s">
        <v>2525</v>
      </c>
      <c r="J207" s="4" t="s">
        <v>1819</v>
      </c>
      <c r="K207" s="4" t="s">
        <v>2526</v>
      </c>
      <c r="L207" s="4" t="s">
        <v>2442</v>
      </c>
      <c r="M207" s="4" t="s">
        <v>2510</v>
      </c>
      <c r="N207" s="4" t="s">
        <v>2369</v>
      </c>
      <c r="O207" s="4" t="s">
        <v>2527</v>
      </c>
      <c r="P207" s="4" t="s">
        <v>662</v>
      </c>
      <c r="Q207" s="4" t="s">
        <v>2528</v>
      </c>
      <c r="R207" s="4" t="s">
        <v>2529</v>
      </c>
      <c r="S207" s="3" t="s">
        <v>878</v>
      </c>
      <c r="T207" s="5" t="str">
        <f t="shared" si="13"/>
        <v>Y</v>
      </c>
      <c r="W207" s="5" t="str">
        <f t="shared" si="14"/>
        <v>Y</v>
      </c>
      <c r="X207" s="4" t="s">
        <v>51</v>
      </c>
      <c r="Y207" s="3" t="s">
        <v>2530</v>
      </c>
      <c r="Z207" s="3" t="s">
        <v>2531</v>
      </c>
      <c r="AA207" s="4" t="s">
        <v>2532</v>
      </c>
      <c r="AB207" s="4" t="s">
        <v>2533</v>
      </c>
      <c r="AC207" s="5" t="s">
        <v>56</v>
      </c>
      <c r="AH207" s="5" t="str">
        <f t="shared" si="15"/>
        <v>Y</v>
      </c>
      <c r="AI207" s="3" t="s">
        <v>2534</v>
      </c>
      <c r="AJ207" s="3" t="s">
        <v>2535</v>
      </c>
      <c r="AK207" s="3" t="s">
        <v>2536</v>
      </c>
      <c r="AL207" s="3" t="s">
        <v>2537</v>
      </c>
      <c r="AM207" s="4" t="s">
        <v>62</v>
      </c>
      <c r="AP207" s="5">
        <v>1</v>
      </c>
      <c r="AT207" s="7"/>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c r="BT207" s="7"/>
      <c r="BU207" s="7"/>
      <c r="BV207" s="7"/>
      <c r="BW207" s="7"/>
      <c r="BX207" s="7"/>
      <c r="BY207" s="7"/>
      <c r="BZ207" s="7"/>
    </row>
    <row r="208" ht="16.5" customHeight="1">
      <c r="A208" s="3" t="s">
        <v>2538</v>
      </c>
      <c r="B208" s="3" t="s">
        <v>2539</v>
      </c>
      <c r="C208" s="3" t="s">
        <v>2540</v>
      </c>
      <c r="D208" s="3" t="s">
        <v>2200</v>
      </c>
      <c r="E208" s="4" t="s">
        <v>2271</v>
      </c>
      <c r="F208" s="3">
        <v>7073</v>
      </c>
      <c r="H208" s="5" t="str">
        <f t="shared" si="12"/>
        <v>N</v>
      </c>
      <c r="I208" s="4" t="s">
        <v>2541</v>
      </c>
      <c r="J208" s="4" t="s">
        <v>2044</v>
      </c>
      <c r="K208" s="4" t="s">
        <v>2542</v>
      </c>
      <c r="L208" s="4" t="s">
        <v>662</v>
      </c>
      <c r="M208" s="4" t="s">
        <v>2543</v>
      </c>
      <c r="N208" s="4" t="s">
        <v>1819</v>
      </c>
      <c r="O208" s="4" t="s">
        <v>2544</v>
      </c>
      <c r="P208" s="4" t="s">
        <v>480</v>
      </c>
      <c r="Q208" s="4" t="s">
        <v>2545</v>
      </c>
      <c r="R208" s="4" t="s">
        <v>2546</v>
      </c>
      <c r="S208" s="3" t="s">
        <v>2547</v>
      </c>
      <c r="T208" s="5" t="str">
        <f t="shared" si="13"/>
        <v>Y</v>
      </c>
      <c r="W208" s="5" t="str">
        <f t="shared" si="14"/>
        <v>Y</v>
      </c>
      <c r="X208" s="4" t="s">
        <v>51</v>
      </c>
      <c r="Y208" s="3" t="s">
        <v>2548</v>
      </c>
      <c r="Z208" s="3" t="s">
        <v>2549</v>
      </c>
      <c r="AA208" s="4" t="s">
        <v>2550</v>
      </c>
      <c r="AB208" s="4" t="s">
        <v>2551</v>
      </c>
      <c r="AC208" s="5" t="s">
        <v>56</v>
      </c>
      <c r="AH208" s="5" t="str">
        <f t="shared" si="15"/>
        <v>Y</v>
      </c>
      <c r="AI208" s="3" t="s">
        <v>2552</v>
      </c>
      <c r="AJ208" s="3" t="s">
        <v>2553</v>
      </c>
      <c r="AK208" s="3" t="s">
        <v>2554</v>
      </c>
      <c r="AL208" s="3" t="s">
        <v>2555</v>
      </c>
      <c r="AM208" s="4" t="s">
        <v>62</v>
      </c>
      <c r="AP208" s="5">
        <v>1</v>
      </c>
      <c r="AT208" s="7"/>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c r="BU208" s="7"/>
      <c r="BV208" s="7"/>
      <c r="BW208" s="7"/>
      <c r="BX208" s="7"/>
      <c r="BY208" s="7"/>
      <c r="BZ208" s="7"/>
    </row>
    <row r="209" ht="16.5" customHeight="1">
      <c r="A209" s="3" t="s">
        <v>2556</v>
      </c>
      <c r="B209" s="3" t="s">
        <v>2557</v>
      </c>
      <c r="C209" s="3" t="s">
        <v>2558</v>
      </c>
      <c r="D209" s="3" t="s">
        <v>2200</v>
      </c>
      <c r="E209" s="4" t="s">
        <v>2271</v>
      </c>
      <c r="F209" s="3">
        <v>9362</v>
      </c>
      <c r="H209" s="5" t="str">
        <f t="shared" si="12"/>
        <v>N</v>
      </c>
      <c r="I209" s="4" t="s">
        <v>2559</v>
      </c>
      <c r="J209" s="4" t="s">
        <v>1857</v>
      </c>
      <c r="K209" s="4" t="s">
        <v>2560</v>
      </c>
      <c r="L209" s="4" t="s">
        <v>577</v>
      </c>
      <c r="M209" s="4" t="s">
        <v>2561</v>
      </c>
      <c r="N209" s="4" t="s">
        <v>2425</v>
      </c>
      <c r="O209" s="4" t="s">
        <v>2562</v>
      </c>
      <c r="P209" s="4" t="s">
        <v>480</v>
      </c>
      <c r="Q209" s="4" t="s">
        <v>2563</v>
      </c>
      <c r="R209" s="4" t="s">
        <v>2564</v>
      </c>
      <c r="S209" s="4" t="s">
        <v>182</v>
      </c>
      <c r="T209" s="5" t="str">
        <f t="shared" si="13"/>
        <v>Y</v>
      </c>
      <c r="W209" s="5" t="str">
        <f t="shared" si="14"/>
        <v>Y</v>
      </c>
      <c r="X209" s="4" t="s">
        <v>51</v>
      </c>
      <c r="Y209" s="4" t="s">
        <v>2565</v>
      </c>
      <c r="Z209" s="4" t="s">
        <v>2566</v>
      </c>
      <c r="AA209" s="4" t="s">
        <v>2567</v>
      </c>
      <c r="AB209" s="4" t="s">
        <v>2568</v>
      </c>
      <c r="AC209" s="5" t="s">
        <v>56</v>
      </c>
      <c r="AH209" s="5" t="str">
        <f t="shared" si="15"/>
        <v>Y</v>
      </c>
      <c r="AI209" s="4" t="s">
        <v>2569</v>
      </c>
      <c r="AJ209" s="4" t="s">
        <v>2570</v>
      </c>
      <c r="AK209" s="3" t="s">
        <v>2571</v>
      </c>
      <c r="AL209" s="3" t="s">
        <v>2572</v>
      </c>
      <c r="AM209" s="4" t="s">
        <v>62</v>
      </c>
      <c r="AP209" s="5">
        <v>1</v>
      </c>
      <c r="AT209" s="7"/>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c r="BT209" s="7"/>
      <c r="BU209" s="7"/>
      <c r="BV209" s="7"/>
      <c r="BW209" s="7"/>
      <c r="BX209" s="7"/>
      <c r="BY209" s="7"/>
      <c r="BZ209" s="7"/>
    </row>
    <row r="210" ht="16.5" customHeight="1">
      <c r="A210" s="3" t="s">
        <v>2573</v>
      </c>
      <c r="B210" s="3" t="s">
        <v>2574</v>
      </c>
      <c r="C210" s="3" t="s">
        <v>2575</v>
      </c>
      <c r="D210" s="3" t="s">
        <v>2576</v>
      </c>
      <c r="E210" s="4" t="s">
        <v>2577</v>
      </c>
      <c r="F210" s="3">
        <v>9044</v>
      </c>
      <c r="H210" s="5" t="str">
        <f t="shared" si="12"/>
        <v>N</v>
      </c>
      <c r="I210" s="4" t="s">
        <v>2578</v>
      </c>
      <c r="J210" s="4" t="s">
        <v>2579</v>
      </c>
      <c r="K210" s="4" t="s">
        <v>2580</v>
      </c>
      <c r="L210" s="4" t="s">
        <v>2581</v>
      </c>
      <c r="M210" s="4" t="s">
        <v>2582</v>
      </c>
      <c r="N210" s="4" t="s">
        <v>622</v>
      </c>
      <c r="O210" s="4" t="s">
        <v>2583</v>
      </c>
      <c r="P210" s="4" t="s">
        <v>2584</v>
      </c>
      <c r="Q210" s="4" t="s">
        <v>2585</v>
      </c>
      <c r="R210" s="4" t="s">
        <v>2586</v>
      </c>
      <c r="S210" s="4" t="s">
        <v>182</v>
      </c>
      <c r="T210" s="5" t="str">
        <f t="shared" si="13"/>
        <v>Y</v>
      </c>
      <c r="W210" s="5" t="str">
        <f t="shared" si="14"/>
        <v>Y</v>
      </c>
      <c r="X210" s="4" t="s">
        <v>51</v>
      </c>
      <c r="Y210" s="4" t="s">
        <v>2587</v>
      </c>
      <c r="Z210" s="4" t="s">
        <v>2588</v>
      </c>
      <c r="AA210" s="4" t="s">
        <v>2589</v>
      </c>
      <c r="AB210" s="4" t="s">
        <v>2590</v>
      </c>
      <c r="AC210" s="5" t="s">
        <v>56</v>
      </c>
      <c r="AH210" s="5" t="str">
        <f t="shared" si="15"/>
        <v>Y</v>
      </c>
      <c r="AI210" s="4" t="s">
        <v>2591</v>
      </c>
      <c r="AJ210" s="4" t="s">
        <v>2592</v>
      </c>
      <c r="AK210" s="3" t="s">
        <v>2593</v>
      </c>
      <c r="AL210" s="3" t="s">
        <v>2594</v>
      </c>
      <c r="AM210" s="4" t="s">
        <v>62</v>
      </c>
      <c r="AP210" s="5">
        <v>1</v>
      </c>
      <c r="AT210" s="7"/>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c r="BT210" s="7"/>
      <c r="BU210" s="7"/>
      <c r="BV210" s="7"/>
      <c r="BW210" s="7"/>
      <c r="BX210" s="7"/>
      <c r="BY210" s="7"/>
      <c r="BZ210" s="7"/>
    </row>
    <row r="211" ht="16.5" customHeight="1">
      <c r="A211" s="3" t="s">
        <v>2595</v>
      </c>
      <c r="B211" s="3" t="s">
        <v>2596</v>
      </c>
      <c r="C211" s="3" t="s">
        <v>2597</v>
      </c>
      <c r="D211" s="3" t="s">
        <v>2576</v>
      </c>
      <c r="E211" s="4" t="s">
        <v>2577</v>
      </c>
      <c r="F211" s="3">
        <v>9039</v>
      </c>
      <c r="H211" s="5" t="str">
        <f t="shared" si="12"/>
        <v>N</v>
      </c>
      <c r="I211" s="4" t="s">
        <v>2598</v>
      </c>
      <c r="J211" s="4" t="s">
        <v>2579</v>
      </c>
      <c r="K211" s="4" t="s">
        <v>2599</v>
      </c>
      <c r="L211" s="4" t="s">
        <v>2600</v>
      </c>
      <c r="M211" s="4" t="s">
        <v>2601</v>
      </c>
      <c r="N211" s="4" t="s">
        <v>480</v>
      </c>
      <c r="O211" s="4" t="s">
        <v>2602</v>
      </c>
      <c r="P211" s="4" t="s">
        <v>911</v>
      </c>
      <c r="Q211" s="4" t="s">
        <v>2603</v>
      </c>
      <c r="R211" s="4" t="s">
        <v>2604</v>
      </c>
      <c r="S211" s="3" t="s">
        <v>878</v>
      </c>
      <c r="T211" s="5" t="str">
        <f t="shared" si="13"/>
        <v>Y</v>
      </c>
      <c r="W211" s="5" t="str">
        <f t="shared" si="14"/>
        <v>Y</v>
      </c>
      <c r="X211" s="4" t="s">
        <v>51</v>
      </c>
      <c r="Y211" s="4" t="s">
        <v>2605</v>
      </c>
      <c r="Z211" s="4" t="s">
        <v>2606</v>
      </c>
      <c r="AA211" s="4" t="s">
        <v>2607</v>
      </c>
      <c r="AB211" s="4" t="s">
        <v>2608</v>
      </c>
      <c r="AC211" s="5" t="s">
        <v>56</v>
      </c>
      <c r="AH211" s="5" t="str">
        <f t="shared" si="15"/>
        <v>Y</v>
      </c>
      <c r="AI211" s="4" t="s">
        <v>2609</v>
      </c>
      <c r="AJ211" s="4" t="s">
        <v>2610</v>
      </c>
      <c r="AK211" s="3" t="s">
        <v>2611</v>
      </c>
      <c r="AL211" s="3" t="s">
        <v>2612</v>
      </c>
      <c r="AM211" s="4" t="s">
        <v>62</v>
      </c>
      <c r="AP211" s="5">
        <v>1</v>
      </c>
      <c r="AT211" s="7"/>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c r="BT211" s="7"/>
      <c r="BU211" s="7"/>
      <c r="BV211" s="7"/>
      <c r="BW211" s="7"/>
      <c r="BX211" s="7"/>
      <c r="BY211" s="7"/>
      <c r="BZ211" s="7"/>
    </row>
    <row r="212" ht="16.5" customHeight="1">
      <c r="A212" s="3" t="s">
        <v>2613</v>
      </c>
      <c r="B212" s="3" t="s">
        <v>2614</v>
      </c>
      <c r="C212" s="3" t="s">
        <v>2615</v>
      </c>
      <c r="D212" s="3" t="s">
        <v>2576</v>
      </c>
      <c r="E212" s="4" t="s">
        <v>2577</v>
      </c>
      <c r="F212" s="3">
        <v>9041</v>
      </c>
      <c r="H212" s="5" t="str">
        <f t="shared" si="12"/>
        <v>N</v>
      </c>
      <c r="I212" s="4" t="s">
        <v>2616</v>
      </c>
      <c r="J212" s="4" t="s">
        <v>2579</v>
      </c>
      <c r="K212" s="4" t="s">
        <v>2599</v>
      </c>
      <c r="L212" s="4" t="s">
        <v>2600</v>
      </c>
      <c r="M212" s="4" t="s">
        <v>2601</v>
      </c>
      <c r="N212" s="4" t="s">
        <v>480</v>
      </c>
      <c r="O212" s="4" t="s">
        <v>2602</v>
      </c>
      <c r="P212" s="4" t="s">
        <v>911</v>
      </c>
      <c r="Q212" s="4" t="s">
        <v>2603</v>
      </c>
      <c r="R212" s="4" t="s">
        <v>2617</v>
      </c>
      <c r="S212" s="3" t="s">
        <v>428</v>
      </c>
      <c r="T212" s="5" t="str">
        <f t="shared" si="13"/>
        <v>Y</v>
      </c>
      <c r="W212" s="5" t="str">
        <f t="shared" si="14"/>
        <v>Y</v>
      </c>
      <c r="X212" s="4" t="s">
        <v>51</v>
      </c>
      <c r="Y212" s="4" t="s">
        <v>2618</v>
      </c>
      <c r="Z212" s="4" t="s">
        <v>2619</v>
      </c>
      <c r="AA212" s="4" t="s">
        <v>2620</v>
      </c>
      <c r="AB212" s="4" t="s">
        <v>2621</v>
      </c>
      <c r="AC212" s="5" t="s">
        <v>56</v>
      </c>
      <c r="AH212" s="5" t="str">
        <f t="shared" si="15"/>
        <v>Y</v>
      </c>
      <c r="AI212" s="4" t="s">
        <v>2609</v>
      </c>
      <c r="AJ212" s="4" t="s">
        <v>2610</v>
      </c>
      <c r="AK212" s="3" t="s">
        <v>2622</v>
      </c>
      <c r="AL212" s="3" t="s">
        <v>2623</v>
      </c>
      <c r="AM212" s="4" t="s">
        <v>62</v>
      </c>
      <c r="AP212" s="5">
        <v>1</v>
      </c>
      <c r="AT212" s="7"/>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c r="BT212" s="7"/>
      <c r="BU212" s="7"/>
      <c r="BV212" s="7"/>
      <c r="BW212" s="7"/>
      <c r="BX212" s="7"/>
      <c r="BY212" s="7"/>
      <c r="BZ212" s="7"/>
    </row>
    <row r="213" ht="16.5" customHeight="1">
      <c r="A213" s="3" t="s">
        <v>2624</v>
      </c>
      <c r="B213" s="3" t="s">
        <v>2625</v>
      </c>
      <c r="C213" s="3" t="s">
        <v>2626</v>
      </c>
      <c r="D213" s="3" t="s">
        <v>2576</v>
      </c>
      <c r="E213" s="4" t="s">
        <v>2577</v>
      </c>
      <c r="F213" s="3">
        <v>9042</v>
      </c>
      <c r="H213" s="5" t="str">
        <f t="shared" si="12"/>
        <v>N</v>
      </c>
      <c r="I213" s="4" t="s">
        <v>2627</v>
      </c>
      <c r="J213" s="4" t="s">
        <v>2579</v>
      </c>
      <c r="K213" s="4" t="s">
        <v>2599</v>
      </c>
      <c r="L213" s="4" t="s">
        <v>2600</v>
      </c>
      <c r="M213" s="4" t="s">
        <v>2601</v>
      </c>
      <c r="N213" s="4" t="s">
        <v>480</v>
      </c>
      <c r="O213" s="4" t="s">
        <v>2602</v>
      </c>
      <c r="P213" s="4" t="s">
        <v>911</v>
      </c>
      <c r="Q213" s="4" t="s">
        <v>2603</v>
      </c>
      <c r="R213" s="4" t="s">
        <v>2628</v>
      </c>
      <c r="S213" s="3" t="s">
        <v>428</v>
      </c>
      <c r="T213" s="5" t="str">
        <f t="shared" si="13"/>
        <v>Y</v>
      </c>
      <c r="W213" s="5" t="str">
        <f t="shared" si="14"/>
        <v>Y</v>
      </c>
      <c r="X213" s="4" t="s">
        <v>51</v>
      </c>
      <c r="Y213" s="4" t="s">
        <v>2629</v>
      </c>
      <c r="Z213" s="4" t="s">
        <v>2630</v>
      </c>
      <c r="AA213" s="4" t="s">
        <v>2631</v>
      </c>
      <c r="AB213" s="4" t="s">
        <v>2632</v>
      </c>
      <c r="AC213" s="5" t="s">
        <v>56</v>
      </c>
      <c r="AH213" s="5" t="str">
        <f t="shared" si="15"/>
        <v>Y</v>
      </c>
      <c r="AI213" s="4" t="s">
        <v>2609</v>
      </c>
      <c r="AJ213" s="4" t="s">
        <v>2610</v>
      </c>
      <c r="AK213" s="3" t="s">
        <v>2633</v>
      </c>
      <c r="AL213" s="3" t="s">
        <v>2634</v>
      </c>
      <c r="AM213" s="4" t="s">
        <v>62</v>
      </c>
      <c r="AP213" s="5">
        <v>1</v>
      </c>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c r="BU213" s="7"/>
      <c r="BV213" s="7"/>
      <c r="BW213" s="7"/>
      <c r="BX213" s="7"/>
      <c r="BY213" s="7"/>
      <c r="BZ213" s="7"/>
    </row>
    <row r="214" ht="16.5" customHeight="1">
      <c r="A214" s="3" t="s">
        <v>2635</v>
      </c>
      <c r="B214" s="3" t="s">
        <v>2636</v>
      </c>
      <c r="C214" s="3" t="s">
        <v>2637</v>
      </c>
      <c r="D214" s="3" t="s">
        <v>2576</v>
      </c>
      <c r="E214" s="4" t="s">
        <v>2577</v>
      </c>
      <c r="F214" s="3">
        <v>9040</v>
      </c>
      <c r="H214" s="5" t="str">
        <f t="shared" si="12"/>
        <v>N</v>
      </c>
      <c r="I214" s="4" t="s">
        <v>2638</v>
      </c>
      <c r="J214" s="4" t="s">
        <v>2579</v>
      </c>
      <c r="K214" s="4" t="s">
        <v>2599</v>
      </c>
      <c r="L214" s="4" t="s">
        <v>2600</v>
      </c>
      <c r="M214" s="4" t="s">
        <v>2601</v>
      </c>
      <c r="N214" s="4" t="s">
        <v>480</v>
      </c>
      <c r="O214" s="4" t="s">
        <v>2602</v>
      </c>
      <c r="P214" s="4" t="s">
        <v>911</v>
      </c>
      <c r="Q214" s="4" t="s">
        <v>2603</v>
      </c>
      <c r="R214" s="4" t="s">
        <v>2639</v>
      </c>
      <c r="S214" s="3" t="s">
        <v>878</v>
      </c>
      <c r="T214" s="5" t="str">
        <f t="shared" si="13"/>
        <v>Y</v>
      </c>
      <c r="W214" s="5" t="str">
        <f t="shared" si="14"/>
        <v>Y</v>
      </c>
      <c r="X214" s="4" t="s">
        <v>51</v>
      </c>
      <c r="Y214" s="4" t="s">
        <v>2640</v>
      </c>
      <c r="Z214" s="4" t="s">
        <v>2641</v>
      </c>
      <c r="AA214" s="4" t="s">
        <v>2642</v>
      </c>
      <c r="AB214" s="4" t="s">
        <v>2643</v>
      </c>
      <c r="AC214" s="5" t="s">
        <v>56</v>
      </c>
      <c r="AH214" s="5" t="str">
        <f t="shared" si="15"/>
        <v>Y</v>
      </c>
      <c r="AI214" s="4" t="s">
        <v>2609</v>
      </c>
      <c r="AJ214" s="4" t="s">
        <v>2610</v>
      </c>
      <c r="AK214" s="3" t="s">
        <v>2644</v>
      </c>
      <c r="AL214" s="3" t="s">
        <v>2645</v>
      </c>
      <c r="AM214" s="4" t="s">
        <v>62</v>
      </c>
      <c r="AP214" s="5">
        <v>1</v>
      </c>
      <c r="AT214" s="7"/>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c r="BT214" s="7"/>
      <c r="BU214" s="7"/>
      <c r="BV214" s="7"/>
      <c r="BW214" s="7"/>
      <c r="BX214" s="7"/>
      <c r="BY214" s="7"/>
      <c r="BZ214" s="7"/>
    </row>
    <row r="215" ht="16.5" customHeight="1">
      <c r="A215" s="3" t="s">
        <v>2646</v>
      </c>
      <c r="B215" s="3" t="s">
        <v>2647</v>
      </c>
      <c r="C215" s="3" t="s">
        <v>2648</v>
      </c>
      <c r="D215" s="3" t="s">
        <v>2576</v>
      </c>
      <c r="E215" s="4" t="s">
        <v>2577</v>
      </c>
      <c r="F215" s="3">
        <v>9043</v>
      </c>
      <c r="H215" s="5" t="str">
        <f t="shared" si="12"/>
        <v>N</v>
      </c>
      <c r="I215" s="4" t="s">
        <v>2649</v>
      </c>
      <c r="J215" s="4" t="s">
        <v>2579</v>
      </c>
      <c r="K215" s="4" t="s">
        <v>2599</v>
      </c>
      <c r="L215" s="4" t="s">
        <v>2600</v>
      </c>
      <c r="M215" s="4" t="s">
        <v>2601</v>
      </c>
      <c r="N215" s="4" t="s">
        <v>480</v>
      </c>
      <c r="O215" s="4" t="s">
        <v>2602</v>
      </c>
      <c r="P215" s="4" t="s">
        <v>911</v>
      </c>
      <c r="Q215" s="4" t="s">
        <v>2603</v>
      </c>
      <c r="R215" s="4" t="s">
        <v>2650</v>
      </c>
      <c r="S215" s="3" t="s">
        <v>823</v>
      </c>
      <c r="T215" s="5" t="str">
        <f t="shared" si="13"/>
        <v>Y</v>
      </c>
      <c r="W215" s="5" t="str">
        <f t="shared" si="14"/>
        <v>Y</v>
      </c>
      <c r="X215" s="4" t="s">
        <v>51</v>
      </c>
      <c r="Y215" s="4" t="s">
        <v>2651</v>
      </c>
      <c r="Z215" s="4" t="s">
        <v>2652</v>
      </c>
      <c r="AA215" s="4" t="s">
        <v>2653</v>
      </c>
      <c r="AB215" s="4" t="s">
        <v>2654</v>
      </c>
      <c r="AC215" s="5" t="s">
        <v>56</v>
      </c>
      <c r="AH215" s="5" t="str">
        <f t="shared" si="15"/>
        <v>Y</v>
      </c>
      <c r="AI215" s="4" t="s">
        <v>2609</v>
      </c>
      <c r="AJ215" s="4" t="s">
        <v>2610</v>
      </c>
      <c r="AK215" s="3" t="s">
        <v>2655</v>
      </c>
      <c r="AL215" s="3" t="s">
        <v>2656</v>
      </c>
      <c r="AM215" s="4" t="s">
        <v>62</v>
      </c>
      <c r="AP215" s="5">
        <v>1</v>
      </c>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c r="BU215" s="7"/>
      <c r="BV215" s="7"/>
      <c r="BW215" s="7"/>
      <c r="BX215" s="7"/>
      <c r="BY215" s="7"/>
      <c r="BZ215" s="7"/>
    </row>
    <row r="216" ht="16.5" customHeight="1">
      <c r="A216" s="3" t="s">
        <v>2657</v>
      </c>
      <c r="B216" s="3" t="s">
        <v>2658</v>
      </c>
      <c r="C216" s="3" t="s">
        <v>2659</v>
      </c>
      <c r="D216" s="3" t="s">
        <v>2660</v>
      </c>
      <c r="E216" s="4" t="s">
        <v>2661</v>
      </c>
      <c r="F216" s="3">
        <v>10560</v>
      </c>
      <c r="H216" s="5" t="str">
        <f t="shared" si="12"/>
        <v>N</v>
      </c>
      <c r="I216" s="4" t="s">
        <v>2662</v>
      </c>
      <c r="J216" s="4" t="s">
        <v>2663</v>
      </c>
      <c r="K216" s="4" t="s">
        <v>2664</v>
      </c>
      <c r="L216" s="4" t="s">
        <v>2665</v>
      </c>
      <c r="M216" s="4" t="s">
        <v>2666</v>
      </c>
      <c r="N216" s="4" t="s">
        <v>2667</v>
      </c>
      <c r="O216" s="4" t="s">
        <v>2668</v>
      </c>
      <c r="P216" s="4" t="s">
        <v>2669</v>
      </c>
      <c r="Q216" s="4" t="s">
        <v>2670</v>
      </c>
      <c r="R216" s="4" t="s">
        <v>2671</v>
      </c>
      <c r="S216" s="4" t="s">
        <v>203</v>
      </c>
      <c r="T216" s="5" t="str">
        <f t="shared" si="13"/>
        <v>Y</v>
      </c>
      <c r="W216" s="5" t="str">
        <f t="shared" si="14"/>
        <v>Y</v>
      </c>
      <c r="X216" s="4" t="s">
        <v>51</v>
      </c>
      <c r="Y216" s="4" t="s">
        <v>2672</v>
      </c>
      <c r="Z216" s="4" t="s">
        <v>2673</v>
      </c>
      <c r="AA216" s="4" t="s">
        <v>2674</v>
      </c>
      <c r="AB216" s="4" t="s">
        <v>2675</v>
      </c>
      <c r="AC216" s="5" t="s">
        <v>56</v>
      </c>
      <c r="AH216" s="5" t="str">
        <f t="shared" si="15"/>
        <v>Y</v>
      </c>
      <c r="AI216" s="4" t="s">
        <v>2676</v>
      </c>
      <c r="AJ216" s="4" t="s">
        <v>2677</v>
      </c>
      <c r="AK216" s="3" t="s">
        <v>2678</v>
      </c>
      <c r="AL216" s="3" t="s">
        <v>2679</v>
      </c>
      <c r="AM216" s="4" t="s">
        <v>62</v>
      </c>
      <c r="AP216" s="5">
        <v>1</v>
      </c>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c r="BU216" s="7"/>
      <c r="BV216" s="7"/>
      <c r="BW216" s="7"/>
      <c r="BX216" s="7"/>
      <c r="BY216" s="7"/>
      <c r="BZ216" s="7"/>
    </row>
    <row r="217" ht="16.5" customHeight="1">
      <c r="A217" s="3" t="s">
        <v>2680</v>
      </c>
      <c r="B217" s="3" t="s">
        <v>2681</v>
      </c>
      <c r="C217" s="3" t="s">
        <v>2682</v>
      </c>
      <c r="D217" s="3" t="s">
        <v>2660</v>
      </c>
      <c r="E217" s="4" t="s">
        <v>2661</v>
      </c>
      <c r="F217" s="3">
        <v>7995</v>
      </c>
      <c r="H217" s="5" t="str">
        <f t="shared" si="12"/>
        <v>N</v>
      </c>
      <c r="I217" s="4" t="s">
        <v>2683</v>
      </c>
      <c r="J217" s="4" t="s">
        <v>2663</v>
      </c>
      <c r="K217" s="4" t="s">
        <v>2664</v>
      </c>
      <c r="L217" s="4" t="s">
        <v>2667</v>
      </c>
      <c r="M217" s="4" t="s">
        <v>2684</v>
      </c>
      <c r="N217" s="4" t="s">
        <v>2685</v>
      </c>
      <c r="O217" s="4" t="s">
        <v>2686</v>
      </c>
      <c r="P217" s="4" t="s">
        <v>2669</v>
      </c>
      <c r="Q217" s="4" t="s">
        <v>2687</v>
      </c>
      <c r="R217" s="4" t="s">
        <v>2688</v>
      </c>
      <c r="S217" s="4" t="s">
        <v>182</v>
      </c>
      <c r="T217" s="5" t="str">
        <f t="shared" si="13"/>
        <v>Y</v>
      </c>
      <c r="W217" s="5" t="str">
        <f t="shared" si="14"/>
        <v>Y</v>
      </c>
      <c r="X217" s="4" t="s">
        <v>51</v>
      </c>
      <c r="Y217" s="4" t="s">
        <v>2689</v>
      </c>
      <c r="Z217" s="4" t="s">
        <v>2690</v>
      </c>
      <c r="AA217" s="4" t="s">
        <v>2691</v>
      </c>
      <c r="AB217" s="4" t="s">
        <v>2692</v>
      </c>
      <c r="AC217" s="5" t="s">
        <v>56</v>
      </c>
      <c r="AH217" s="5" t="str">
        <f t="shared" si="15"/>
        <v>Y</v>
      </c>
      <c r="AI217" s="4" t="s">
        <v>2693</v>
      </c>
      <c r="AJ217" s="4" t="s">
        <v>2694</v>
      </c>
      <c r="AK217" s="3" t="s">
        <v>2695</v>
      </c>
      <c r="AL217" s="3" t="s">
        <v>2696</v>
      </c>
      <c r="AM217" s="4" t="s">
        <v>62</v>
      </c>
      <c r="AP217" s="5">
        <v>1</v>
      </c>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c r="BT217" s="7"/>
      <c r="BU217" s="7"/>
      <c r="BV217" s="7"/>
      <c r="BW217" s="7"/>
      <c r="BX217" s="7"/>
      <c r="BY217" s="7"/>
      <c r="BZ217" s="7"/>
    </row>
    <row r="218" ht="16.5" customHeight="1">
      <c r="A218" s="3" t="s">
        <v>2697</v>
      </c>
      <c r="B218" s="3" t="s">
        <v>2698</v>
      </c>
      <c r="C218" s="3" t="s">
        <v>2699</v>
      </c>
      <c r="D218" s="3" t="s">
        <v>2660</v>
      </c>
      <c r="E218" s="4" t="s">
        <v>2661</v>
      </c>
      <c r="F218" s="3">
        <v>7996</v>
      </c>
      <c r="H218" s="5" t="str">
        <f t="shared" si="12"/>
        <v>N</v>
      </c>
      <c r="I218" s="4" t="s">
        <v>2700</v>
      </c>
      <c r="J218" s="4" t="s">
        <v>2663</v>
      </c>
      <c r="K218" s="4" t="s">
        <v>2664</v>
      </c>
      <c r="L218" s="4" t="s">
        <v>2665</v>
      </c>
      <c r="M218" s="4" t="s">
        <v>2666</v>
      </c>
      <c r="N218" s="4" t="s">
        <v>2667</v>
      </c>
      <c r="O218" s="4" t="s">
        <v>2701</v>
      </c>
      <c r="P218" s="4" t="s">
        <v>2669</v>
      </c>
      <c r="Q218" s="4" t="s">
        <v>2702</v>
      </c>
      <c r="R218" s="4" t="s">
        <v>2703</v>
      </c>
      <c r="S218" s="3" t="s">
        <v>144</v>
      </c>
      <c r="T218" s="5" t="str">
        <f t="shared" si="13"/>
        <v>Y</v>
      </c>
      <c r="W218" s="5" t="str">
        <f t="shared" si="14"/>
        <v>Y</v>
      </c>
      <c r="X218" s="4" t="s">
        <v>51</v>
      </c>
      <c r="Y218" s="4" t="s">
        <v>2704</v>
      </c>
      <c r="Z218" s="4" t="s">
        <v>2705</v>
      </c>
      <c r="AA218" s="4" t="s">
        <v>2706</v>
      </c>
      <c r="AB218" s="4" t="s">
        <v>2707</v>
      </c>
      <c r="AC218" s="5" t="s">
        <v>56</v>
      </c>
      <c r="AH218" s="5" t="str">
        <f t="shared" si="15"/>
        <v>Y</v>
      </c>
      <c r="AI218" s="4" t="s">
        <v>2708</v>
      </c>
      <c r="AJ218" s="4" t="s">
        <v>2709</v>
      </c>
      <c r="AK218" s="3" t="s">
        <v>2710</v>
      </c>
      <c r="AL218" s="3" t="s">
        <v>2711</v>
      </c>
      <c r="AM218" s="4" t="s">
        <v>62</v>
      </c>
      <c r="AP218" s="5">
        <v>1</v>
      </c>
      <c r="AT218" s="7"/>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c r="BU218" s="7"/>
      <c r="BV218" s="7"/>
      <c r="BW218" s="7"/>
      <c r="BX218" s="7"/>
      <c r="BY218" s="7"/>
      <c r="BZ218" s="7"/>
    </row>
    <row r="219" ht="16.5" customHeight="1">
      <c r="A219" s="3" t="s">
        <v>2712</v>
      </c>
      <c r="B219" s="3" t="s">
        <v>2713</v>
      </c>
      <c r="C219" s="3" t="s">
        <v>2714</v>
      </c>
      <c r="D219" s="3" t="s">
        <v>2660</v>
      </c>
      <c r="E219" s="4" t="s">
        <v>2661</v>
      </c>
      <c r="F219" s="3">
        <v>7994</v>
      </c>
      <c r="H219" s="5" t="str">
        <f t="shared" si="12"/>
        <v>N</v>
      </c>
      <c r="I219" s="4" t="s">
        <v>2715</v>
      </c>
      <c r="J219" s="4" t="s">
        <v>2716</v>
      </c>
      <c r="K219" s="4" t="s">
        <v>2717</v>
      </c>
      <c r="L219" s="4" t="s">
        <v>2718</v>
      </c>
      <c r="M219" s="4" t="s">
        <v>2719</v>
      </c>
      <c r="N219" s="4" t="s">
        <v>2720</v>
      </c>
      <c r="O219" s="4" t="s">
        <v>2721</v>
      </c>
      <c r="P219" s="4" t="s">
        <v>2722</v>
      </c>
      <c r="Q219" s="4" t="s">
        <v>2723</v>
      </c>
      <c r="R219" s="4" t="s">
        <v>2724</v>
      </c>
      <c r="S219" s="3" t="s">
        <v>428</v>
      </c>
      <c r="T219" s="5" t="str">
        <f t="shared" si="13"/>
        <v>Y</v>
      </c>
      <c r="W219" s="5" t="str">
        <f t="shared" si="14"/>
        <v>Y</v>
      </c>
      <c r="X219" s="4" t="s">
        <v>51</v>
      </c>
      <c r="Y219" s="4" t="s">
        <v>2725</v>
      </c>
      <c r="Z219" s="4" t="s">
        <v>2726</v>
      </c>
      <c r="AA219" s="4" t="s">
        <v>2727</v>
      </c>
      <c r="AB219" s="4" t="s">
        <v>2728</v>
      </c>
      <c r="AC219" s="5" t="s">
        <v>56</v>
      </c>
      <c r="AH219" s="5" t="str">
        <f t="shared" si="15"/>
        <v>Y</v>
      </c>
      <c r="AI219" s="4" t="s">
        <v>2729</v>
      </c>
      <c r="AJ219" s="4" t="s">
        <v>2730</v>
      </c>
      <c r="AK219" s="3" t="s">
        <v>2731</v>
      </c>
      <c r="AL219" s="3" t="s">
        <v>2732</v>
      </c>
      <c r="AM219" s="4" t="s">
        <v>62</v>
      </c>
      <c r="AP219" s="5">
        <v>1</v>
      </c>
      <c r="AT219" s="7"/>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c r="BT219" s="7"/>
      <c r="BU219" s="7"/>
      <c r="BV219" s="7"/>
      <c r="BW219" s="7"/>
      <c r="BX219" s="7"/>
      <c r="BY219" s="7"/>
      <c r="BZ219" s="7"/>
    </row>
    <row r="220" ht="16.5" customHeight="1">
      <c r="A220" s="3" t="s">
        <v>2733</v>
      </c>
      <c r="B220" s="3" t="s">
        <v>2734</v>
      </c>
      <c r="C220" s="3" t="s">
        <v>2735</v>
      </c>
      <c r="D220" s="3" t="s">
        <v>2660</v>
      </c>
      <c r="E220" s="4" t="s">
        <v>2661</v>
      </c>
      <c r="F220" s="3">
        <v>7750</v>
      </c>
      <c r="H220" s="5" t="str">
        <f t="shared" si="12"/>
        <v>N</v>
      </c>
      <c r="I220" s="4" t="s">
        <v>2736</v>
      </c>
      <c r="J220" s="4" t="s">
        <v>2716</v>
      </c>
      <c r="K220" s="4" t="s">
        <v>2717</v>
      </c>
      <c r="L220" s="4" t="s">
        <v>2718</v>
      </c>
      <c r="M220" s="4" t="s">
        <v>2719</v>
      </c>
      <c r="N220" s="4" t="s">
        <v>2720</v>
      </c>
      <c r="O220" s="4" t="s">
        <v>2737</v>
      </c>
      <c r="P220" s="4" t="s">
        <v>2722</v>
      </c>
      <c r="Q220" s="4" t="s">
        <v>2738</v>
      </c>
      <c r="R220" s="4" t="s">
        <v>2739</v>
      </c>
      <c r="S220" s="3" t="s">
        <v>428</v>
      </c>
      <c r="T220" s="5" t="str">
        <f t="shared" si="13"/>
        <v>Y</v>
      </c>
      <c r="W220" s="5" t="str">
        <f t="shared" si="14"/>
        <v>Y</v>
      </c>
      <c r="X220" s="4" t="s">
        <v>51</v>
      </c>
      <c r="Y220" s="4" t="s">
        <v>2740</v>
      </c>
      <c r="Z220" s="4" t="s">
        <v>2741</v>
      </c>
      <c r="AA220" s="4" t="s">
        <v>2742</v>
      </c>
      <c r="AB220" s="4" t="s">
        <v>2743</v>
      </c>
      <c r="AC220" s="5" t="s">
        <v>56</v>
      </c>
      <c r="AH220" s="5" t="str">
        <f t="shared" si="15"/>
        <v>Y</v>
      </c>
      <c r="AI220" s="4" t="s">
        <v>2744</v>
      </c>
      <c r="AJ220" s="4" t="s">
        <v>2745</v>
      </c>
      <c r="AK220" s="3" t="s">
        <v>2746</v>
      </c>
      <c r="AL220" s="3" t="s">
        <v>2747</v>
      </c>
      <c r="AM220" s="4" t="s">
        <v>62</v>
      </c>
      <c r="AP220" s="5">
        <v>1</v>
      </c>
      <c r="AT220" s="7"/>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c r="BT220" s="7"/>
      <c r="BU220" s="7"/>
      <c r="BV220" s="7"/>
      <c r="BW220" s="7"/>
      <c r="BX220" s="7"/>
      <c r="BY220" s="7"/>
      <c r="BZ220" s="7"/>
    </row>
    <row r="221" ht="16.5" customHeight="1">
      <c r="A221" s="3" t="s">
        <v>2748</v>
      </c>
      <c r="B221" s="3" t="s">
        <v>2749</v>
      </c>
      <c r="C221" s="3" t="s">
        <v>2750</v>
      </c>
      <c r="D221" s="3" t="s">
        <v>2660</v>
      </c>
      <c r="E221" s="4" t="s">
        <v>2661</v>
      </c>
      <c r="F221" s="3">
        <v>7997</v>
      </c>
      <c r="H221" s="5" t="str">
        <f t="shared" si="12"/>
        <v>N</v>
      </c>
      <c r="I221" s="4" t="s">
        <v>2751</v>
      </c>
      <c r="J221" s="4" t="s">
        <v>2716</v>
      </c>
      <c r="K221" s="4" t="s">
        <v>2752</v>
      </c>
      <c r="L221" s="4" t="s">
        <v>2665</v>
      </c>
      <c r="M221" s="4" t="s">
        <v>2753</v>
      </c>
      <c r="N221" s="4" t="s">
        <v>2720</v>
      </c>
      <c r="O221" s="4" t="s">
        <v>2754</v>
      </c>
      <c r="P221" s="4" t="s">
        <v>2722</v>
      </c>
      <c r="Q221" s="4" t="s">
        <v>2755</v>
      </c>
      <c r="R221" s="4" t="s">
        <v>2756</v>
      </c>
      <c r="S221" s="4" t="s">
        <v>203</v>
      </c>
      <c r="T221" s="5" t="str">
        <f t="shared" si="13"/>
        <v>Y</v>
      </c>
      <c r="W221" s="5" t="str">
        <f t="shared" si="14"/>
        <v>Y</v>
      </c>
      <c r="X221" s="4" t="s">
        <v>51</v>
      </c>
      <c r="Y221" s="4" t="s">
        <v>2757</v>
      </c>
      <c r="Z221" s="4" t="s">
        <v>2758</v>
      </c>
      <c r="AA221" s="4" t="s">
        <v>2759</v>
      </c>
      <c r="AB221" s="4" t="s">
        <v>2760</v>
      </c>
      <c r="AC221" s="5" t="s">
        <v>56</v>
      </c>
      <c r="AH221" s="5" t="str">
        <f t="shared" si="15"/>
        <v>Y</v>
      </c>
      <c r="AI221" s="4" t="s">
        <v>2761</v>
      </c>
      <c r="AJ221" s="4" t="s">
        <v>2762</v>
      </c>
      <c r="AK221" s="3" t="s">
        <v>2763</v>
      </c>
      <c r="AL221" s="3" t="s">
        <v>2764</v>
      </c>
      <c r="AM221" s="4" t="s">
        <v>62</v>
      </c>
      <c r="AP221" s="5">
        <v>1</v>
      </c>
      <c r="AT221" s="7"/>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c r="BU221" s="7"/>
      <c r="BV221" s="7"/>
      <c r="BW221" s="7"/>
      <c r="BX221" s="7"/>
      <c r="BY221" s="7"/>
      <c r="BZ221" s="7"/>
    </row>
    <row r="222" ht="16.5" customHeight="1">
      <c r="A222" s="3" t="s">
        <v>2765</v>
      </c>
      <c r="B222" s="3" t="s">
        <v>2766</v>
      </c>
      <c r="C222" s="3" t="s">
        <v>2767</v>
      </c>
      <c r="D222" s="3" t="s">
        <v>2660</v>
      </c>
      <c r="E222" s="4" t="s">
        <v>2661</v>
      </c>
      <c r="F222" s="3">
        <v>8025</v>
      </c>
      <c r="H222" s="5" t="str">
        <f t="shared" si="12"/>
        <v>N</v>
      </c>
      <c r="I222" s="4" t="s">
        <v>2768</v>
      </c>
      <c r="J222" s="4" t="s">
        <v>2716</v>
      </c>
      <c r="K222" s="4" t="s">
        <v>2769</v>
      </c>
      <c r="L222" s="4" t="s">
        <v>2770</v>
      </c>
      <c r="M222" s="4" t="s">
        <v>2771</v>
      </c>
      <c r="N222" s="4" t="s">
        <v>2772</v>
      </c>
      <c r="O222" s="4" t="s">
        <v>2773</v>
      </c>
      <c r="P222" s="4" t="s">
        <v>2774</v>
      </c>
      <c r="Q222" s="4" t="s">
        <v>2775</v>
      </c>
      <c r="R222" s="4" t="s">
        <v>2776</v>
      </c>
      <c r="S222" s="3" t="s">
        <v>823</v>
      </c>
      <c r="T222" s="5" t="str">
        <f t="shared" si="13"/>
        <v>Y</v>
      </c>
      <c r="W222" s="5" t="str">
        <f t="shared" si="14"/>
        <v>Y</v>
      </c>
      <c r="X222" s="4" t="s">
        <v>51</v>
      </c>
      <c r="Y222" s="4" t="s">
        <v>2777</v>
      </c>
      <c r="Z222" s="4" t="s">
        <v>2778</v>
      </c>
      <c r="AA222" s="4" t="s">
        <v>2779</v>
      </c>
      <c r="AB222" s="4" t="s">
        <v>2780</v>
      </c>
      <c r="AC222" s="5" t="s">
        <v>56</v>
      </c>
      <c r="AH222" s="5" t="str">
        <f t="shared" si="15"/>
        <v>Y</v>
      </c>
      <c r="AI222" s="4" t="s">
        <v>2781</v>
      </c>
      <c r="AJ222" s="4" t="s">
        <v>2782</v>
      </c>
      <c r="AK222" s="3" t="s">
        <v>2783</v>
      </c>
      <c r="AL222" s="3" t="s">
        <v>2784</v>
      </c>
      <c r="AM222" s="4" t="s">
        <v>62</v>
      </c>
      <c r="AP222" s="5">
        <v>1</v>
      </c>
      <c r="AT222" s="7"/>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c r="BT222" s="7"/>
      <c r="BU222" s="7"/>
      <c r="BV222" s="7"/>
      <c r="BW222" s="7"/>
      <c r="BX222" s="7"/>
      <c r="BY222" s="7"/>
      <c r="BZ222" s="7"/>
    </row>
    <row r="223" ht="16.5" customHeight="1">
      <c r="A223" s="3" t="s">
        <v>2785</v>
      </c>
      <c r="B223" s="3" t="s">
        <v>2786</v>
      </c>
      <c r="C223" s="3" t="s">
        <v>2787</v>
      </c>
      <c r="D223" s="3" t="s">
        <v>2660</v>
      </c>
      <c r="E223" s="4" t="s">
        <v>2661</v>
      </c>
      <c r="F223" s="3">
        <v>7292</v>
      </c>
      <c r="H223" s="5" t="str">
        <f t="shared" si="12"/>
        <v>N</v>
      </c>
      <c r="I223" s="4" t="s">
        <v>2788</v>
      </c>
      <c r="J223" s="4" t="s">
        <v>2716</v>
      </c>
      <c r="K223" s="4" t="s">
        <v>2717</v>
      </c>
      <c r="L223" s="4" t="s">
        <v>2718</v>
      </c>
      <c r="M223" s="4" t="s">
        <v>2789</v>
      </c>
      <c r="N223" s="4" t="s">
        <v>2720</v>
      </c>
      <c r="O223" s="4" t="s">
        <v>2790</v>
      </c>
      <c r="P223" s="4" t="s">
        <v>2722</v>
      </c>
      <c r="Q223" s="4" t="s">
        <v>2791</v>
      </c>
      <c r="R223" s="4" t="s">
        <v>2792</v>
      </c>
      <c r="S223" s="3" t="s">
        <v>312</v>
      </c>
      <c r="T223" s="5" t="str">
        <f t="shared" si="13"/>
        <v>Y</v>
      </c>
      <c r="W223" s="5" t="str">
        <f t="shared" si="14"/>
        <v>Y</v>
      </c>
      <c r="X223" s="4" t="s">
        <v>51</v>
      </c>
      <c r="Y223" s="4" t="s">
        <v>2793</v>
      </c>
      <c r="Z223" s="4" t="s">
        <v>2794</v>
      </c>
      <c r="AA223" s="4" t="s">
        <v>2795</v>
      </c>
      <c r="AB223" s="4" t="s">
        <v>2796</v>
      </c>
      <c r="AC223" s="5" t="s">
        <v>56</v>
      </c>
      <c r="AH223" s="5" t="str">
        <f t="shared" si="15"/>
        <v>Y</v>
      </c>
      <c r="AI223" s="4" t="s">
        <v>2797</v>
      </c>
      <c r="AJ223" s="4" t="s">
        <v>2798</v>
      </c>
      <c r="AK223" s="3" t="s">
        <v>2799</v>
      </c>
      <c r="AL223" s="3" t="s">
        <v>2800</v>
      </c>
      <c r="AM223" s="4" t="s">
        <v>62</v>
      </c>
      <c r="AP223" s="5">
        <v>1</v>
      </c>
      <c r="AT223" s="7"/>
      <c r="AU223" s="7"/>
      <c r="AV223" s="7"/>
      <c r="AW223" s="7"/>
      <c r="AX223" s="7"/>
      <c r="AY223" s="7"/>
      <c r="AZ223" s="7"/>
      <c r="BA223" s="7"/>
      <c r="BB223" s="7"/>
      <c r="BC223" s="7"/>
      <c r="BD223" s="7"/>
      <c r="BE223" s="7"/>
      <c r="BF223" s="7"/>
      <c r="BG223" s="7"/>
      <c r="BH223" s="7"/>
      <c r="BI223" s="7"/>
      <c r="BJ223" s="7"/>
      <c r="BK223" s="7"/>
      <c r="BL223" s="7"/>
      <c r="BM223" s="7"/>
      <c r="BN223" s="7"/>
      <c r="BO223" s="7"/>
      <c r="BP223" s="7"/>
      <c r="BQ223" s="7"/>
      <c r="BR223" s="7"/>
      <c r="BS223" s="7"/>
      <c r="BT223" s="7"/>
      <c r="BU223" s="7"/>
      <c r="BV223" s="7"/>
      <c r="BW223" s="7"/>
      <c r="BX223" s="7"/>
      <c r="BY223" s="7"/>
      <c r="BZ223" s="7"/>
    </row>
    <row r="224" ht="16.5" customHeight="1">
      <c r="A224" s="3" t="s">
        <v>2801</v>
      </c>
      <c r="B224" s="3" t="s">
        <v>2802</v>
      </c>
      <c r="C224" s="3" t="s">
        <v>2803</v>
      </c>
      <c r="D224" s="3" t="s">
        <v>2660</v>
      </c>
      <c r="E224" s="4" t="s">
        <v>2661</v>
      </c>
      <c r="F224" s="3">
        <v>7647</v>
      </c>
      <c r="H224" s="5" t="str">
        <f t="shared" si="12"/>
        <v>N</v>
      </c>
      <c r="I224" s="4" t="s">
        <v>2804</v>
      </c>
      <c r="J224" s="4" t="s">
        <v>2716</v>
      </c>
      <c r="K224" s="4" t="s">
        <v>2717</v>
      </c>
      <c r="L224" s="4" t="s">
        <v>2718</v>
      </c>
      <c r="M224" s="4" t="s">
        <v>2789</v>
      </c>
      <c r="N224" s="4" t="s">
        <v>2720</v>
      </c>
      <c r="O224" s="4" t="s">
        <v>2805</v>
      </c>
      <c r="P224" s="4" t="s">
        <v>2722</v>
      </c>
      <c r="Q224" s="4" t="s">
        <v>2806</v>
      </c>
      <c r="R224" s="4" t="s">
        <v>2807</v>
      </c>
      <c r="S224" s="3" t="s">
        <v>428</v>
      </c>
      <c r="T224" s="5" t="str">
        <f t="shared" si="13"/>
        <v>Y</v>
      </c>
      <c r="W224" s="5" t="str">
        <f t="shared" si="14"/>
        <v>Y</v>
      </c>
      <c r="X224" s="4" t="s">
        <v>51</v>
      </c>
      <c r="Y224" s="4" t="s">
        <v>2808</v>
      </c>
      <c r="Z224" s="4" t="s">
        <v>2809</v>
      </c>
      <c r="AA224" s="4" t="s">
        <v>2810</v>
      </c>
      <c r="AB224" s="4" t="s">
        <v>2811</v>
      </c>
      <c r="AC224" s="5" t="s">
        <v>56</v>
      </c>
      <c r="AH224" s="5" t="str">
        <f t="shared" si="15"/>
        <v>Y</v>
      </c>
      <c r="AI224" s="4" t="s">
        <v>2812</v>
      </c>
      <c r="AJ224" s="4" t="s">
        <v>2813</v>
      </c>
      <c r="AK224" s="3" t="s">
        <v>2814</v>
      </c>
      <c r="AL224" s="3" t="s">
        <v>2815</v>
      </c>
      <c r="AM224" s="4" t="s">
        <v>62</v>
      </c>
      <c r="AP224" s="5">
        <v>1</v>
      </c>
      <c r="AT224" s="7"/>
      <c r="AU224" s="7"/>
      <c r="AV224" s="7"/>
      <c r="AW224" s="7"/>
      <c r="AX224" s="7"/>
      <c r="AY224" s="7"/>
      <c r="AZ224" s="7"/>
      <c r="BA224" s="7"/>
      <c r="BB224" s="7"/>
      <c r="BC224" s="7"/>
      <c r="BD224" s="7"/>
      <c r="BE224" s="7"/>
      <c r="BF224" s="7"/>
      <c r="BG224" s="7"/>
      <c r="BH224" s="7"/>
      <c r="BI224" s="7"/>
      <c r="BJ224" s="7"/>
      <c r="BK224" s="7"/>
      <c r="BL224" s="7"/>
      <c r="BM224" s="7"/>
      <c r="BN224" s="7"/>
      <c r="BO224" s="7"/>
      <c r="BP224" s="7"/>
      <c r="BQ224" s="7"/>
      <c r="BR224" s="7"/>
      <c r="BS224" s="7"/>
      <c r="BT224" s="7"/>
      <c r="BU224" s="7"/>
      <c r="BV224" s="7"/>
      <c r="BW224" s="7"/>
      <c r="BX224" s="7"/>
      <c r="BY224" s="7"/>
      <c r="BZ224" s="7"/>
    </row>
    <row r="225" ht="16.5" customHeight="1">
      <c r="A225" s="3" t="s">
        <v>2816</v>
      </c>
      <c r="B225" s="3" t="s">
        <v>2817</v>
      </c>
      <c r="C225" s="3" t="s">
        <v>2818</v>
      </c>
      <c r="D225" s="3" t="s">
        <v>2660</v>
      </c>
      <c r="E225" s="4" t="s">
        <v>2661</v>
      </c>
      <c r="F225" s="3">
        <v>8026</v>
      </c>
      <c r="H225" s="5" t="str">
        <f t="shared" si="12"/>
        <v>N</v>
      </c>
      <c r="I225" s="4" t="s">
        <v>2819</v>
      </c>
      <c r="J225" s="4" t="s">
        <v>2820</v>
      </c>
      <c r="K225" s="4" t="s">
        <v>2821</v>
      </c>
      <c r="L225" s="4" t="s">
        <v>2718</v>
      </c>
      <c r="M225" s="4" t="s">
        <v>2822</v>
      </c>
      <c r="N225" s="4" t="s">
        <v>2720</v>
      </c>
      <c r="O225" s="4" t="s">
        <v>2823</v>
      </c>
      <c r="P225" s="4" t="s">
        <v>2722</v>
      </c>
      <c r="Q225" s="4" t="s">
        <v>2824</v>
      </c>
      <c r="R225" s="4" t="s">
        <v>2825</v>
      </c>
      <c r="S225" s="3" t="s">
        <v>182</v>
      </c>
      <c r="T225" s="5" t="str">
        <f t="shared" si="13"/>
        <v>Y</v>
      </c>
      <c r="W225" s="5" t="str">
        <f t="shared" si="14"/>
        <v>Y</v>
      </c>
      <c r="X225" s="4" t="s">
        <v>51</v>
      </c>
      <c r="Y225" s="4" t="s">
        <v>2826</v>
      </c>
      <c r="Z225" s="4" t="s">
        <v>2827</v>
      </c>
      <c r="AA225" s="4" t="s">
        <v>2828</v>
      </c>
      <c r="AB225" s="4" t="s">
        <v>2829</v>
      </c>
      <c r="AC225" s="5" t="s">
        <v>56</v>
      </c>
      <c r="AH225" s="5" t="str">
        <f t="shared" si="15"/>
        <v>Y</v>
      </c>
      <c r="AI225" s="4" t="s">
        <v>2830</v>
      </c>
      <c r="AJ225" s="4" t="s">
        <v>2831</v>
      </c>
      <c r="AK225" s="3" t="s">
        <v>2832</v>
      </c>
      <c r="AL225" s="3" t="s">
        <v>2833</v>
      </c>
      <c r="AM225" s="4" t="s">
        <v>62</v>
      </c>
      <c r="AP225" s="5">
        <v>1</v>
      </c>
      <c r="AT225" s="7"/>
      <c r="AU225" s="7"/>
      <c r="AV225" s="7"/>
      <c r="AW225" s="7"/>
      <c r="AX225" s="7"/>
      <c r="AY225" s="7"/>
      <c r="AZ225" s="7"/>
      <c r="BA225" s="7"/>
      <c r="BB225" s="7"/>
      <c r="BC225" s="7"/>
      <c r="BD225" s="7"/>
      <c r="BE225" s="7"/>
      <c r="BF225" s="7"/>
      <c r="BG225" s="7"/>
      <c r="BH225" s="7"/>
      <c r="BI225" s="7"/>
      <c r="BJ225" s="7"/>
      <c r="BK225" s="7"/>
      <c r="BL225" s="7"/>
      <c r="BM225" s="7"/>
      <c r="BN225" s="7"/>
      <c r="BO225" s="7"/>
      <c r="BP225" s="7"/>
      <c r="BQ225" s="7"/>
      <c r="BR225" s="7"/>
      <c r="BS225" s="7"/>
      <c r="BT225" s="7"/>
      <c r="BU225" s="7"/>
      <c r="BV225" s="7"/>
      <c r="BW225" s="7"/>
      <c r="BX225" s="7"/>
      <c r="BY225" s="7"/>
      <c r="BZ225" s="7"/>
    </row>
    <row r="226" ht="16.5" customHeight="1">
      <c r="A226" s="3" t="s">
        <v>2834</v>
      </c>
      <c r="B226" s="3" t="s">
        <v>2835</v>
      </c>
      <c r="C226" s="3" t="s">
        <v>2836</v>
      </c>
      <c r="D226" s="3" t="s">
        <v>2660</v>
      </c>
      <c r="E226" s="4" t="s">
        <v>2661</v>
      </c>
      <c r="F226" s="3">
        <v>7222</v>
      </c>
      <c r="H226" s="5" t="str">
        <f t="shared" si="12"/>
        <v>N</v>
      </c>
      <c r="I226" s="4" t="s">
        <v>2837</v>
      </c>
      <c r="J226" s="4" t="s">
        <v>2820</v>
      </c>
      <c r="K226" s="4" t="s">
        <v>2838</v>
      </c>
      <c r="L226" s="4" t="s">
        <v>2718</v>
      </c>
      <c r="M226" s="4" t="s">
        <v>2822</v>
      </c>
      <c r="N226" s="4" t="s">
        <v>2720</v>
      </c>
      <c r="O226" s="4" t="s">
        <v>2823</v>
      </c>
      <c r="P226" s="4" t="s">
        <v>2722</v>
      </c>
      <c r="Q226" s="4" t="s">
        <v>2839</v>
      </c>
      <c r="R226" s="4" t="s">
        <v>2840</v>
      </c>
      <c r="S226" s="3" t="s">
        <v>312</v>
      </c>
      <c r="T226" s="5" t="str">
        <f t="shared" si="13"/>
        <v>Y</v>
      </c>
      <c r="W226" s="5" t="str">
        <f t="shared" si="14"/>
        <v>Y</v>
      </c>
      <c r="X226" s="4" t="s">
        <v>51</v>
      </c>
      <c r="Y226" s="4" t="s">
        <v>2841</v>
      </c>
      <c r="Z226" s="4" t="s">
        <v>2842</v>
      </c>
      <c r="AA226" s="4" t="s">
        <v>2843</v>
      </c>
      <c r="AB226" s="4" t="s">
        <v>2844</v>
      </c>
      <c r="AC226" s="5" t="s">
        <v>56</v>
      </c>
      <c r="AH226" s="5" t="str">
        <f t="shared" si="15"/>
        <v>Y</v>
      </c>
      <c r="AI226" s="4" t="s">
        <v>2845</v>
      </c>
      <c r="AJ226" s="4" t="s">
        <v>2846</v>
      </c>
      <c r="AK226" s="3" t="s">
        <v>2847</v>
      </c>
      <c r="AL226" s="3" t="s">
        <v>2848</v>
      </c>
      <c r="AM226" s="4" t="s">
        <v>62</v>
      </c>
      <c r="AP226" s="5">
        <v>1</v>
      </c>
      <c r="AT226" s="7"/>
      <c r="AU226" s="7"/>
      <c r="AV226" s="7"/>
      <c r="AW226" s="7"/>
      <c r="AX226" s="7"/>
      <c r="AY226" s="7"/>
      <c r="AZ226" s="7"/>
      <c r="BA226" s="7"/>
      <c r="BB226" s="7"/>
      <c r="BC226" s="7"/>
      <c r="BD226" s="7"/>
      <c r="BE226" s="7"/>
      <c r="BF226" s="7"/>
      <c r="BG226" s="7"/>
      <c r="BH226" s="7"/>
      <c r="BI226" s="7"/>
      <c r="BJ226" s="7"/>
      <c r="BK226" s="7"/>
      <c r="BL226" s="7"/>
      <c r="BM226" s="7"/>
      <c r="BN226" s="7"/>
      <c r="BO226" s="7"/>
      <c r="BP226" s="7"/>
      <c r="BQ226" s="7"/>
      <c r="BR226" s="7"/>
      <c r="BS226" s="7"/>
      <c r="BT226" s="7"/>
      <c r="BU226" s="7"/>
      <c r="BV226" s="7"/>
      <c r="BW226" s="7"/>
      <c r="BX226" s="7"/>
      <c r="BY226" s="7"/>
      <c r="BZ226" s="7"/>
    </row>
    <row r="227" ht="16.5" customHeight="1">
      <c r="A227" s="3" t="s">
        <v>2849</v>
      </c>
      <c r="B227" s="3" t="s">
        <v>2850</v>
      </c>
      <c r="C227" s="3" t="s">
        <v>2851</v>
      </c>
      <c r="D227" s="3" t="s">
        <v>2660</v>
      </c>
      <c r="E227" s="4" t="s">
        <v>2661</v>
      </c>
      <c r="F227" s="3">
        <v>7293</v>
      </c>
      <c r="H227" s="5" t="str">
        <f t="shared" si="12"/>
        <v>N</v>
      </c>
      <c r="I227" s="4" t="s">
        <v>2852</v>
      </c>
      <c r="J227" s="4" t="s">
        <v>2716</v>
      </c>
      <c r="K227" s="4" t="s">
        <v>2717</v>
      </c>
      <c r="L227" s="4" t="s">
        <v>2718</v>
      </c>
      <c r="M227" s="4" t="s">
        <v>2853</v>
      </c>
      <c r="N227" s="4" t="s">
        <v>2720</v>
      </c>
      <c r="O227" s="4" t="s">
        <v>2854</v>
      </c>
      <c r="P227" s="4" t="s">
        <v>2722</v>
      </c>
      <c r="Q227" s="4" t="s">
        <v>2855</v>
      </c>
      <c r="R227" s="4" t="s">
        <v>2856</v>
      </c>
      <c r="S227" s="3" t="s">
        <v>312</v>
      </c>
      <c r="T227" s="5" t="str">
        <f t="shared" si="13"/>
        <v>Y</v>
      </c>
      <c r="W227" s="5" t="str">
        <f t="shared" si="14"/>
        <v>Y</v>
      </c>
      <c r="X227" s="4" t="s">
        <v>51</v>
      </c>
      <c r="Y227" s="4" t="s">
        <v>2857</v>
      </c>
      <c r="Z227" s="4" t="s">
        <v>2858</v>
      </c>
      <c r="AA227" s="4" t="s">
        <v>2859</v>
      </c>
      <c r="AB227" s="4" t="s">
        <v>2860</v>
      </c>
      <c r="AC227" s="5" t="s">
        <v>56</v>
      </c>
      <c r="AH227" s="5" t="str">
        <f t="shared" si="15"/>
        <v>Y</v>
      </c>
      <c r="AI227" s="4" t="s">
        <v>2861</v>
      </c>
      <c r="AJ227" s="4" t="s">
        <v>2862</v>
      </c>
      <c r="AK227" s="3" t="s">
        <v>2863</v>
      </c>
      <c r="AL227" s="3" t="s">
        <v>2864</v>
      </c>
      <c r="AM227" s="4" t="s">
        <v>62</v>
      </c>
      <c r="AP227" s="5">
        <v>1</v>
      </c>
      <c r="AT227" s="7"/>
      <c r="AU227" s="7"/>
      <c r="AV227" s="7"/>
      <c r="AW227" s="7"/>
      <c r="AX227" s="7"/>
      <c r="AY227" s="7"/>
      <c r="AZ227" s="7"/>
      <c r="BA227" s="7"/>
      <c r="BB227" s="7"/>
      <c r="BC227" s="7"/>
      <c r="BD227" s="7"/>
      <c r="BE227" s="7"/>
      <c r="BF227" s="7"/>
      <c r="BG227" s="7"/>
      <c r="BH227" s="7"/>
      <c r="BI227" s="7"/>
      <c r="BJ227" s="7"/>
      <c r="BK227" s="7"/>
      <c r="BL227" s="7"/>
      <c r="BM227" s="7"/>
      <c r="BN227" s="7"/>
      <c r="BO227" s="7"/>
      <c r="BP227" s="7"/>
      <c r="BQ227" s="7"/>
      <c r="BR227" s="7"/>
      <c r="BS227" s="7"/>
      <c r="BT227" s="7"/>
      <c r="BU227" s="7"/>
      <c r="BV227" s="7"/>
      <c r="BW227" s="7"/>
      <c r="BX227" s="7"/>
      <c r="BY227" s="7"/>
      <c r="BZ227" s="7"/>
    </row>
    <row r="228" ht="16.5" customHeight="1">
      <c r="A228" s="3" t="s">
        <v>2865</v>
      </c>
      <c r="B228" s="3" t="s">
        <v>2866</v>
      </c>
      <c r="C228" s="3" t="s">
        <v>2867</v>
      </c>
      <c r="D228" s="3" t="s">
        <v>2660</v>
      </c>
      <c r="E228" s="4" t="s">
        <v>2661</v>
      </c>
      <c r="F228" s="3">
        <v>7294</v>
      </c>
      <c r="H228" s="5" t="str">
        <f t="shared" si="12"/>
        <v>N</v>
      </c>
      <c r="I228" s="4" t="s">
        <v>2868</v>
      </c>
      <c r="J228" s="4" t="s">
        <v>2716</v>
      </c>
      <c r="K228" s="4" t="s">
        <v>2717</v>
      </c>
      <c r="L228" s="4" t="s">
        <v>2718</v>
      </c>
      <c r="M228" s="4" t="s">
        <v>2853</v>
      </c>
      <c r="N228" s="4" t="s">
        <v>2720</v>
      </c>
      <c r="O228" s="4" t="s">
        <v>2869</v>
      </c>
      <c r="P228" s="4" t="s">
        <v>2722</v>
      </c>
      <c r="Q228" s="4" t="s">
        <v>2870</v>
      </c>
      <c r="R228" s="4" t="s">
        <v>2871</v>
      </c>
      <c r="S228" s="3" t="s">
        <v>312</v>
      </c>
      <c r="T228" s="5" t="str">
        <f t="shared" si="13"/>
        <v>Y</v>
      </c>
      <c r="W228" s="5" t="str">
        <f t="shared" si="14"/>
        <v>Y</v>
      </c>
      <c r="X228" s="4" t="s">
        <v>51</v>
      </c>
      <c r="Y228" s="4" t="s">
        <v>2872</v>
      </c>
      <c r="Z228" s="4" t="s">
        <v>2873</v>
      </c>
      <c r="AA228" s="4" t="s">
        <v>2874</v>
      </c>
      <c r="AB228" s="4" t="s">
        <v>2875</v>
      </c>
      <c r="AC228" s="5" t="s">
        <v>56</v>
      </c>
      <c r="AH228" s="5" t="str">
        <f t="shared" si="15"/>
        <v>Y</v>
      </c>
      <c r="AI228" s="4" t="s">
        <v>2876</v>
      </c>
      <c r="AJ228" s="4" t="s">
        <v>2877</v>
      </c>
      <c r="AK228" s="3" t="s">
        <v>2878</v>
      </c>
      <c r="AL228" s="3" t="s">
        <v>2879</v>
      </c>
      <c r="AM228" s="4" t="s">
        <v>62</v>
      </c>
      <c r="AP228" s="5">
        <v>1</v>
      </c>
      <c r="AT228" s="7"/>
      <c r="AU228" s="7"/>
      <c r="AV228" s="7"/>
      <c r="AW228" s="7"/>
      <c r="AX228" s="7"/>
      <c r="AY228" s="7"/>
      <c r="AZ228" s="7"/>
      <c r="BA228" s="7"/>
      <c r="BB228" s="7"/>
      <c r="BC228" s="7"/>
      <c r="BD228" s="7"/>
      <c r="BE228" s="7"/>
      <c r="BF228" s="7"/>
      <c r="BG228" s="7"/>
      <c r="BH228" s="7"/>
      <c r="BI228" s="7"/>
      <c r="BJ228" s="7"/>
      <c r="BK228" s="7"/>
      <c r="BL228" s="7"/>
      <c r="BM228" s="7"/>
      <c r="BN228" s="7"/>
      <c r="BO228" s="7"/>
      <c r="BP228" s="7"/>
      <c r="BQ228" s="7"/>
      <c r="BR228" s="7"/>
      <c r="BS228" s="7"/>
      <c r="BT228" s="7"/>
      <c r="BU228" s="7"/>
      <c r="BV228" s="7"/>
      <c r="BW228" s="7"/>
      <c r="BX228" s="7"/>
      <c r="BY228" s="7"/>
      <c r="BZ228" s="7"/>
    </row>
    <row r="229" ht="16.5" customHeight="1">
      <c r="A229" s="3" t="s">
        <v>2880</v>
      </c>
      <c r="B229" s="3" t="s">
        <v>2881</v>
      </c>
      <c r="C229" s="3" t="s">
        <v>2882</v>
      </c>
      <c r="D229" s="3" t="s">
        <v>2660</v>
      </c>
      <c r="E229" s="4" t="s">
        <v>2661</v>
      </c>
      <c r="F229" s="3">
        <v>7998</v>
      </c>
      <c r="H229" s="5" t="str">
        <f t="shared" si="12"/>
        <v>N</v>
      </c>
      <c r="I229" s="4" t="s">
        <v>2883</v>
      </c>
      <c r="J229" s="4" t="s">
        <v>1854</v>
      </c>
      <c r="K229" s="4" t="s">
        <v>2884</v>
      </c>
      <c r="L229" s="4" t="s">
        <v>2885</v>
      </c>
      <c r="M229" s="4" t="s">
        <v>2886</v>
      </c>
      <c r="N229" s="4" t="s">
        <v>2887</v>
      </c>
      <c r="O229" s="4" t="s">
        <v>2888</v>
      </c>
      <c r="P229" s="4" t="s">
        <v>1857</v>
      </c>
      <c r="Q229" s="4" t="s">
        <v>2889</v>
      </c>
      <c r="R229" s="4" t="s">
        <v>2890</v>
      </c>
      <c r="S229" s="3" t="s">
        <v>878</v>
      </c>
      <c r="T229" s="5" t="str">
        <f t="shared" si="13"/>
        <v>Y</v>
      </c>
      <c r="W229" s="5" t="str">
        <f t="shared" si="14"/>
        <v>Y</v>
      </c>
      <c r="X229" s="4" t="s">
        <v>51</v>
      </c>
      <c r="Y229" s="4" t="s">
        <v>2891</v>
      </c>
      <c r="Z229" s="4" t="s">
        <v>2892</v>
      </c>
      <c r="AA229" s="4" t="s">
        <v>2893</v>
      </c>
      <c r="AB229" s="4" t="s">
        <v>2894</v>
      </c>
      <c r="AC229" s="5" t="s">
        <v>56</v>
      </c>
      <c r="AH229" s="5" t="str">
        <f t="shared" si="15"/>
        <v>Y</v>
      </c>
      <c r="AI229" s="4" t="s">
        <v>2895</v>
      </c>
      <c r="AJ229" s="4" t="s">
        <v>2896</v>
      </c>
      <c r="AK229" s="3" t="s">
        <v>2897</v>
      </c>
      <c r="AL229" s="3" t="s">
        <v>2898</v>
      </c>
      <c r="AM229" s="4" t="s">
        <v>62</v>
      </c>
      <c r="AP229" s="5">
        <v>1</v>
      </c>
      <c r="AT229" s="7"/>
      <c r="AU229" s="7"/>
      <c r="AV229" s="7"/>
      <c r="AW229" s="7"/>
      <c r="AX229" s="7"/>
      <c r="AY229" s="7"/>
      <c r="AZ229" s="7"/>
      <c r="BA229" s="7"/>
      <c r="BB229" s="7"/>
      <c r="BC229" s="7"/>
      <c r="BD229" s="7"/>
      <c r="BE229" s="7"/>
      <c r="BF229" s="7"/>
      <c r="BG229" s="7"/>
      <c r="BH229" s="7"/>
      <c r="BI229" s="7"/>
      <c r="BJ229" s="7"/>
      <c r="BK229" s="7"/>
      <c r="BL229" s="7"/>
      <c r="BM229" s="7"/>
      <c r="BN229" s="7"/>
      <c r="BO229" s="7"/>
      <c r="BP229" s="7"/>
      <c r="BQ229" s="7"/>
      <c r="BR229" s="7"/>
      <c r="BS229" s="7"/>
      <c r="BT229" s="7"/>
      <c r="BU229" s="7"/>
      <c r="BV229" s="7"/>
      <c r="BW229" s="7"/>
      <c r="BX229" s="7"/>
      <c r="BY229" s="7"/>
      <c r="BZ229" s="7"/>
    </row>
    <row r="230" ht="16.5" customHeight="1">
      <c r="A230" s="3" t="s">
        <v>2899</v>
      </c>
      <c r="B230" s="3" t="s">
        <v>2900</v>
      </c>
      <c r="C230" s="3" t="s">
        <v>2901</v>
      </c>
      <c r="D230" s="3" t="s">
        <v>2660</v>
      </c>
      <c r="E230" s="4" t="s">
        <v>2661</v>
      </c>
      <c r="F230" s="3">
        <v>7295</v>
      </c>
      <c r="H230" s="5" t="str">
        <f t="shared" si="12"/>
        <v>N</v>
      </c>
      <c r="I230" s="4" t="s">
        <v>2902</v>
      </c>
      <c r="J230" s="4" t="s">
        <v>2716</v>
      </c>
      <c r="K230" s="4" t="s">
        <v>2717</v>
      </c>
      <c r="L230" s="4" t="s">
        <v>2718</v>
      </c>
      <c r="M230" s="4" t="s">
        <v>2903</v>
      </c>
      <c r="N230" s="4" t="s">
        <v>2720</v>
      </c>
      <c r="O230" s="4" t="s">
        <v>2904</v>
      </c>
      <c r="P230" s="4" t="s">
        <v>2722</v>
      </c>
      <c r="Q230" s="4" t="s">
        <v>2905</v>
      </c>
      <c r="R230" s="4" t="s">
        <v>2890</v>
      </c>
      <c r="S230" s="3" t="s">
        <v>823</v>
      </c>
      <c r="T230" s="5" t="str">
        <f t="shared" si="13"/>
        <v>Y</v>
      </c>
      <c r="W230" s="5" t="str">
        <f t="shared" si="14"/>
        <v>Y</v>
      </c>
      <c r="X230" s="4" t="s">
        <v>51</v>
      </c>
      <c r="Y230" s="4" t="s">
        <v>2906</v>
      </c>
      <c r="Z230" s="4" t="s">
        <v>2907</v>
      </c>
      <c r="AA230" s="4" t="s">
        <v>2908</v>
      </c>
      <c r="AB230" s="4" t="s">
        <v>2909</v>
      </c>
      <c r="AC230" s="5" t="s">
        <v>56</v>
      </c>
      <c r="AH230" s="5" t="str">
        <f t="shared" si="15"/>
        <v>Y</v>
      </c>
      <c r="AI230" s="4" t="s">
        <v>2910</v>
      </c>
      <c r="AJ230" s="4" t="s">
        <v>2911</v>
      </c>
      <c r="AK230" s="3" t="s">
        <v>2912</v>
      </c>
      <c r="AL230" s="3" t="s">
        <v>2913</v>
      </c>
      <c r="AM230" s="4" t="s">
        <v>62</v>
      </c>
      <c r="AP230" s="5">
        <v>1</v>
      </c>
      <c r="AT230" s="7"/>
      <c r="AU230" s="7"/>
      <c r="AV230" s="7"/>
      <c r="AW230" s="7"/>
      <c r="AX230" s="7"/>
      <c r="AY230" s="7"/>
      <c r="AZ230" s="7"/>
      <c r="BA230" s="7"/>
      <c r="BB230" s="7"/>
      <c r="BC230" s="7"/>
      <c r="BD230" s="7"/>
      <c r="BE230" s="7"/>
      <c r="BF230" s="7"/>
      <c r="BG230" s="7"/>
      <c r="BH230" s="7"/>
      <c r="BI230" s="7"/>
      <c r="BJ230" s="7"/>
      <c r="BK230" s="7"/>
      <c r="BL230" s="7"/>
      <c r="BM230" s="7"/>
      <c r="BN230" s="7"/>
      <c r="BO230" s="7"/>
      <c r="BP230" s="7"/>
      <c r="BQ230" s="7"/>
      <c r="BR230" s="7"/>
      <c r="BS230" s="7"/>
      <c r="BT230" s="7"/>
      <c r="BU230" s="7"/>
      <c r="BV230" s="7"/>
      <c r="BW230" s="7"/>
      <c r="BX230" s="7"/>
      <c r="BY230" s="7"/>
      <c r="BZ230" s="7"/>
    </row>
    <row r="231" ht="16.5" customHeight="1">
      <c r="A231" s="3" t="s">
        <v>2914</v>
      </c>
      <c r="B231" s="3" t="s">
        <v>2915</v>
      </c>
      <c r="C231" s="3" t="s">
        <v>2916</v>
      </c>
      <c r="D231" s="3" t="s">
        <v>2660</v>
      </c>
      <c r="E231" s="4" t="s">
        <v>2661</v>
      </c>
      <c r="F231" s="3">
        <v>7221</v>
      </c>
      <c r="H231" s="5" t="str">
        <f t="shared" si="12"/>
        <v>N</v>
      </c>
      <c r="I231" s="4" t="s">
        <v>2917</v>
      </c>
      <c r="J231" s="4" t="s">
        <v>1854</v>
      </c>
      <c r="K231" s="4" t="s">
        <v>2884</v>
      </c>
      <c r="L231" s="4" t="s">
        <v>2885</v>
      </c>
      <c r="M231" s="4" t="s">
        <v>2918</v>
      </c>
      <c r="N231" s="4" t="s">
        <v>2887</v>
      </c>
      <c r="O231" s="4" t="s">
        <v>2919</v>
      </c>
      <c r="P231" s="4" t="s">
        <v>1857</v>
      </c>
      <c r="Q231" s="4" t="s">
        <v>2889</v>
      </c>
      <c r="R231" s="4" t="s">
        <v>2920</v>
      </c>
      <c r="S231" s="4" t="s">
        <v>203</v>
      </c>
      <c r="T231" s="5" t="str">
        <f t="shared" si="13"/>
        <v>Y</v>
      </c>
      <c r="W231" s="5" t="str">
        <f t="shared" si="14"/>
        <v>Y</v>
      </c>
      <c r="X231" s="4" t="s">
        <v>51</v>
      </c>
      <c r="Y231" s="4" t="s">
        <v>2891</v>
      </c>
      <c r="Z231" s="4" t="s">
        <v>2921</v>
      </c>
      <c r="AA231" s="4" t="s">
        <v>2922</v>
      </c>
      <c r="AB231" s="4" t="s">
        <v>2923</v>
      </c>
      <c r="AC231" s="5" t="s">
        <v>56</v>
      </c>
      <c r="AH231" s="5" t="str">
        <f t="shared" si="15"/>
        <v>Y</v>
      </c>
      <c r="AI231" s="4" t="s">
        <v>2895</v>
      </c>
      <c r="AJ231" s="4" t="s">
        <v>2924</v>
      </c>
      <c r="AK231" s="3" t="s">
        <v>2925</v>
      </c>
      <c r="AL231" s="3" t="s">
        <v>2926</v>
      </c>
      <c r="AM231" s="4" t="s">
        <v>62</v>
      </c>
      <c r="AP231" s="5">
        <v>1</v>
      </c>
      <c r="AT231" s="7"/>
      <c r="AU231" s="7"/>
      <c r="AV231" s="7"/>
      <c r="AW231" s="7"/>
      <c r="AX231" s="7"/>
      <c r="AY231" s="7"/>
      <c r="AZ231" s="7"/>
      <c r="BA231" s="7"/>
      <c r="BB231" s="7"/>
      <c r="BC231" s="7"/>
      <c r="BD231" s="7"/>
      <c r="BE231" s="7"/>
      <c r="BF231" s="7"/>
      <c r="BG231" s="7"/>
      <c r="BH231" s="7"/>
      <c r="BI231" s="7"/>
      <c r="BJ231" s="7"/>
      <c r="BK231" s="7"/>
      <c r="BL231" s="7"/>
      <c r="BM231" s="7"/>
      <c r="BN231" s="7"/>
      <c r="BO231" s="7"/>
      <c r="BP231" s="7"/>
      <c r="BQ231" s="7"/>
      <c r="BR231" s="7"/>
      <c r="BS231" s="7"/>
      <c r="BT231" s="7"/>
      <c r="BU231" s="7"/>
      <c r="BV231" s="7"/>
      <c r="BW231" s="7"/>
      <c r="BX231" s="7"/>
      <c r="BY231" s="7"/>
      <c r="BZ231" s="7"/>
    </row>
    <row r="232" ht="16.5" customHeight="1">
      <c r="A232" s="3" t="s">
        <v>2927</v>
      </c>
      <c r="B232" s="3" t="s">
        <v>2928</v>
      </c>
      <c r="C232" s="3" t="s">
        <v>2929</v>
      </c>
      <c r="D232" s="3" t="s">
        <v>2660</v>
      </c>
      <c r="E232" s="4" t="s">
        <v>2661</v>
      </c>
      <c r="F232" s="3">
        <v>8023</v>
      </c>
      <c r="H232" s="5" t="str">
        <f t="shared" si="12"/>
        <v>N</v>
      </c>
      <c r="I232" s="4" t="s">
        <v>2930</v>
      </c>
      <c r="J232" s="4" t="s">
        <v>405</v>
      </c>
      <c r="K232" s="4" t="s">
        <v>2931</v>
      </c>
      <c r="L232" s="4" t="s">
        <v>480</v>
      </c>
      <c r="M232" s="4" t="s">
        <v>2932</v>
      </c>
      <c r="N232" s="4" t="s">
        <v>161</v>
      </c>
      <c r="O232" s="4" t="s">
        <v>2933</v>
      </c>
      <c r="P232" s="4" t="s">
        <v>2934</v>
      </c>
      <c r="Q232" s="4" t="s">
        <v>2935</v>
      </c>
      <c r="R232" s="4" t="s">
        <v>2936</v>
      </c>
      <c r="S232" s="4" t="s">
        <v>182</v>
      </c>
      <c r="T232" s="5" t="str">
        <f t="shared" si="13"/>
        <v>Y</v>
      </c>
      <c r="W232" s="5" t="str">
        <f t="shared" si="14"/>
        <v>Y</v>
      </c>
      <c r="X232" s="4" t="s">
        <v>51</v>
      </c>
      <c r="Y232" s="4" t="s">
        <v>2937</v>
      </c>
      <c r="Z232" s="4" t="s">
        <v>2938</v>
      </c>
      <c r="AA232" s="4" t="s">
        <v>2939</v>
      </c>
      <c r="AB232" s="4" t="s">
        <v>2940</v>
      </c>
      <c r="AC232" s="5" t="s">
        <v>56</v>
      </c>
      <c r="AH232" s="5" t="str">
        <f t="shared" si="15"/>
        <v>Y</v>
      </c>
      <c r="AI232" s="4" t="s">
        <v>2941</v>
      </c>
      <c r="AJ232" s="4" t="s">
        <v>2942</v>
      </c>
      <c r="AK232" s="3" t="s">
        <v>2943</v>
      </c>
      <c r="AL232" s="3" t="s">
        <v>2944</v>
      </c>
      <c r="AM232" s="4" t="s">
        <v>62</v>
      </c>
      <c r="AP232" s="5">
        <v>1</v>
      </c>
      <c r="AT232" s="7"/>
      <c r="AU232" s="7"/>
      <c r="AV232" s="7"/>
      <c r="AW232" s="7"/>
      <c r="AX232" s="7"/>
      <c r="AY232" s="7"/>
      <c r="AZ232" s="7"/>
      <c r="BA232" s="7"/>
      <c r="BB232" s="7"/>
      <c r="BC232" s="7"/>
      <c r="BD232" s="7"/>
      <c r="BE232" s="7"/>
      <c r="BF232" s="7"/>
      <c r="BG232" s="7"/>
      <c r="BH232" s="7"/>
      <c r="BI232" s="7"/>
      <c r="BJ232" s="7"/>
      <c r="BK232" s="7"/>
      <c r="BL232" s="7"/>
      <c r="BM232" s="7"/>
      <c r="BN232" s="7"/>
      <c r="BO232" s="7"/>
      <c r="BP232" s="7"/>
      <c r="BQ232" s="7"/>
      <c r="BR232" s="7"/>
      <c r="BS232" s="7"/>
      <c r="BT232" s="7"/>
      <c r="BU232" s="7"/>
      <c r="BV232" s="7"/>
      <c r="BW232" s="7"/>
      <c r="BX232" s="7"/>
      <c r="BY232" s="7"/>
      <c r="BZ232" s="7"/>
    </row>
    <row r="233" ht="16.5" customHeight="1">
      <c r="A233" s="3" t="s">
        <v>2945</v>
      </c>
      <c r="B233" s="3" t="s">
        <v>2946</v>
      </c>
      <c r="C233" s="3" t="s">
        <v>2947</v>
      </c>
      <c r="D233" s="3" t="s">
        <v>2660</v>
      </c>
      <c r="E233" s="4" t="s">
        <v>2661</v>
      </c>
      <c r="F233" s="3">
        <v>9529</v>
      </c>
      <c r="H233" s="5" t="str">
        <f t="shared" si="12"/>
        <v>N</v>
      </c>
      <c r="I233" s="4" t="s">
        <v>2948</v>
      </c>
      <c r="J233" s="4" t="s">
        <v>2949</v>
      </c>
      <c r="K233" s="4" t="s">
        <v>2950</v>
      </c>
      <c r="L233" s="4" t="s">
        <v>2885</v>
      </c>
      <c r="M233" s="4" t="s">
        <v>2951</v>
      </c>
      <c r="N233" s="4" t="s">
        <v>660</v>
      </c>
      <c r="O233" s="4" t="s">
        <v>2952</v>
      </c>
      <c r="P233" s="4" t="s">
        <v>970</v>
      </c>
      <c r="Q233" s="4" t="s">
        <v>2953</v>
      </c>
      <c r="R233" s="4" t="s">
        <v>2954</v>
      </c>
      <c r="S233" s="4" t="s">
        <v>182</v>
      </c>
      <c r="T233" s="5" t="str">
        <f t="shared" si="13"/>
        <v>Y</v>
      </c>
      <c r="W233" s="5" t="str">
        <f t="shared" si="14"/>
        <v>Y</v>
      </c>
      <c r="X233" s="4" t="s">
        <v>51</v>
      </c>
      <c r="Y233" s="4" t="s">
        <v>2955</v>
      </c>
      <c r="Z233" s="4" t="s">
        <v>2956</v>
      </c>
      <c r="AA233" s="4" t="s">
        <v>2957</v>
      </c>
      <c r="AB233" s="4" t="s">
        <v>2958</v>
      </c>
      <c r="AC233" s="5" t="s">
        <v>56</v>
      </c>
      <c r="AH233" s="5" t="str">
        <f t="shared" si="15"/>
        <v>Y</v>
      </c>
      <c r="AI233" s="4" t="s">
        <v>2959</v>
      </c>
      <c r="AJ233" s="4" t="s">
        <v>2960</v>
      </c>
      <c r="AK233" s="3" t="s">
        <v>2961</v>
      </c>
      <c r="AL233" s="3" t="s">
        <v>2962</v>
      </c>
      <c r="AM233" s="4" t="s">
        <v>62</v>
      </c>
      <c r="AP233" s="5">
        <v>1</v>
      </c>
      <c r="AT233" s="7"/>
      <c r="AU233" s="7"/>
      <c r="AV233" s="7"/>
      <c r="AW233" s="7"/>
      <c r="AX233" s="7"/>
      <c r="AY233" s="7"/>
      <c r="AZ233" s="7"/>
      <c r="BA233" s="7"/>
      <c r="BB233" s="7"/>
      <c r="BC233" s="7"/>
      <c r="BD233" s="7"/>
      <c r="BE233" s="7"/>
      <c r="BF233" s="7"/>
      <c r="BG233" s="7"/>
      <c r="BH233" s="7"/>
      <c r="BI233" s="7"/>
      <c r="BJ233" s="7"/>
      <c r="BK233" s="7"/>
      <c r="BL233" s="7"/>
      <c r="BM233" s="7"/>
      <c r="BN233" s="7"/>
      <c r="BO233" s="7"/>
      <c r="BP233" s="7"/>
      <c r="BQ233" s="7"/>
      <c r="BR233" s="7"/>
      <c r="BS233" s="7"/>
      <c r="BT233" s="7"/>
      <c r="BU233" s="7"/>
      <c r="BV233" s="7"/>
      <c r="BW233" s="7"/>
      <c r="BX233" s="7"/>
      <c r="BY233" s="7"/>
      <c r="BZ233" s="7"/>
    </row>
    <row r="234" ht="16.5" customHeight="1">
      <c r="A234" s="3" t="s">
        <v>2963</v>
      </c>
      <c r="B234" s="3" t="s">
        <v>2964</v>
      </c>
      <c r="C234" s="3" t="s">
        <v>2965</v>
      </c>
      <c r="D234" s="3" t="s">
        <v>2660</v>
      </c>
      <c r="E234" s="4" t="s">
        <v>2661</v>
      </c>
      <c r="F234" s="3">
        <v>9530</v>
      </c>
      <c r="H234" s="5" t="str">
        <f t="shared" si="12"/>
        <v>N</v>
      </c>
      <c r="I234" s="4" t="s">
        <v>2966</v>
      </c>
      <c r="J234" s="4" t="s">
        <v>2949</v>
      </c>
      <c r="K234" s="4" t="s">
        <v>2950</v>
      </c>
      <c r="L234" s="4" t="s">
        <v>2885</v>
      </c>
      <c r="M234" s="4" t="s">
        <v>2967</v>
      </c>
      <c r="N234" s="4" t="s">
        <v>660</v>
      </c>
      <c r="O234" s="4" t="s">
        <v>2968</v>
      </c>
      <c r="P234" s="4" t="s">
        <v>970</v>
      </c>
      <c r="Q234" s="4" t="s">
        <v>2969</v>
      </c>
      <c r="R234" s="4" t="s">
        <v>2970</v>
      </c>
      <c r="S234" s="4" t="s">
        <v>182</v>
      </c>
      <c r="T234" s="5" t="str">
        <f t="shared" si="13"/>
        <v>Y</v>
      </c>
      <c r="W234" s="5" t="str">
        <f t="shared" si="14"/>
        <v>Y</v>
      </c>
      <c r="X234" s="4" t="s">
        <v>51</v>
      </c>
      <c r="Y234" s="4" t="s">
        <v>2971</v>
      </c>
      <c r="Z234" s="4" t="s">
        <v>2972</v>
      </c>
      <c r="AA234" s="4" t="s">
        <v>2973</v>
      </c>
      <c r="AB234" s="4" t="s">
        <v>2974</v>
      </c>
      <c r="AC234" s="5" t="s">
        <v>56</v>
      </c>
      <c r="AH234" s="5" t="str">
        <f t="shared" si="15"/>
        <v>Y</v>
      </c>
      <c r="AI234" s="4" t="s">
        <v>2975</v>
      </c>
      <c r="AJ234" s="4" t="s">
        <v>2976</v>
      </c>
      <c r="AK234" s="3" t="s">
        <v>2977</v>
      </c>
      <c r="AL234" s="3" t="s">
        <v>2978</v>
      </c>
      <c r="AM234" s="4" t="s">
        <v>62</v>
      </c>
      <c r="AP234" s="5">
        <v>1</v>
      </c>
      <c r="AT234" s="7"/>
      <c r="AU234" s="7"/>
      <c r="AV234" s="7"/>
      <c r="AW234" s="7"/>
      <c r="AX234" s="7"/>
      <c r="AY234" s="7"/>
      <c r="AZ234" s="7"/>
      <c r="BA234" s="7"/>
      <c r="BB234" s="7"/>
      <c r="BC234" s="7"/>
      <c r="BD234" s="7"/>
      <c r="BE234" s="7"/>
      <c r="BF234" s="7"/>
      <c r="BG234" s="7"/>
      <c r="BH234" s="7"/>
      <c r="BI234" s="7"/>
      <c r="BJ234" s="7"/>
      <c r="BK234" s="7"/>
      <c r="BL234" s="7"/>
      <c r="BM234" s="7"/>
      <c r="BN234" s="7"/>
      <c r="BO234" s="7"/>
      <c r="BP234" s="7"/>
      <c r="BQ234" s="7"/>
      <c r="BR234" s="7"/>
      <c r="BS234" s="7"/>
      <c r="BT234" s="7"/>
      <c r="BU234" s="7"/>
      <c r="BV234" s="7"/>
      <c r="BW234" s="7"/>
      <c r="BX234" s="7"/>
      <c r="BY234" s="7"/>
      <c r="BZ234" s="7"/>
    </row>
    <row r="235" ht="16.5" customHeight="1">
      <c r="A235" s="3" t="s">
        <v>2979</v>
      </c>
      <c r="B235" s="3" t="s">
        <v>2980</v>
      </c>
      <c r="C235" s="3" t="s">
        <v>2981</v>
      </c>
      <c r="D235" s="3" t="s">
        <v>2660</v>
      </c>
      <c r="E235" s="4" t="s">
        <v>2982</v>
      </c>
      <c r="F235" s="3">
        <v>8124</v>
      </c>
      <c r="H235" s="5" t="str">
        <f t="shared" si="12"/>
        <v>N</v>
      </c>
      <c r="I235" s="4" t="s">
        <v>2983</v>
      </c>
      <c r="J235" s="4" t="s">
        <v>2984</v>
      </c>
      <c r="K235" s="4" t="s">
        <v>2985</v>
      </c>
      <c r="L235" s="4" t="s">
        <v>2986</v>
      </c>
      <c r="M235" s="4" t="s">
        <v>2987</v>
      </c>
      <c r="N235" s="4" t="s">
        <v>93</v>
      </c>
      <c r="O235" s="4" t="s">
        <v>2988</v>
      </c>
      <c r="P235" s="4" t="s">
        <v>2989</v>
      </c>
      <c r="Q235" s="4" t="s">
        <v>2990</v>
      </c>
      <c r="R235" s="4" t="s">
        <v>2991</v>
      </c>
      <c r="S235" s="4" t="s">
        <v>182</v>
      </c>
      <c r="T235" s="5" t="str">
        <f t="shared" si="13"/>
        <v>Y</v>
      </c>
      <c r="W235" s="5" t="str">
        <f t="shared" si="14"/>
        <v>Y</v>
      </c>
      <c r="X235" s="4" t="s">
        <v>51</v>
      </c>
      <c r="Y235" s="4" t="s">
        <v>2992</v>
      </c>
      <c r="Z235" s="4" t="s">
        <v>2993</v>
      </c>
      <c r="AA235" s="4" t="s">
        <v>2994</v>
      </c>
      <c r="AB235" s="4" t="s">
        <v>2995</v>
      </c>
      <c r="AC235" s="5" t="s">
        <v>56</v>
      </c>
      <c r="AH235" s="5" t="str">
        <f t="shared" si="15"/>
        <v>Y</v>
      </c>
      <c r="AI235" s="4" t="s">
        <v>2996</v>
      </c>
      <c r="AJ235" s="4" t="s">
        <v>2997</v>
      </c>
      <c r="AK235" s="3" t="s">
        <v>2998</v>
      </c>
      <c r="AL235" s="3" t="s">
        <v>2999</v>
      </c>
      <c r="AM235" s="4" t="s">
        <v>62</v>
      </c>
      <c r="AP235" s="5">
        <v>1</v>
      </c>
      <c r="AT235" s="7"/>
      <c r="AU235" s="7"/>
      <c r="AV235" s="7"/>
      <c r="AW235" s="7"/>
      <c r="AX235" s="7"/>
      <c r="AY235" s="7"/>
      <c r="AZ235" s="7"/>
      <c r="BA235" s="7"/>
      <c r="BB235" s="7"/>
      <c r="BC235" s="7"/>
      <c r="BD235" s="7"/>
      <c r="BE235" s="7"/>
      <c r="BF235" s="7"/>
      <c r="BG235" s="7"/>
      <c r="BH235" s="7"/>
      <c r="BI235" s="7"/>
      <c r="BJ235" s="7"/>
      <c r="BK235" s="7"/>
      <c r="BL235" s="7"/>
      <c r="BM235" s="7"/>
      <c r="BN235" s="7"/>
      <c r="BO235" s="7"/>
      <c r="BP235" s="7"/>
      <c r="BQ235" s="7"/>
      <c r="BR235" s="7"/>
      <c r="BS235" s="7"/>
      <c r="BT235" s="7"/>
      <c r="BU235" s="7"/>
      <c r="BV235" s="7"/>
      <c r="BW235" s="7"/>
      <c r="BX235" s="7"/>
      <c r="BY235" s="7"/>
      <c r="BZ235" s="7"/>
    </row>
    <row r="236" ht="16.5" customHeight="1">
      <c r="A236" s="3" t="s">
        <v>3000</v>
      </c>
      <c r="B236" s="3" t="s">
        <v>3001</v>
      </c>
      <c r="C236" s="3" t="s">
        <v>3002</v>
      </c>
      <c r="D236" s="3" t="s">
        <v>2660</v>
      </c>
      <c r="E236" s="4" t="s">
        <v>2982</v>
      </c>
      <c r="F236" s="3">
        <v>7564</v>
      </c>
      <c r="H236" s="5" t="str">
        <f t="shared" si="12"/>
        <v>N</v>
      </c>
      <c r="I236" s="4" t="s">
        <v>3003</v>
      </c>
      <c r="J236" s="4" t="s">
        <v>2984</v>
      </c>
      <c r="K236" s="4" t="s">
        <v>3004</v>
      </c>
      <c r="L236" s="4" t="s">
        <v>3005</v>
      </c>
      <c r="M236" s="4" t="s">
        <v>3006</v>
      </c>
      <c r="N236" s="4" t="s">
        <v>3007</v>
      </c>
      <c r="O236" s="4" t="s">
        <v>3008</v>
      </c>
      <c r="P236" s="4" t="s">
        <v>3009</v>
      </c>
      <c r="Q236" s="4" t="s">
        <v>3010</v>
      </c>
      <c r="R236" s="4" t="s">
        <v>3011</v>
      </c>
      <c r="S236" s="4" t="s">
        <v>182</v>
      </c>
      <c r="T236" s="5" t="str">
        <f t="shared" si="13"/>
        <v>Y</v>
      </c>
      <c r="W236" s="5" t="str">
        <f t="shared" si="14"/>
        <v>Y</v>
      </c>
      <c r="X236" s="4" t="s">
        <v>51</v>
      </c>
      <c r="Y236" s="4" t="s">
        <v>3012</v>
      </c>
      <c r="Z236" s="4" t="s">
        <v>3013</v>
      </c>
      <c r="AA236" s="4" t="s">
        <v>3014</v>
      </c>
      <c r="AB236" s="4" t="s">
        <v>3015</v>
      </c>
      <c r="AC236" s="5" t="s">
        <v>56</v>
      </c>
      <c r="AH236" s="5" t="str">
        <f t="shared" si="15"/>
        <v>Y</v>
      </c>
      <c r="AI236" s="4" t="s">
        <v>3016</v>
      </c>
      <c r="AJ236" s="4" t="s">
        <v>3017</v>
      </c>
      <c r="AK236" s="3" t="s">
        <v>3018</v>
      </c>
      <c r="AL236" s="3" t="s">
        <v>3019</v>
      </c>
      <c r="AM236" s="4" t="s">
        <v>62</v>
      </c>
      <c r="AP236" s="5">
        <v>1</v>
      </c>
      <c r="AT236" s="7"/>
      <c r="AU236" s="7"/>
      <c r="AV236" s="7"/>
      <c r="AW236" s="7"/>
      <c r="AX236" s="7"/>
      <c r="AY236" s="7"/>
      <c r="AZ236" s="7"/>
      <c r="BA236" s="7"/>
      <c r="BB236" s="7"/>
      <c r="BC236" s="7"/>
      <c r="BD236" s="7"/>
      <c r="BE236" s="7"/>
      <c r="BF236" s="7"/>
      <c r="BG236" s="7"/>
      <c r="BH236" s="7"/>
      <c r="BI236" s="7"/>
      <c r="BJ236" s="7"/>
      <c r="BK236" s="7"/>
      <c r="BL236" s="7"/>
      <c r="BM236" s="7"/>
      <c r="BN236" s="7"/>
      <c r="BO236" s="7"/>
      <c r="BP236" s="7"/>
      <c r="BQ236" s="7"/>
      <c r="BR236" s="7"/>
      <c r="BS236" s="7"/>
      <c r="BT236" s="7"/>
      <c r="BU236" s="7"/>
      <c r="BV236" s="7"/>
      <c r="BW236" s="7"/>
      <c r="BX236" s="7"/>
      <c r="BY236" s="7"/>
      <c r="BZ236" s="7"/>
    </row>
    <row r="237" ht="16.5" customHeight="1">
      <c r="A237" s="3" t="s">
        <v>3020</v>
      </c>
      <c r="B237" s="3" t="s">
        <v>3021</v>
      </c>
      <c r="C237" s="3" t="s">
        <v>3022</v>
      </c>
      <c r="D237" s="3" t="s">
        <v>2660</v>
      </c>
      <c r="E237" s="4" t="s">
        <v>2982</v>
      </c>
      <c r="F237" s="3">
        <v>8123</v>
      </c>
      <c r="H237" s="5" t="str">
        <f t="shared" si="12"/>
        <v>N</v>
      </c>
      <c r="I237" s="4" t="s">
        <v>3023</v>
      </c>
      <c r="J237" s="4" t="s">
        <v>2984</v>
      </c>
      <c r="K237" s="4" t="s">
        <v>3024</v>
      </c>
      <c r="L237" s="4" t="s">
        <v>114</v>
      </c>
      <c r="M237" s="4" t="s">
        <v>3025</v>
      </c>
      <c r="N237" s="4" t="s">
        <v>3026</v>
      </c>
      <c r="O237" s="4" t="s">
        <v>3027</v>
      </c>
      <c r="P237" s="4" t="s">
        <v>3028</v>
      </c>
      <c r="Q237" s="4" t="s">
        <v>3029</v>
      </c>
      <c r="R237" s="4" t="s">
        <v>3030</v>
      </c>
      <c r="S237" s="4" t="s">
        <v>182</v>
      </c>
      <c r="T237" s="5" t="str">
        <f t="shared" si="13"/>
        <v>Y</v>
      </c>
      <c r="W237" s="5" t="str">
        <f t="shared" si="14"/>
        <v>Y</v>
      </c>
      <c r="X237" s="4" t="s">
        <v>51</v>
      </c>
      <c r="Y237" s="4" t="s">
        <v>3031</v>
      </c>
      <c r="Z237" s="4" t="s">
        <v>3032</v>
      </c>
      <c r="AA237" s="4" t="s">
        <v>3033</v>
      </c>
      <c r="AB237" s="4" t="s">
        <v>3034</v>
      </c>
      <c r="AC237" s="5" t="s">
        <v>56</v>
      </c>
      <c r="AH237" s="5" t="str">
        <f t="shared" si="15"/>
        <v>Y</v>
      </c>
      <c r="AI237" s="4" t="s">
        <v>3035</v>
      </c>
      <c r="AJ237" s="4" t="s">
        <v>3036</v>
      </c>
      <c r="AK237" s="3" t="s">
        <v>3037</v>
      </c>
      <c r="AL237" s="3" t="s">
        <v>3038</v>
      </c>
      <c r="AM237" s="4" t="s">
        <v>62</v>
      </c>
      <c r="AP237" s="5">
        <v>1</v>
      </c>
      <c r="AT237" s="7"/>
      <c r="AU237" s="7"/>
      <c r="AV237" s="7"/>
      <c r="AW237" s="7"/>
      <c r="AX237" s="7"/>
      <c r="AY237" s="7"/>
      <c r="AZ237" s="7"/>
      <c r="BA237" s="7"/>
      <c r="BB237" s="7"/>
      <c r="BC237" s="7"/>
      <c r="BD237" s="7"/>
      <c r="BE237" s="7"/>
      <c r="BF237" s="7"/>
      <c r="BG237" s="7"/>
      <c r="BH237" s="7"/>
      <c r="BI237" s="7"/>
      <c r="BJ237" s="7"/>
      <c r="BK237" s="7"/>
      <c r="BL237" s="7"/>
      <c r="BM237" s="7"/>
      <c r="BN237" s="7"/>
      <c r="BO237" s="7"/>
      <c r="BP237" s="7"/>
      <c r="BQ237" s="7"/>
      <c r="BR237" s="7"/>
      <c r="BS237" s="7"/>
      <c r="BT237" s="7"/>
      <c r="BU237" s="7"/>
      <c r="BV237" s="7"/>
      <c r="BW237" s="7"/>
      <c r="BX237" s="7"/>
      <c r="BY237" s="7"/>
      <c r="BZ237" s="7"/>
    </row>
    <row r="238" ht="16.5" customHeight="1">
      <c r="A238" s="3" t="s">
        <v>3039</v>
      </c>
      <c r="B238" s="3" t="s">
        <v>3040</v>
      </c>
      <c r="C238" s="3" t="s">
        <v>3041</v>
      </c>
      <c r="D238" s="3" t="s">
        <v>37</v>
      </c>
      <c r="E238" s="4" t="s">
        <v>3042</v>
      </c>
      <c r="F238" s="3">
        <v>10595</v>
      </c>
      <c r="H238" s="5" t="str">
        <f t="shared" si="12"/>
        <v>N</v>
      </c>
      <c r="I238" s="4" t="s">
        <v>3043</v>
      </c>
      <c r="J238" s="4" t="s">
        <v>3044</v>
      </c>
      <c r="K238" s="4" t="s">
        <v>3045</v>
      </c>
      <c r="L238" s="4" t="s">
        <v>161</v>
      </c>
      <c r="M238" s="4" t="s">
        <v>3046</v>
      </c>
      <c r="N238" s="4" t="s">
        <v>3047</v>
      </c>
      <c r="O238" s="4" t="s">
        <v>3048</v>
      </c>
      <c r="P238" s="4" t="s">
        <v>892</v>
      </c>
      <c r="Q238" s="4" t="s">
        <v>3049</v>
      </c>
      <c r="R238" s="4" t="s">
        <v>3050</v>
      </c>
      <c r="S238" s="4" t="s">
        <v>312</v>
      </c>
      <c r="T238" s="5" t="str">
        <f t="shared" si="13"/>
        <v>Y</v>
      </c>
      <c r="W238" s="5" t="str">
        <f t="shared" si="14"/>
        <v>Y</v>
      </c>
      <c r="X238" s="4" t="s">
        <v>51</v>
      </c>
      <c r="Y238" s="4" t="s">
        <v>3051</v>
      </c>
      <c r="Z238" s="4" t="s">
        <v>3052</v>
      </c>
      <c r="AA238" s="4" t="s">
        <v>3053</v>
      </c>
      <c r="AB238" s="4" t="s">
        <v>3054</v>
      </c>
      <c r="AC238" s="5" t="s">
        <v>56</v>
      </c>
      <c r="AH238" s="5" t="str">
        <f t="shared" si="15"/>
        <v>Y</v>
      </c>
      <c r="AI238" s="4" t="s">
        <v>3055</v>
      </c>
      <c r="AJ238" s="4" t="s">
        <v>3056</v>
      </c>
      <c r="AK238" s="3" t="s">
        <v>3057</v>
      </c>
      <c r="AL238" s="3" t="s">
        <v>3058</v>
      </c>
      <c r="AM238" s="4" t="s">
        <v>62</v>
      </c>
      <c r="AP238" s="5">
        <v>1</v>
      </c>
      <c r="AT238" s="7"/>
      <c r="AU238" s="7"/>
      <c r="AV238" s="7"/>
      <c r="AW238" s="7"/>
      <c r="AX238" s="7"/>
      <c r="AY238" s="7"/>
      <c r="AZ238" s="7"/>
      <c r="BA238" s="7"/>
      <c r="BB238" s="7"/>
      <c r="BC238" s="7"/>
      <c r="BD238" s="7"/>
      <c r="BE238" s="7"/>
      <c r="BF238" s="7"/>
      <c r="BG238" s="7"/>
      <c r="BH238" s="7"/>
      <c r="BI238" s="7"/>
      <c r="BJ238" s="7"/>
      <c r="BK238" s="7"/>
      <c r="BL238" s="7"/>
      <c r="BM238" s="7"/>
      <c r="BN238" s="7"/>
      <c r="BO238" s="7"/>
      <c r="BP238" s="7"/>
      <c r="BQ238" s="7"/>
      <c r="BR238" s="7"/>
      <c r="BS238" s="7"/>
      <c r="BT238" s="7"/>
      <c r="BU238" s="7"/>
      <c r="BV238" s="7"/>
      <c r="BW238" s="7"/>
      <c r="BX238" s="7"/>
      <c r="BY238" s="7"/>
      <c r="BZ238" s="7"/>
    </row>
    <row r="239" ht="16.5" customHeight="1">
      <c r="A239" s="3" t="s">
        <v>3059</v>
      </c>
      <c r="B239" s="3" t="s">
        <v>3060</v>
      </c>
      <c r="C239" s="3">
        <v>0</v>
      </c>
      <c r="D239" s="3" t="s">
        <v>37</v>
      </c>
      <c r="E239" s="4" t="s">
        <v>3042</v>
      </c>
      <c r="F239" s="3">
        <v>7281</v>
      </c>
      <c r="H239" s="5" t="str">
        <f t="shared" si="12"/>
        <v>N</v>
      </c>
      <c r="I239" s="4" t="s">
        <v>3061</v>
      </c>
      <c r="J239" s="4" t="s">
        <v>3062</v>
      </c>
      <c r="K239" s="4" t="s">
        <v>3063</v>
      </c>
      <c r="L239" s="4" t="s">
        <v>3064</v>
      </c>
      <c r="M239" s="4" t="s">
        <v>3065</v>
      </c>
      <c r="N239" s="4" t="s">
        <v>3066</v>
      </c>
      <c r="O239" s="4" t="s">
        <v>3067</v>
      </c>
      <c r="P239" s="4" t="s">
        <v>163</v>
      </c>
      <c r="Q239" s="4" t="s">
        <v>3068</v>
      </c>
      <c r="R239" s="4" t="s">
        <v>3069</v>
      </c>
      <c r="S239" s="4" t="s">
        <v>312</v>
      </c>
      <c r="T239" s="5" t="str">
        <f t="shared" si="13"/>
        <v>Y</v>
      </c>
      <c r="W239" s="5" t="str">
        <f t="shared" si="14"/>
        <v>Y</v>
      </c>
      <c r="X239" s="4" t="s">
        <v>51</v>
      </c>
      <c r="Y239" s="4" t="s">
        <v>3070</v>
      </c>
      <c r="Z239" s="4" t="s">
        <v>3071</v>
      </c>
      <c r="AA239" s="4" t="s">
        <v>3072</v>
      </c>
      <c r="AB239" s="4" t="s">
        <v>3073</v>
      </c>
      <c r="AC239" s="5" t="s">
        <v>56</v>
      </c>
      <c r="AH239" s="5" t="str">
        <f t="shared" si="15"/>
        <v>Y</v>
      </c>
      <c r="AI239" s="4" t="s">
        <v>3074</v>
      </c>
      <c r="AJ239" s="4" t="s">
        <v>3075</v>
      </c>
      <c r="AK239" s="3" t="s">
        <v>3076</v>
      </c>
      <c r="AL239" s="3" t="s">
        <v>3077</v>
      </c>
      <c r="AM239" s="4" t="s">
        <v>62</v>
      </c>
      <c r="AP239" s="5">
        <v>1</v>
      </c>
      <c r="AT239" s="7"/>
      <c r="AU239" s="7"/>
      <c r="AV239" s="7"/>
      <c r="AW239" s="7"/>
      <c r="AX239" s="7"/>
      <c r="AY239" s="7"/>
      <c r="AZ239" s="7"/>
      <c r="BA239" s="7"/>
      <c r="BB239" s="7"/>
      <c r="BC239" s="7"/>
      <c r="BD239" s="7"/>
      <c r="BE239" s="7"/>
      <c r="BF239" s="7"/>
      <c r="BG239" s="7"/>
      <c r="BH239" s="7"/>
      <c r="BI239" s="7"/>
      <c r="BJ239" s="7"/>
      <c r="BK239" s="7"/>
      <c r="BL239" s="7"/>
      <c r="BM239" s="7"/>
      <c r="BN239" s="7"/>
      <c r="BO239" s="7"/>
      <c r="BP239" s="7"/>
      <c r="BQ239" s="7"/>
      <c r="BR239" s="7"/>
      <c r="BS239" s="7"/>
      <c r="BT239" s="7"/>
      <c r="BU239" s="7"/>
      <c r="BV239" s="7"/>
      <c r="BW239" s="7"/>
      <c r="BX239" s="7"/>
      <c r="BY239" s="7"/>
      <c r="BZ239" s="7"/>
    </row>
    <row r="240" ht="16.5" customHeight="1">
      <c r="A240" s="3" t="s">
        <v>3078</v>
      </c>
      <c r="B240" s="3" t="s">
        <v>3079</v>
      </c>
      <c r="C240" s="3" t="s">
        <v>3080</v>
      </c>
      <c r="D240" s="3" t="s">
        <v>37</v>
      </c>
      <c r="E240" s="4" t="s">
        <v>3081</v>
      </c>
      <c r="F240" s="3">
        <v>2469</v>
      </c>
      <c r="H240" s="5" t="str">
        <f t="shared" si="12"/>
        <v>N</v>
      </c>
      <c r="I240" s="4" t="s">
        <v>3082</v>
      </c>
      <c r="J240" s="4" t="s">
        <v>3083</v>
      </c>
      <c r="K240" s="4" t="s">
        <v>3084</v>
      </c>
      <c r="L240" s="4" t="s">
        <v>263</v>
      </c>
      <c r="M240" s="4" t="s">
        <v>3085</v>
      </c>
      <c r="N240" s="4" t="s">
        <v>267</v>
      </c>
      <c r="O240" s="4" t="s">
        <v>3086</v>
      </c>
      <c r="P240" s="4" t="s">
        <v>3087</v>
      </c>
      <c r="Q240" s="4" t="s">
        <v>3088</v>
      </c>
      <c r="R240" s="4" t="s">
        <v>3089</v>
      </c>
      <c r="S240" s="4" t="s">
        <v>312</v>
      </c>
      <c r="T240" s="5" t="str">
        <f t="shared" si="13"/>
        <v>Y</v>
      </c>
      <c r="W240" s="5" t="str">
        <f t="shared" si="14"/>
        <v>Y</v>
      </c>
      <c r="X240" s="4" t="s">
        <v>51</v>
      </c>
      <c r="Y240" s="4" t="s">
        <v>3090</v>
      </c>
      <c r="Z240" s="4" t="s">
        <v>3091</v>
      </c>
      <c r="AA240" s="4" t="s">
        <v>3092</v>
      </c>
      <c r="AB240" s="4" t="s">
        <v>3093</v>
      </c>
      <c r="AC240" s="5" t="s">
        <v>56</v>
      </c>
      <c r="AH240" s="5" t="str">
        <f t="shared" si="15"/>
        <v>Y</v>
      </c>
      <c r="AI240" s="4" t="s">
        <v>3094</v>
      </c>
      <c r="AJ240" s="4" t="s">
        <v>3095</v>
      </c>
      <c r="AK240" s="3" t="s">
        <v>3096</v>
      </c>
      <c r="AL240" s="3" t="s">
        <v>3097</v>
      </c>
      <c r="AM240" s="4" t="s">
        <v>62</v>
      </c>
      <c r="AP240" s="5">
        <v>1</v>
      </c>
      <c r="AT240" s="7"/>
      <c r="AU240" s="7"/>
      <c r="AV240" s="7"/>
      <c r="AW240" s="7"/>
      <c r="AX240" s="7"/>
      <c r="AY240" s="7"/>
      <c r="AZ240" s="7"/>
      <c r="BA240" s="7"/>
      <c r="BB240" s="7"/>
      <c r="BC240" s="7"/>
      <c r="BD240" s="7"/>
      <c r="BE240" s="7"/>
      <c r="BF240" s="7"/>
      <c r="BG240" s="7"/>
      <c r="BH240" s="7"/>
      <c r="BI240" s="7"/>
      <c r="BJ240" s="7"/>
      <c r="BK240" s="7"/>
      <c r="BL240" s="7"/>
      <c r="BM240" s="7"/>
      <c r="BN240" s="7"/>
      <c r="BO240" s="7"/>
      <c r="BP240" s="7"/>
      <c r="BQ240" s="7"/>
      <c r="BR240" s="7"/>
      <c r="BS240" s="7"/>
      <c r="BT240" s="7"/>
      <c r="BU240" s="7"/>
      <c r="BV240" s="7"/>
      <c r="BW240" s="7"/>
      <c r="BX240" s="7"/>
      <c r="BY240" s="7"/>
      <c r="BZ240" s="7"/>
    </row>
    <row r="241" ht="16.5" customHeight="1">
      <c r="A241" s="3" t="s">
        <v>3098</v>
      </c>
      <c r="B241" s="3" t="s">
        <v>3099</v>
      </c>
      <c r="C241" s="3" t="s">
        <v>3100</v>
      </c>
      <c r="D241" s="3" t="s">
        <v>37</v>
      </c>
      <c r="E241" s="4" t="s">
        <v>3042</v>
      </c>
      <c r="F241" s="3">
        <v>3252</v>
      </c>
      <c r="H241" s="5" t="str">
        <f t="shared" si="12"/>
        <v>N</v>
      </c>
      <c r="I241" s="4" t="s">
        <v>3101</v>
      </c>
      <c r="J241" s="4" t="s">
        <v>3062</v>
      </c>
      <c r="K241" s="4" t="s">
        <v>3102</v>
      </c>
      <c r="L241" s="4" t="s">
        <v>3103</v>
      </c>
      <c r="M241" s="4" t="s">
        <v>3104</v>
      </c>
      <c r="N241" s="4" t="s">
        <v>3105</v>
      </c>
      <c r="O241" s="4" t="s">
        <v>3106</v>
      </c>
      <c r="P241" s="4" t="s">
        <v>892</v>
      </c>
      <c r="Q241" s="4" t="s">
        <v>3107</v>
      </c>
      <c r="R241" s="4" t="s">
        <v>3108</v>
      </c>
      <c r="S241" s="4" t="s">
        <v>312</v>
      </c>
      <c r="T241" s="5" t="str">
        <f t="shared" si="13"/>
        <v>Y</v>
      </c>
      <c r="W241" s="5" t="str">
        <f t="shared" si="14"/>
        <v>Y</v>
      </c>
      <c r="X241" s="4" t="s">
        <v>51</v>
      </c>
      <c r="Y241" s="4" t="s">
        <v>3109</v>
      </c>
      <c r="Z241" s="4" t="s">
        <v>3110</v>
      </c>
      <c r="AA241" s="4" t="s">
        <v>3111</v>
      </c>
      <c r="AB241" s="4" t="s">
        <v>3112</v>
      </c>
      <c r="AC241" s="5" t="s">
        <v>56</v>
      </c>
      <c r="AH241" s="5" t="str">
        <f t="shared" si="15"/>
        <v>Y</v>
      </c>
      <c r="AI241" s="4" t="s">
        <v>3113</v>
      </c>
      <c r="AJ241" s="4" t="s">
        <v>3114</v>
      </c>
      <c r="AK241" s="3" t="s">
        <v>3115</v>
      </c>
      <c r="AL241" s="3" t="s">
        <v>3116</v>
      </c>
      <c r="AM241" s="4" t="s">
        <v>62</v>
      </c>
      <c r="AP241" s="5">
        <v>1</v>
      </c>
      <c r="AT241" s="7"/>
      <c r="AU241" s="7"/>
      <c r="AV241" s="7"/>
      <c r="AW241" s="7"/>
      <c r="AX241" s="7"/>
      <c r="AY241" s="7"/>
      <c r="AZ241" s="7"/>
      <c r="BA241" s="7"/>
      <c r="BB241" s="7"/>
      <c r="BC241" s="7"/>
      <c r="BD241" s="7"/>
      <c r="BE241" s="7"/>
      <c r="BF241" s="7"/>
      <c r="BG241" s="7"/>
      <c r="BH241" s="7"/>
      <c r="BI241" s="7"/>
      <c r="BJ241" s="7"/>
      <c r="BK241" s="7"/>
      <c r="BL241" s="7"/>
      <c r="BM241" s="7"/>
      <c r="BN241" s="7"/>
      <c r="BO241" s="7"/>
      <c r="BP241" s="7"/>
      <c r="BQ241" s="7"/>
      <c r="BR241" s="7"/>
      <c r="BS241" s="7"/>
      <c r="BT241" s="7"/>
      <c r="BU241" s="7"/>
      <c r="BV241" s="7"/>
      <c r="BW241" s="7"/>
      <c r="BX241" s="7"/>
      <c r="BY241" s="7"/>
      <c r="BZ241" s="7"/>
    </row>
    <row r="242" ht="16.5" customHeight="1">
      <c r="A242" s="3" t="s">
        <v>3117</v>
      </c>
      <c r="B242" s="3" t="s">
        <v>3118</v>
      </c>
      <c r="C242" s="3" t="s">
        <v>3119</v>
      </c>
      <c r="D242" s="3" t="s">
        <v>37</v>
      </c>
      <c r="E242" s="4" t="s">
        <v>3120</v>
      </c>
      <c r="F242" s="3">
        <v>3138</v>
      </c>
      <c r="H242" s="5" t="str">
        <f t="shared" si="12"/>
        <v>N</v>
      </c>
      <c r="I242" s="4" t="s">
        <v>3121</v>
      </c>
      <c r="J242" s="4" t="s">
        <v>3122</v>
      </c>
      <c r="K242" s="4" t="s">
        <v>3123</v>
      </c>
      <c r="L242" s="4" t="s">
        <v>3124</v>
      </c>
      <c r="M242" s="4" t="s">
        <v>3125</v>
      </c>
      <c r="N242" s="4" t="s">
        <v>161</v>
      </c>
      <c r="O242" s="4" t="s">
        <v>3126</v>
      </c>
      <c r="P242" s="4" t="s">
        <v>3127</v>
      </c>
      <c r="Q242" s="4" t="s">
        <v>3128</v>
      </c>
      <c r="R242" s="8" t="s">
        <v>3129</v>
      </c>
      <c r="S242" s="4" t="s">
        <v>312</v>
      </c>
      <c r="T242" s="5" t="str">
        <f t="shared" si="13"/>
        <v>Y</v>
      </c>
      <c r="W242" s="5" t="str">
        <f t="shared" si="14"/>
        <v>Y</v>
      </c>
      <c r="X242" s="4" t="s">
        <v>51</v>
      </c>
      <c r="Y242" s="4" t="s">
        <v>3130</v>
      </c>
      <c r="Z242" s="4" t="s">
        <v>3131</v>
      </c>
      <c r="AA242" s="4" t="s">
        <v>3132</v>
      </c>
      <c r="AB242" s="4" t="s">
        <v>3133</v>
      </c>
      <c r="AC242" s="5" t="s">
        <v>56</v>
      </c>
      <c r="AH242" s="5" t="str">
        <f t="shared" si="15"/>
        <v>Y</v>
      </c>
      <c r="AI242" s="4" t="s">
        <v>3134</v>
      </c>
      <c r="AJ242" s="4" t="s">
        <v>3135</v>
      </c>
      <c r="AK242" s="3" t="s">
        <v>3136</v>
      </c>
      <c r="AL242" s="3" t="s">
        <v>3137</v>
      </c>
      <c r="AM242" s="4" t="s">
        <v>62</v>
      </c>
      <c r="AP242" s="5">
        <v>1</v>
      </c>
      <c r="AT242" s="7"/>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c r="BU242" s="7"/>
      <c r="BV242" s="7"/>
      <c r="BW242" s="7"/>
      <c r="BX242" s="7"/>
      <c r="BY242" s="7"/>
      <c r="BZ242" s="7"/>
    </row>
    <row r="243" ht="16.5" customHeight="1">
      <c r="A243" s="3" t="s">
        <v>3138</v>
      </c>
      <c r="B243" s="3" t="s">
        <v>3139</v>
      </c>
      <c r="C243" s="3" t="s">
        <v>3140</v>
      </c>
      <c r="D243" s="3" t="s">
        <v>37</v>
      </c>
      <c r="E243" s="4" t="s">
        <v>3120</v>
      </c>
      <c r="F243" s="3">
        <v>1097</v>
      </c>
      <c r="H243" s="5" t="str">
        <f t="shared" si="12"/>
        <v>N</v>
      </c>
      <c r="I243" s="4" t="s">
        <v>3141</v>
      </c>
      <c r="J243" s="4" t="s">
        <v>3122</v>
      </c>
      <c r="K243" s="4" t="s">
        <v>3142</v>
      </c>
      <c r="L243" s="4" t="s">
        <v>3143</v>
      </c>
      <c r="M243" s="4" t="s">
        <v>3144</v>
      </c>
      <c r="N243" s="4" t="s">
        <v>3145</v>
      </c>
      <c r="O243" s="4" t="s">
        <v>3146</v>
      </c>
      <c r="P243" s="4" t="s">
        <v>3147</v>
      </c>
      <c r="Q243" s="4" t="s">
        <v>3148</v>
      </c>
      <c r="R243" s="8" t="s">
        <v>3149</v>
      </c>
      <c r="S243" s="4" t="s">
        <v>312</v>
      </c>
      <c r="T243" s="5" t="str">
        <f t="shared" si="13"/>
        <v>Y</v>
      </c>
      <c r="W243" s="5" t="str">
        <f t="shared" si="14"/>
        <v>Y</v>
      </c>
      <c r="X243" s="4" t="s">
        <v>51</v>
      </c>
      <c r="Y243" s="4" t="s">
        <v>3150</v>
      </c>
      <c r="Z243" s="4" t="s">
        <v>3151</v>
      </c>
      <c r="AA243" s="4" t="s">
        <v>3152</v>
      </c>
      <c r="AB243" s="4" t="s">
        <v>3153</v>
      </c>
      <c r="AC243" s="5" t="s">
        <v>56</v>
      </c>
      <c r="AH243" s="5" t="str">
        <f t="shared" si="15"/>
        <v>Y</v>
      </c>
      <c r="AI243" s="4" t="s">
        <v>3154</v>
      </c>
      <c r="AJ243" s="4" t="s">
        <v>3155</v>
      </c>
      <c r="AK243" s="3" t="s">
        <v>3156</v>
      </c>
      <c r="AL243" s="3" t="s">
        <v>3157</v>
      </c>
      <c r="AM243" s="4" t="s">
        <v>62</v>
      </c>
      <c r="AP243" s="5">
        <v>1</v>
      </c>
      <c r="AT243" s="7"/>
      <c r="AU243" s="7"/>
      <c r="AV243" s="7"/>
      <c r="AW243" s="7"/>
      <c r="AX243" s="7"/>
      <c r="AY243" s="7"/>
      <c r="AZ243" s="7"/>
      <c r="BA243" s="7"/>
      <c r="BB243" s="7"/>
      <c r="BC243" s="7"/>
      <c r="BD243" s="7"/>
      <c r="BE243" s="7"/>
      <c r="BF243" s="7"/>
      <c r="BG243" s="7"/>
      <c r="BH243" s="7"/>
      <c r="BI243" s="7"/>
      <c r="BJ243" s="7"/>
      <c r="BK243" s="7"/>
      <c r="BL243" s="7"/>
      <c r="BM243" s="7"/>
      <c r="BN243" s="7"/>
      <c r="BO243" s="7"/>
      <c r="BP243" s="7"/>
      <c r="BQ243" s="7"/>
      <c r="BR243" s="7"/>
      <c r="BS243" s="7"/>
      <c r="BT243" s="7"/>
      <c r="BU243" s="7"/>
      <c r="BV243" s="7"/>
      <c r="BW243" s="7"/>
      <c r="BX243" s="7"/>
      <c r="BY243" s="7"/>
      <c r="BZ243" s="7"/>
    </row>
    <row r="244" ht="16.5" customHeight="1">
      <c r="A244" s="3" t="s">
        <v>3158</v>
      </c>
      <c r="B244" s="3" t="s">
        <v>3159</v>
      </c>
      <c r="C244" s="3">
        <v>0</v>
      </c>
      <c r="D244" s="3" t="s">
        <v>37</v>
      </c>
      <c r="E244" s="4" t="s">
        <v>3120</v>
      </c>
      <c r="F244" s="3">
        <v>4332</v>
      </c>
      <c r="H244" s="5" t="str">
        <f t="shared" si="12"/>
        <v>N</v>
      </c>
      <c r="I244" s="4" t="s">
        <v>3160</v>
      </c>
      <c r="J244" s="4" t="s">
        <v>3122</v>
      </c>
      <c r="K244" s="4" t="s">
        <v>3161</v>
      </c>
      <c r="L244" s="4" t="s">
        <v>3162</v>
      </c>
      <c r="M244" s="4" t="s">
        <v>3163</v>
      </c>
      <c r="N244" s="4" t="s">
        <v>3164</v>
      </c>
      <c r="O244" s="4" t="s">
        <v>3165</v>
      </c>
      <c r="P244" s="4" t="s">
        <v>3166</v>
      </c>
      <c r="Q244" s="4" t="s">
        <v>3167</v>
      </c>
      <c r="R244" s="8" t="s">
        <v>3168</v>
      </c>
      <c r="S244" s="4" t="s">
        <v>312</v>
      </c>
      <c r="T244" s="5" t="str">
        <f t="shared" si="13"/>
        <v>Y</v>
      </c>
      <c r="W244" s="5" t="str">
        <f t="shared" si="14"/>
        <v>Y</v>
      </c>
      <c r="X244" s="4" t="s">
        <v>51</v>
      </c>
      <c r="Y244" s="4" t="s">
        <v>3169</v>
      </c>
      <c r="Z244" s="4" t="s">
        <v>3170</v>
      </c>
      <c r="AA244" s="4" t="s">
        <v>3171</v>
      </c>
      <c r="AB244" s="4" t="s">
        <v>3172</v>
      </c>
      <c r="AC244" s="5" t="s">
        <v>56</v>
      </c>
      <c r="AH244" s="5" t="str">
        <f t="shared" si="15"/>
        <v>Y</v>
      </c>
      <c r="AI244" s="4" t="s">
        <v>3173</v>
      </c>
      <c r="AJ244" s="4" t="s">
        <v>3174</v>
      </c>
      <c r="AK244" s="3" t="s">
        <v>3175</v>
      </c>
      <c r="AL244" s="3" t="s">
        <v>3176</v>
      </c>
      <c r="AM244" s="4" t="s">
        <v>62</v>
      </c>
      <c r="AP244" s="5">
        <v>1</v>
      </c>
      <c r="AT244" s="7"/>
      <c r="AU244" s="7"/>
      <c r="AV244" s="7"/>
      <c r="AW244" s="7"/>
      <c r="AX244" s="7"/>
      <c r="AY244" s="7"/>
      <c r="AZ244" s="7"/>
      <c r="BA244" s="7"/>
      <c r="BB244" s="7"/>
      <c r="BC244" s="7"/>
      <c r="BD244" s="7"/>
      <c r="BE244" s="7"/>
      <c r="BF244" s="7"/>
      <c r="BG244" s="7"/>
      <c r="BH244" s="7"/>
      <c r="BI244" s="7"/>
      <c r="BJ244" s="7"/>
      <c r="BK244" s="7"/>
      <c r="BL244" s="7"/>
      <c r="BM244" s="7"/>
      <c r="BN244" s="7"/>
      <c r="BO244" s="7"/>
      <c r="BP244" s="7"/>
      <c r="BQ244" s="7"/>
      <c r="BR244" s="7"/>
      <c r="BS244" s="7"/>
      <c r="BT244" s="7"/>
      <c r="BU244" s="7"/>
      <c r="BV244" s="7"/>
      <c r="BW244" s="7"/>
      <c r="BX244" s="7"/>
      <c r="BY244" s="7"/>
      <c r="BZ244" s="7"/>
    </row>
    <row r="245" ht="16.5" customHeight="1">
      <c r="A245" s="3" t="s">
        <v>3177</v>
      </c>
      <c r="B245" s="3" t="s">
        <v>3178</v>
      </c>
      <c r="C245" s="3" t="s">
        <v>3179</v>
      </c>
      <c r="D245" s="3" t="s">
        <v>37</v>
      </c>
      <c r="E245" s="4" t="s">
        <v>3120</v>
      </c>
      <c r="F245" s="3">
        <v>1084</v>
      </c>
      <c r="H245" s="5" t="str">
        <f t="shared" si="12"/>
        <v>N</v>
      </c>
      <c r="I245" s="4" t="s">
        <v>3180</v>
      </c>
      <c r="J245" s="4" t="s">
        <v>3122</v>
      </c>
      <c r="K245" s="4" t="s">
        <v>3181</v>
      </c>
      <c r="L245" s="4" t="s">
        <v>3182</v>
      </c>
      <c r="M245" s="4" t="s">
        <v>3183</v>
      </c>
      <c r="N245" s="4" t="s">
        <v>3184</v>
      </c>
      <c r="O245" s="4" t="s">
        <v>3185</v>
      </c>
      <c r="P245" s="4" t="s">
        <v>3186</v>
      </c>
      <c r="Q245" s="4" t="s">
        <v>3187</v>
      </c>
      <c r="R245" s="8" t="s">
        <v>3188</v>
      </c>
      <c r="S245" s="4" t="s">
        <v>225</v>
      </c>
      <c r="T245" s="5" t="str">
        <f t="shared" si="13"/>
        <v>Y</v>
      </c>
      <c r="W245" s="5" t="str">
        <f t="shared" si="14"/>
        <v>Y</v>
      </c>
      <c r="X245" s="4" t="s">
        <v>51</v>
      </c>
      <c r="Y245" s="4" t="s">
        <v>3189</v>
      </c>
      <c r="Z245" s="4" t="s">
        <v>3190</v>
      </c>
      <c r="AA245" s="4" t="s">
        <v>3191</v>
      </c>
      <c r="AB245" s="4" t="s">
        <v>3192</v>
      </c>
      <c r="AC245" s="5" t="s">
        <v>56</v>
      </c>
      <c r="AH245" s="5" t="str">
        <f t="shared" si="15"/>
        <v>Y</v>
      </c>
      <c r="AI245" s="4" t="s">
        <v>3193</v>
      </c>
      <c r="AJ245" s="4" t="s">
        <v>3194</v>
      </c>
      <c r="AK245" s="3" t="s">
        <v>3195</v>
      </c>
      <c r="AL245" s="3" t="s">
        <v>3196</v>
      </c>
      <c r="AM245" s="4" t="s">
        <v>62</v>
      </c>
      <c r="AP245" s="5">
        <v>1</v>
      </c>
      <c r="AT245" s="7"/>
      <c r="AU245" s="7"/>
      <c r="AV245" s="7"/>
      <c r="AW245" s="7"/>
      <c r="AX245" s="7"/>
      <c r="AY245" s="7"/>
      <c r="AZ245" s="7"/>
      <c r="BA245" s="7"/>
      <c r="BB245" s="7"/>
      <c r="BC245" s="7"/>
      <c r="BD245" s="7"/>
      <c r="BE245" s="7"/>
      <c r="BF245" s="7"/>
      <c r="BG245" s="7"/>
      <c r="BH245" s="7"/>
      <c r="BI245" s="7"/>
      <c r="BJ245" s="7"/>
      <c r="BK245" s="7"/>
      <c r="BL245" s="7"/>
      <c r="BM245" s="7"/>
      <c r="BN245" s="7"/>
      <c r="BO245" s="7"/>
      <c r="BP245" s="7"/>
      <c r="BQ245" s="7"/>
      <c r="BR245" s="7"/>
      <c r="BS245" s="7"/>
      <c r="BT245" s="7"/>
      <c r="BU245" s="7"/>
      <c r="BV245" s="7"/>
      <c r="BW245" s="7"/>
      <c r="BX245" s="7"/>
      <c r="BY245" s="7"/>
      <c r="BZ245" s="7"/>
    </row>
    <row r="246" ht="16.5" customHeight="1">
      <c r="A246" s="3" t="s">
        <v>3197</v>
      </c>
      <c r="B246" s="3" t="s">
        <v>3198</v>
      </c>
      <c r="C246" s="3">
        <v>0</v>
      </c>
      <c r="D246" s="3" t="s">
        <v>37</v>
      </c>
      <c r="E246" s="4" t="s">
        <v>3120</v>
      </c>
      <c r="F246" s="3">
        <v>7464</v>
      </c>
      <c r="H246" s="5" t="str">
        <f t="shared" si="12"/>
        <v>N</v>
      </c>
      <c r="I246" s="4" t="s">
        <v>3199</v>
      </c>
      <c r="J246" s="4" t="s">
        <v>3200</v>
      </c>
      <c r="K246" s="4" t="s">
        <v>3201</v>
      </c>
      <c r="L246" s="4" t="s">
        <v>3202</v>
      </c>
      <c r="M246" s="4" t="s">
        <v>3203</v>
      </c>
      <c r="N246" s="4" t="s">
        <v>3204</v>
      </c>
      <c r="O246" s="4" t="s">
        <v>3205</v>
      </c>
      <c r="P246" s="4" t="s">
        <v>2064</v>
      </c>
      <c r="Q246" s="4" t="s">
        <v>3206</v>
      </c>
      <c r="R246" s="8" t="s">
        <v>3207</v>
      </c>
      <c r="S246" s="4" t="s">
        <v>225</v>
      </c>
      <c r="T246" s="5" t="str">
        <f t="shared" si="13"/>
        <v>Y</v>
      </c>
      <c r="W246" s="5" t="str">
        <f t="shared" si="14"/>
        <v>Y</v>
      </c>
      <c r="X246" s="4" t="s">
        <v>51</v>
      </c>
      <c r="Y246" s="4" t="s">
        <v>3208</v>
      </c>
      <c r="Z246" s="4" t="s">
        <v>3209</v>
      </c>
      <c r="AA246" s="4" t="s">
        <v>3210</v>
      </c>
      <c r="AB246" s="4" t="s">
        <v>3211</v>
      </c>
      <c r="AC246" s="5" t="s">
        <v>56</v>
      </c>
      <c r="AH246" s="5" t="str">
        <f t="shared" si="15"/>
        <v>Y</v>
      </c>
      <c r="AI246" s="4" t="s">
        <v>3212</v>
      </c>
      <c r="AJ246" s="4" t="s">
        <v>3213</v>
      </c>
      <c r="AK246" s="3" t="s">
        <v>3214</v>
      </c>
      <c r="AL246" s="3" t="s">
        <v>3215</v>
      </c>
      <c r="AM246" s="4" t="s">
        <v>62</v>
      </c>
      <c r="AP246" s="5">
        <v>1</v>
      </c>
      <c r="AT246" s="7"/>
      <c r="AU246" s="7"/>
      <c r="AV246" s="7"/>
      <c r="AW246" s="7"/>
      <c r="AX246" s="7"/>
      <c r="AY246" s="7"/>
      <c r="AZ246" s="7"/>
      <c r="BA246" s="7"/>
      <c r="BB246" s="7"/>
      <c r="BC246" s="7"/>
      <c r="BD246" s="7"/>
      <c r="BE246" s="7"/>
      <c r="BF246" s="7"/>
      <c r="BG246" s="7"/>
      <c r="BH246" s="7"/>
      <c r="BI246" s="7"/>
      <c r="BJ246" s="7"/>
      <c r="BK246" s="7"/>
      <c r="BL246" s="7"/>
      <c r="BM246" s="7"/>
      <c r="BN246" s="7"/>
      <c r="BO246" s="7"/>
      <c r="BP246" s="7"/>
      <c r="BQ246" s="7"/>
      <c r="BR246" s="7"/>
      <c r="BS246" s="7"/>
      <c r="BT246" s="7"/>
      <c r="BU246" s="7"/>
      <c r="BV246" s="7"/>
      <c r="BW246" s="7"/>
      <c r="BX246" s="7"/>
      <c r="BY246" s="7"/>
      <c r="BZ246" s="7"/>
    </row>
    <row r="247" ht="16.5" customHeight="1">
      <c r="A247" s="3" t="s">
        <v>3216</v>
      </c>
      <c r="B247" s="3" t="s">
        <v>3217</v>
      </c>
      <c r="C247" s="3" t="s">
        <v>3216</v>
      </c>
      <c r="D247" s="3" t="s">
        <v>37</v>
      </c>
      <c r="E247" s="4" t="s">
        <v>3218</v>
      </c>
      <c r="F247" s="3">
        <v>4789</v>
      </c>
      <c r="H247" s="5" t="str">
        <f t="shared" si="12"/>
        <v>N</v>
      </c>
      <c r="I247" s="4" t="s">
        <v>3219</v>
      </c>
      <c r="J247" s="4" t="s">
        <v>3220</v>
      </c>
      <c r="K247" s="4" t="s">
        <v>3221</v>
      </c>
      <c r="L247" s="4" t="s">
        <v>3222</v>
      </c>
      <c r="M247" s="4" t="s">
        <v>3223</v>
      </c>
      <c r="N247" s="4" t="s">
        <v>3224</v>
      </c>
      <c r="O247" s="4" t="s">
        <v>3225</v>
      </c>
      <c r="P247" s="4" t="s">
        <v>3226</v>
      </c>
      <c r="Q247" s="4" t="s">
        <v>3227</v>
      </c>
      <c r="R247" s="4" t="s">
        <v>3228</v>
      </c>
      <c r="S247" s="4" t="s">
        <v>312</v>
      </c>
      <c r="T247" s="5" t="str">
        <f t="shared" si="13"/>
        <v>Y</v>
      </c>
      <c r="W247" s="5" t="str">
        <f t="shared" si="14"/>
        <v>Y</v>
      </c>
      <c r="X247" s="4" t="s">
        <v>51</v>
      </c>
      <c r="Y247" s="4" t="s">
        <v>3229</v>
      </c>
      <c r="Z247" s="4" t="s">
        <v>3230</v>
      </c>
      <c r="AA247" s="4" t="s">
        <v>3231</v>
      </c>
      <c r="AB247" s="4" t="s">
        <v>3232</v>
      </c>
      <c r="AC247" s="5" t="s">
        <v>56</v>
      </c>
      <c r="AH247" s="5" t="str">
        <f t="shared" si="15"/>
        <v>Y</v>
      </c>
      <c r="AI247" s="4" t="s">
        <v>3233</v>
      </c>
      <c r="AJ247" s="4" t="s">
        <v>3234</v>
      </c>
      <c r="AK247" s="3" t="s">
        <v>3235</v>
      </c>
      <c r="AL247" s="3" t="s">
        <v>3236</v>
      </c>
      <c r="AM247" s="4" t="s">
        <v>62</v>
      </c>
      <c r="AP247" s="5">
        <v>1</v>
      </c>
      <c r="AT247" s="7"/>
      <c r="AU247" s="7"/>
      <c r="AV247" s="7"/>
      <c r="AW247" s="7"/>
      <c r="AX247" s="7"/>
      <c r="AY247" s="7"/>
      <c r="AZ247" s="7"/>
      <c r="BA247" s="7"/>
      <c r="BB247" s="7"/>
      <c r="BC247" s="7"/>
      <c r="BD247" s="7"/>
      <c r="BE247" s="7"/>
      <c r="BF247" s="7"/>
      <c r="BG247" s="7"/>
      <c r="BH247" s="7"/>
      <c r="BI247" s="7"/>
      <c r="BJ247" s="7"/>
      <c r="BK247" s="7"/>
      <c r="BL247" s="7"/>
      <c r="BM247" s="7"/>
      <c r="BN247" s="7"/>
      <c r="BO247" s="7"/>
      <c r="BP247" s="7"/>
      <c r="BQ247" s="7"/>
      <c r="BR247" s="7"/>
      <c r="BS247" s="7"/>
      <c r="BT247" s="7"/>
      <c r="BU247" s="7"/>
      <c r="BV247" s="7"/>
      <c r="BW247" s="7"/>
      <c r="BX247" s="7"/>
      <c r="BY247" s="7"/>
      <c r="BZ247" s="7"/>
    </row>
    <row r="248" ht="16.5" customHeight="1">
      <c r="A248" s="3" t="s">
        <v>3237</v>
      </c>
      <c r="B248" s="3" t="s">
        <v>3238</v>
      </c>
      <c r="C248" s="3" t="s">
        <v>3239</v>
      </c>
      <c r="D248" s="3" t="s">
        <v>37</v>
      </c>
      <c r="E248" s="4" t="s">
        <v>3042</v>
      </c>
      <c r="F248" s="3">
        <v>1000</v>
      </c>
      <c r="H248" s="5" t="str">
        <f t="shared" si="12"/>
        <v>N</v>
      </c>
      <c r="I248" s="4" t="s">
        <v>3240</v>
      </c>
      <c r="J248" s="4" t="s">
        <v>3062</v>
      </c>
      <c r="K248" s="4" t="s">
        <v>3241</v>
      </c>
      <c r="L248" s="4" t="s">
        <v>3047</v>
      </c>
      <c r="M248" s="4" t="s">
        <v>3242</v>
      </c>
      <c r="N248" s="4" t="s">
        <v>3243</v>
      </c>
      <c r="O248" s="4" t="s">
        <v>3244</v>
      </c>
      <c r="P248" s="4" t="s">
        <v>3245</v>
      </c>
      <c r="Q248" s="4" t="s">
        <v>3246</v>
      </c>
      <c r="R248" s="4" t="s">
        <v>3247</v>
      </c>
      <c r="S248" s="4" t="s">
        <v>312</v>
      </c>
      <c r="T248" s="5" t="str">
        <f t="shared" si="13"/>
        <v>Y</v>
      </c>
      <c r="W248" s="5" t="str">
        <f t="shared" si="14"/>
        <v>Y</v>
      </c>
      <c r="X248" s="4" t="s">
        <v>51</v>
      </c>
      <c r="Y248" s="4" t="s">
        <v>3248</v>
      </c>
      <c r="Z248" s="4" t="s">
        <v>3249</v>
      </c>
      <c r="AA248" s="4" t="s">
        <v>3250</v>
      </c>
      <c r="AB248" s="4" t="s">
        <v>3251</v>
      </c>
      <c r="AC248" s="5" t="s">
        <v>56</v>
      </c>
      <c r="AH248" s="5" t="str">
        <f t="shared" si="15"/>
        <v>Y</v>
      </c>
      <c r="AI248" s="4" t="s">
        <v>3252</v>
      </c>
      <c r="AJ248" s="4" t="s">
        <v>3253</v>
      </c>
      <c r="AK248" s="3" t="s">
        <v>3254</v>
      </c>
      <c r="AL248" s="3" t="s">
        <v>3255</v>
      </c>
      <c r="AM248" s="4" t="s">
        <v>62</v>
      </c>
      <c r="AP248" s="5">
        <v>1</v>
      </c>
      <c r="AT248" s="7"/>
      <c r="AU248" s="7"/>
      <c r="AV248" s="7"/>
      <c r="AW248" s="7"/>
      <c r="AX248" s="7"/>
      <c r="AY248" s="7"/>
      <c r="AZ248" s="7"/>
      <c r="BA248" s="7"/>
      <c r="BB248" s="7"/>
      <c r="BC248" s="7"/>
      <c r="BD248" s="7"/>
      <c r="BE248" s="7"/>
      <c r="BF248" s="7"/>
      <c r="BG248" s="7"/>
      <c r="BH248" s="7"/>
      <c r="BI248" s="7"/>
      <c r="BJ248" s="7"/>
      <c r="BK248" s="7"/>
      <c r="BL248" s="7"/>
      <c r="BM248" s="7"/>
      <c r="BN248" s="7"/>
      <c r="BO248" s="7"/>
      <c r="BP248" s="7"/>
      <c r="BQ248" s="7"/>
      <c r="BR248" s="7"/>
      <c r="BS248" s="7"/>
      <c r="BT248" s="7"/>
      <c r="BU248" s="7"/>
      <c r="BV248" s="7"/>
      <c r="BW248" s="7"/>
      <c r="BX248" s="7"/>
      <c r="BY248" s="7"/>
      <c r="BZ248" s="7"/>
    </row>
    <row r="249" ht="16.5" customHeight="1">
      <c r="A249" s="3" t="s">
        <v>3256</v>
      </c>
      <c r="B249" s="3" t="s">
        <v>3257</v>
      </c>
      <c r="C249" s="3">
        <v>0</v>
      </c>
      <c r="D249" s="3" t="s">
        <v>37</v>
      </c>
      <c r="E249" s="4" t="s">
        <v>3042</v>
      </c>
      <c r="F249" s="3">
        <v>4501</v>
      </c>
      <c r="H249" s="5" t="str">
        <f t="shared" si="12"/>
        <v>N</v>
      </c>
      <c r="I249" s="4" t="s">
        <v>3258</v>
      </c>
      <c r="J249" s="4" t="s">
        <v>3259</v>
      </c>
      <c r="K249" s="4" t="s">
        <v>3260</v>
      </c>
      <c r="L249" s="4" t="s">
        <v>3261</v>
      </c>
      <c r="M249" s="4" t="s">
        <v>3262</v>
      </c>
      <c r="N249" s="4" t="s">
        <v>1226</v>
      </c>
      <c r="O249" s="4" t="s">
        <v>3263</v>
      </c>
      <c r="P249" s="4" t="s">
        <v>3264</v>
      </c>
      <c r="Q249" s="4" t="s">
        <v>3265</v>
      </c>
      <c r="R249" s="4" t="s">
        <v>3266</v>
      </c>
      <c r="S249" s="4" t="s">
        <v>312</v>
      </c>
      <c r="T249" s="5" t="str">
        <f t="shared" si="13"/>
        <v>Y</v>
      </c>
      <c r="W249" s="5" t="str">
        <f t="shared" si="14"/>
        <v>Y</v>
      </c>
      <c r="X249" s="4" t="s">
        <v>51</v>
      </c>
      <c r="Y249" s="4" t="s">
        <v>3267</v>
      </c>
      <c r="Z249" s="4" t="s">
        <v>3268</v>
      </c>
      <c r="AA249" s="4" t="s">
        <v>3269</v>
      </c>
      <c r="AB249" s="4" t="s">
        <v>3270</v>
      </c>
      <c r="AC249" s="5" t="s">
        <v>56</v>
      </c>
      <c r="AH249" s="5" t="str">
        <f t="shared" si="15"/>
        <v>Y</v>
      </c>
      <c r="AI249" s="4" t="s">
        <v>3271</v>
      </c>
      <c r="AJ249" s="4" t="s">
        <v>3272</v>
      </c>
      <c r="AK249" s="3" t="s">
        <v>3273</v>
      </c>
      <c r="AL249" s="3" t="s">
        <v>3274</v>
      </c>
      <c r="AM249" s="4" t="s">
        <v>62</v>
      </c>
      <c r="AP249" s="5">
        <v>1</v>
      </c>
      <c r="AT249" s="7"/>
      <c r="AU249" s="7"/>
      <c r="AV249" s="7"/>
      <c r="AW249" s="7"/>
      <c r="AX249" s="7"/>
      <c r="AY249" s="7"/>
      <c r="AZ249" s="7"/>
      <c r="BA249" s="7"/>
      <c r="BB249" s="7"/>
      <c r="BC249" s="7"/>
      <c r="BD249" s="7"/>
      <c r="BE249" s="7"/>
      <c r="BF249" s="7"/>
      <c r="BG249" s="7"/>
      <c r="BH249" s="7"/>
      <c r="BI249" s="7"/>
      <c r="BJ249" s="7"/>
      <c r="BK249" s="7"/>
      <c r="BL249" s="7"/>
      <c r="BM249" s="7"/>
      <c r="BN249" s="7"/>
      <c r="BO249" s="7"/>
      <c r="BP249" s="7"/>
      <c r="BQ249" s="7"/>
      <c r="BR249" s="7"/>
      <c r="BS249" s="7"/>
      <c r="BT249" s="7"/>
      <c r="BU249" s="7"/>
      <c r="BV249" s="7"/>
      <c r="BW249" s="7"/>
      <c r="BX249" s="7"/>
      <c r="BY249" s="7"/>
      <c r="BZ249" s="7"/>
    </row>
    <row r="250" ht="16.5" customHeight="1">
      <c r="A250" s="3" t="s">
        <v>3275</v>
      </c>
      <c r="B250" s="3" t="s">
        <v>3276</v>
      </c>
      <c r="C250" s="3" t="s">
        <v>3277</v>
      </c>
      <c r="D250" s="3" t="s">
        <v>37</v>
      </c>
      <c r="E250" s="4" t="s">
        <v>3120</v>
      </c>
      <c r="F250" s="3">
        <v>3139</v>
      </c>
      <c r="H250" s="5" t="str">
        <f t="shared" si="12"/>
        <v>N</v>
      </c>
      <c r="I250" s="4" t="s">
        <v>3278</v>
      </c>
      <c r="J250" s="4" t="s">
        <v>3122</v>
      </c>
      <c r="K250" s="4" t="s">
        <v>3279</v>
      </c>
      <c r="L250" s="4" t="s">
        <v>3280</v>
      </c>
      <c r="M250" s="4" t="s">
        <v>3281</v>
      </c>
      <c r="N250" s="4" t="s">
        <v>3164</v>
      </c>
      <c r="O250" s="4" t="s">
        <v>3282</v>
      </c>
      <c r="P250" s="4" t="s">
        <v>161</v>
      </c>
      <c r="Q250" s="4" t="s">
        <v>3283</v>
      </c>
      <c r="R250" s="4" t="s">
        <v>3284</v>
      </c>
      <c r="S250" s="4" t="s">
        <v>312</v>
      </c>
      <c r="T250" s="5" t="str">
        <f t="shared" si="13"/>
        <v>Y</v>
      </c>
      <c r="W250" s="5" t="str">
        <f t="shared" si="14"/>
        <v>Y</v>
      </c>
      <c r="X250" s="4" t="s">
        <v>51</v>
      </c>
      <c r="Y250" s="4" t="s">
        <v>3285</v>
      </c>
      <c r="Z250" s="4" t="s">
        <v>3286</v>
      </c>
      <c r="AA250" s="4" t="s">
        <v>3287</v>
      </c>
      <c r="AB250" s="4" t="s">
        <v>3288</v>
      </c>
      <c r="AC250" s="5" t="s">
        <v>56</v>
      </c>
      <c r="AH250" s="5" t="str">
        <f t="shared" si="15"/>
        <v>Y</v>
      </c>
      <c r="AI250" s="4" t="s">
        <v>3289</v>
      </c>
      <c r="AJ250" s="4" t="s">
        <v>3290</v>
      </c>
      <c r="AK250" s="3" t="s">
        <v>3291</v>
      </c>
      <c r="AL250" s="3" t="s">
        <v>3292</v>
      </c>
      <c r="AM250" s="4" t="s">
        <v>62</v>
      </c>
      <c r="AP250" s="5">
        <v>1</v>
      </c>
      <c r="AT250" s="7"/>
      <c r="AU250" s="7"/>
      <c r="AV250" s="7"/>
      <c r="AW250" s="7"/>
      <c r="AX250" s="7"/>
      <c r="AY250" s="7"/>
      <c r="AZ250" s="7"/>
      <c r="BA250" s="7"/>
      <c r="BB250" s="7"/>
      <c r="BC250" s="7"/>
      <c r="BD250" s="7"/>
      <c r="BE250" s="7"/>
      <c r="BF250" s="7"/>
      <c r="BG250" s="7"/>
      <c r="BH250" s="7"/>
      <c r="BI250" s="7"/>
      <c r="BJ250" s="7"/>
      <c r="BK250" s="7"/>
      <c r="BL250" s="7"/>
      <c r="BM250" s="7"/>
      <c r="BN250" s="7"/>
      <c r="BO250" s="7"/>
      <c r="BP250" s="7"/>
      <c r="BQ250" s="7"/>
      <c r="BR250" s="7"/>
      <c r="BS250" s="7"/>
      <c r="BT250" s="7"/>
      <c r="BU250" s="7"/>
      <c r="BV250" s="7"/>
      <c r="BW250" s="7"/>
      <c r="BX250" s="7"/>
      <c r="BY250" s="7"/>
      <c r="BZ250" s="7"/>
    </row>
    <row r="251" ht="16.5" customHeight="1">
      <c r="A251" s="3" t="s">
        <v>3293</v>
      </c>
      <c r="B251" s="3" t="s">
        <v>3294</v>
      </c>
      <c r="C251" s="3" t="s">
        <v>3295</v>
      </c>
      <c r="D251" s="3" t="s">
        <v>37</v>
      </c>
      <c r="E251" s="4" t="s">
        <v>3081</v>
      </c>
      <c r="F251" s="3">
        <v>9934</v>
      </c>
      <c r="H251" s="5" t="str">
        <f t="shared" si="12"/>
        <v>N</v>
      </c>
      <c r="I251" s="4" t="s">
        <v>3296</v>
      </c>
      <c r="J251" s="4" t="s">
        <v>740</v>
      </c>
      <c r="K251" s="4" t="s">
        <v>3297</v>
      </c>
      <c r="L251" s="4" t="s">
        <v>3298</v>
      </c>
      <c r="M251" s="4" t="s">
        <v>3299</v>
      </c>
      <c r="N251" s="4" t="s">
        <v>3300</v>
      </c>
      <c r="O251" s="4" t="s">
        <v>3301</v>
      </c>
      <c r="P251" s="4" t="s">
        <v>3302</v>
      </c>
      <c r="Q251" s="4" t="s">
        <v>3303</v>
      </c>
      <c r="R251" s="4" t="s">
        <v>3304</v>
      </c>
      <c r="S251" s="3" t="s">
        <v>823</v>
      </c>
      <c r="T251" s="5" t="str">
        <f t="shared" si="13"/>
        <v>Y</v>
      </c>
      <c r="W251" s="5" t="str">
        <f t="shared" si="14"/>
        <v>Y</v>
      </c>
      <c r="X251" s="4" t="s">
        <v>51</v>
      </c>
      <c r="Y251" s="3" t="s">
        <v>3305</v>
      </c>
      <c r="Z251" s="3" t="s">
        <v>3306</v>
      </c>
      <c r="AA251" s="4" t="s">
        <v>3307</v>
      </c>
      <c r="AB251" s="4" t="s">
        <v>3308</v>
      </c>
      <c r="AC251" s="5" t="s">
        <v>56</v>
      </c>
      <c r="AH251" s="5" t="str">
        <f t="shared" si="15"/>
        <v>Y</v>
      </c>
      <c r="AI251" s="3" t="s">
        <v>3309</v>
      </c>
      <c r="AJ251" s="3" t="s">
        <v>3310</v>
      </c>
      <c r="AK251" s="3" t="s">
        <v>3311</v>
      </c>
      <c r="AL251" s="3" t="s">
        <v>3312</v>
      </c>
      <c r="AM251" s="4" t="s">
        <v>62</v>
      </c>
      <c r="AP251" s="5">
        <v>1</v>
      </c>
      <c r="AT251" s="7"/>
      <c r="AU251" s="7"/>
      <c r="AV251" s="7"/>
      <c r="AW251" s="7"/>
      <c r="AX251" s="7"/>
      <c r="AY251" s="7"/>
      <c r="AZ251" s="7"/>
      <c r="BA251" s="7"/>
      <c r="BB251" s="7"/>
      <c r="BC251" s="7"/>
      <c r="BD251" s="7"/>
      <c r="BE251" s="7"/>
      <c r="BF251" s="7"/>
      <c r="BG251" s="7"/>
      <c r="BH251" s="7"/>
      <c r="BI251" s="7"/>
      <c r="BJ251" s="7"/>
      <c r="BK251" s="7"/>
      <c r="BL251" s="7"/>
      <c r="BM251" s="7"/>
      <c r="BN251" s="7"/>
      <c r="BO251" s="7"/>
      <c r="BP251" s="7"/>
      <c r="BQ251" s="7"/>
      <c r="BR251" s="7"/>
      <c r="BS251" s="7"/>
      <c r="BT251" s="7"/>
      <c r="BU251" s="7"/>
      <c r="BV251" s="7"/>
      <c r="BW251" s="7"/>
      <c r="BX251" s="7"/>
      <c r="BY251" s="7"/>
      <c r="BZ251" s="7"/>
    </row>
    <row r="252" ht="16.5" customHeight="1">
      <c r="A252" s="3" t="s">
        <v>3313</v>
      </c>
      <c r="B252" s="3" t="s">
        <v>3314</v>
      </c>
      <c r="C252" s="3" t="s">
        <v>3315</v>
      </c>
      <c r="D252" s="3" t="s">
        <v>37</v>
      </c>
      <c r="E252" s="4" t="s">
        <v>3081</v>
      </c>
      <c r="F252" s="3">
        <v>3199</v>
      </c>
      <c r="H252" s="5" t="str">
        <f t="shared" si="12"/>
        <v>N</v>
      </c>
      <c r="I252" s="4" t="s">
        <v>3316</v>
      </c>
      <c r="J252" s="4" t="s">
        <v>405</v>
      </c>
      <c r="K252" s="4" t="s">
        <v>3317</v>
      </c>
      <c r="L252" s="4" t="s">
        <v>3318</v>
      </c>
      <c r="M252" s="4" t="s">
        <v>3319</v>
      </c>
      <c r="N252" s="4" t="s">
        <v>3320</v>
      </c>
      <c r="O252" s="4" t="s">
        <v>3321</v>
      </c>
      <c r="P252" s="4" t="s">
        <v>196</v>
      </c>
      <c r="Q252" s="4" t="s">
        <v>3322</v>
      </c>
      <c r="R252" s="4" t="s">
        <v>3323</v>
      </c>
      <c r="S252" s="3" t="s">
        <v>225</v>
      </c>
      <c r="T252" s="5" t="str">
        <f t="shared" si="13"/>
        <v>Y</v>
      </c>
      <c r="W252" s="5" t="str">
        <f t="shared" si="14"/>
        <v>Y</v>
      </c>
      <c r="X252" s="4" t="s">
        <v>51</v>
      </c>
      <c r="Y252" s="3" t="s">
        <v>3324</v>
      </c>
      <c r="Z252" s="3" t="s">
        <v>3325</v>
      </c>
      <c r="AA252" s="4" t="s">
        <v>3326</v>
      </c>
      <c r="AB252" s="4" t="s">
        <v>3327</v>
      </c>
      <c r="AC252" s="5" t="s">
        <v>56</v>
      </c>
      <c r="AH252" s="5" t="str">
        <f t="shared" si="15"/>
        <v>Y</v>
      </c>
      <c r="AI252" s="3" t="s">
        <v>3328</v>
      </c>
      <c r="AJ252" s="3" t="s">
        <v>3329</v>
      </c>
      <c r="AK252" s="3" t="s">
        <v>3330</v>
      </c>
      <c r="AL252" s="3" t="s">
        <v>3331</v>
      </c>
      <c r="AM252" s="4" t="s">
        <v>62</v>
      </c>
      <c r="AP252" s="5">
        <v>1</v>
      </c>
      <c r="AT252" s="7"/>
      <c r="AU252" s="7"/>
      <c r="AV252" s="7"/>
      <c r="AW252" s="7"/>
      <c r="AX252" s="7"/>
      <c r="AY252" s="7"/>
      <c r="AZ252" s="7"/>
      <c r="BA252" s="7"/>
      <c r="BB252" s="7"/>
      <c r="BC252" s="7"/>
      <c r="BD252" s="7"/>
      <c r="BE252" s="7"/>
      <c r="BF252" s="7"/>
      <c r="BG252" s="7"/>
      <c r="BH252" s="7"/>
      <c r="BI252" s="7"/>
      <c r="BJ252" s="7"/>
      <c r="BK252" s="7"/>
      <c r="BL252" s="7"/>
      <c r="BM252" s="7"/>
      <c r="BN252" s="7"/>
      <c r="BO252" s="7"/>
      <c r="BP252" s="7"/>
      <c r="BQ252" s="7"/>
      <c r="BR252" s="7"/>
      <c r="BS252" s="7"/>
      <c r="BT252" s="7"/>
      <c r="BU252" s="7"/>
      <c r="BV252" s="7"/>
      <c r="BW252" s="7"/>
      <c r="BX252" s="7"/>
      <c r="BY252" s="7"/>
      <c r="BZ252" s="7"/>
    </row>
    <row r="253" ht="16.5" customHeight="1">
      <c r="A253" s="3" t="s">
        <v>3332</v>
      </c>
      <c r="B253" s="3" t="s">
        <v>3333</v>
      </c>
      <c r="C253" s="3" t="s">
        <v>3334</v>
      </c>
      <c r="D253" s="3" t="s">
        <v>37</v>
      </c>
      <c r="E253" s="4" t="s">
        <v>3081</v>
      </c>
      <c r="F253" s="3">
        <v>1213</v>
      </c>
      <c r="H253" s="5" t="str">
        <f t="shared" si="12"/>
        <v>N</v>
      </c>
      <c r="I253" s="4" t="s">
        <v>3335</v>
      </c>
      <c r="J253" s="4" t="s">
        <v>3336</v>
      </c>
      <c r="K253" s="4" t="s">
        <v>3337</v>
      </c>
      <c r="L253" s="4" t="s">
        <v>596</v>
      </c>
      <c r="M253" s="4" t="s">
        <v>3338</v>
      </c>
      <c r="N253" s="4" t="s">
        <v>267</v>
      </c>
      <c r="O253" s="4" t="s">
        <v>3339</v>
      </c>
      <c r="P253" s="4" t="s">
        <v>3340</v>
      </c>
      <c r="Q253" s="4" t="s">
        <v>3341</v>
      </c>
      <c r="R253" s="4" t="s">
        <v>3342</v>
      </c>
      <c r="S253" s="3" t="s">
        <v>3343</v>
      </c>
      <c r="T253" s="5" t="str">
        <f t="shared" si="13"/>
        <v>Y</v>
      </c>
      <c r="W253" s="5" t="str">
        <f t="shared" si="14"/>
        <v>Y</v>
      </c>
      <c r="X253" s="4" t="s">
        <v>51</v>
      </c>
      <c r="Y253" s="3" t="s">
        <v>3344</v>
      </c>
      <c r="Z253" s="3" t="s">
        <v>3345</v>
      </c>
      <c r="AA253" s="4" t="s">
        <v>3346</v>
      </c>
      <c r="AB253" s="4" t="s">
        <v>3347</v>
      </c>
      <c r="AC253" s="5" t="s">
        <v>56</v>
      </c>
      <c r="AH253" s="5" t="str">
        <f t="shared" si="15"/>
        <v>Y</v>
      </c>
      <c r="AI253" s="3" t="s">
        <v>3348</v>
      </c>
      <c r="AJ253" s="3" t="s">
        <v>3349</v>
      </c>
      <c r="AK253" s="3" t="s">
        <v>3350</v>
      </c>
      <c r="AL253" s="3" t="s">
        <v>3351</v>
      </c>
      <c r="AM253" s="4" t="s">
        <v>62</v>
      </c>
      <c r="AP253" s="5">
        <v>1</v>
      </c>
      <c r="AT253" s="7"/>
      <c r="AU253" s="7"/>
      <c r="AV253" s="7"/>
      <c r="AW253" s="7"/>
      <c r="AX253" s="7"/>
      <c r="AY253" s="7"/>
      <c r="AZ253" s="7"/>
      <c r="BA253" s="7"/>
      <c r="BB253" s="7"/>
      <c r="BC253" s="7"/>
      <c r="BD253" s="7"/>
      <c r="BE253" s="7"/>
      <c r="BF253" s="7"/>
      <c r="BG253" s="7"/>
      <c r="BH253" s="7"/>
      <c r="BI253" s="7"/>
      <c r="BJ253" s="7"/>
      <c r="BK253" s="7"/>
      <c r="BL253" s="7"/>
      <c r="BM253" s="7"/>
      <c r="BN253" s="7"/>
      <c r="BO253" s="7"/>
      <c r="BP253" s="7"/>
      <c r="BQ253" s="7"/>
      <c r="BR253" s="7"/>
      <c r="BS253" s="7"/>
      <c r="BT253" s="7"/>
      <c r="BU253" s="7"/>
      <c r="BV253" s="7"/>
      <c r="BW253" s="7"/>
      <c r="BX253" s="7"/>
      <c r="BY253" s="7"/>
      <c r="BZ253" s="7"/>
    </row>
    <row r="254" ht="16.5" customHeight="1">
      <c r="A254" s="3" t="s">
        <v>3352</v>
      </c>
      <c r="B254" s="3" t="s">
        <v>3353</v>
      </c>
      <c r="C254" s="3" t="s">
        <v>3354</v>
      </c>
      <c r="D254" s="3" t="s">
        <v>37</v>
      </c>
      <c r="E254" s="4" t="s">
        <v>3081</v>
      </c>
      <c r="F254" s="3">
        <v>1207</v>
      </c>
      <c r="H254" s="5" t="str">
        <f t="shared" si="12"/>
        <v>N</v>
      </c>
      <c r="I254" s="4" t="s">
        <v>3355</v>
      </c>
      <c r="J254" s="4" t="s">
        <v>3300</v>
      </c>
      <c r="K254" s="4" t="s">
        <v>3356</v>
      </c>
      <c r="L254" s="4" t="s">
        <v>596</v>
      </c>
      <c r="M254" s="4" t="s">
        <v>3357</v>
      </c>
      <c r="N254" s="4" t="s">
        <v>265</v>
      </c>
      <c r="O254" s="4" t="s">
        <v>3358</v>
      </c>
      <c r="P254" s="4" t="s">
        <v>3359</v>
      </c>
      <c r="Q254" s="4" t="s">
        <v>3360</v>
      </c>
      <c r="R254" s="4" t="s">
        <v>3361</v>
      </c>
      <c r="S254" s="3" t="s">
        <v>3362</v>
      </c>
      <c r="T254" s="5" t="str">
        <f t="shared" si="13"/>
        <v>Y</v>
      </c>
      <c r="W254" s="5" t="str">
        <f t="shared" si="14"/>
        <v>Y</v>
      </c>
      <c r="X254" s="4" t="s">
        <v>51</v>
      </c>
      <c r="Y254" s="3" t="s">
        <v>3363</v>
      </c>
      <c r="Z254" s="3" t="s">
        <v>3364</v>
      </c>
      <c r="AA254" s="4" t="s">
        <v>3365</v>
      </c>
      <c r="AB254" s="4" t="s">
        <v>3366</v>
      </c>
      <c r="AC254" s="5" t="s">
        <v>56</v>
      </c>
      <c r="AH254" s="5" t="str">
        <f t="shared" si="15"/>
        <v>Y</v>
      </c>
      <c r="AI254" s="3" t="s">
        <v>3367</v>
      </c>
      <c r="AJ254" s="3" t="s">
        <v>3368</v>
      </c>
      <c r="AK254" s="3" t="s">
        <v>3369</v>
      </c>
      <c r="AL254" s="3" t="s">
        <v>3370</v>
      </c>
      <c r="AM254" s="4" t="s">
        <v>62</v>
      </c>
      <c r="AP254" s="5">
        <v>1</v>
      </c>
      <c r="AT254" s="7"/>
      <c r="AU254" s="7"/>
      <c r="AV254" s="7"/>
      <c r="AW254" s="7"/>
      <c r="AX254" s="7"/>
      <c r="AY254" s="7"/>
      <c r="AZ254" s="7"/>
      <c r="BA254" s="7"/>
      <c r="BB254" s="7"/>
      <c r="BC254" s="7"/>
      <c r="BD254" s="7"/>
      <c r="BE254" s="7"/>
      <c r="BF254" s="7"/>
      <c r="BG254" s="7"/>
      <c r="BH254" s="7"/>
      <c r="BI254" s="7"/>
      <c r="BJ254" s="7"/>
      <c r="BK254" s="7"/>
      <c r="BL254" s="7"/>
      <c r="BM254" s="7"/>
      <c r="BN254" s="7"/>
      <c r="BO254" s="7"/>
      <c r="BP254" s="7"/>
      <c r="BQ254" s="7"/>
      <c r="BR254" s="7"/>
      <c r="BS254" s="7"/>
      <c r="BT254" s="7"/>
      <c r="BU254" s="7"/>
      <c r="BV254" s="7"/>
      <c r="BW254" s="7"/>
      <c r="BX254" s="7"/>
      <c r="BY254" s="7"/>
      <c r="BZ254" s="7"/>
    </row>
    <row r="255" ht="16.5" customHeight="1">
      <c r="A255" s="3" t="s">
        <v>3371</v>
      </c>
      <c r="B255" s="3" t="s">
        <v>3372</v>
      </c>
      <c r="C255" s="3" t="s">
        <v>3373</v>
      </c>
      <c r="D255" s="3" t="s">
        <v>37</v>
      </c>
      <c r="E255" s="4" t="s">
        <v>3081</v>
      </c>
      <c r="F255" s="3">
        <v>1205</v>
      </c>
      <c r="H255" s="5" t="str">
        <f t="shared" si="12"/>
        <v>N</v>
      </c>
      <c r="I255" s="4" t="s">
        <v>3374</v>
      </c>
      <c r="J255" s="4" t="s">
        <v>740</v>
      </c>
      <c r="K255" s="4" t="s">
        <v>3375</v>
      </c>
      <c r="L255" s="4" t="s">
        <v>596</v>
      </c>
      <c r="M255" s="4" t="s">
        <v>3376</v>
      </c>
      <c r="N255" s="4" t="s">
        <v>265</v>
      </c>
      <c r="O255" s="4" t="s">
        <v>3377</v>
      </c>
      <c r="P255" s="4" t="s">
        <v>3340</v>
      </c>
      <c r="Q255" s="4" t="s">
        <v>3378</v>
      </c>
      <c r="R255" s="4" t="s">
        <v>3379</v>
      </c>
      <c r="S255" s="3" t="s">
        <v>3380</v>
      </c>
      <c r="T255" s="5" t="str">
        <f t="shared" si="13"/>
        <v>Y</v>
      </c>
      <c r="W255" s="5" t="str">
        <f t="shared" si="14"/>
        <v>Y</v>
      </c>
      <c r="X255" s="4" t="s">
        <v>51</v>
      </c>
      <c r="Y255" s="3" t="s">
        <v>3381</v>
      </c>
      <c r="Z255" s="3" t="s">
        <v>3382</v>
      </c>
      <c r="AA255" s="4" t="s">
        <v>3383</v>
      </c>
      <c r="AB255" s="4" t="s">
        <v>3384</v>
      </c>
      <c r="AC255" s="5" t="s">
        <v>56</v>
      </c>
      <c r="AH255" s="5" t="str">
        <f t="shared" si="15"/>
        <v>Y</v>
      </c>
      <c r="AI255" s="3" t="s">
        <v>3385</v>
      </c>
      <c r="AJ255" s="3" t="s">
        <v>3386</v>
      </c>
      <c r="AK255" s="3" t="s">
        <v>3387</v>
      </c>
      <c r="AL255" s="3" t="s">
        <v>3388</v>
      </c>
      <c r="AM255" s="4" t="s">
        <v>62</v>
      </c>
      <c r="AP255" s="5">
        <v>1</v>
      </c>
      <c r="AT255" s="7"/>
      <c r="AU255" s="7"/>
      <c r="AV255" s="7"/>
      <c r="AW255" s="7"/>
      <c r="AX255" s="7"/>
      <c r="AY255" s="7"/>
      <c r="AZ255" s="7"/>
      <c r="BA255" s="7"/>
      <c r="BB255" s="7"/>
      <c r="BC255" s="7"/>
      <c r="BD255" s="7"/>
      <c r="BE255" s="7"/>
      <c r="BF255" s="7"/>
      <c r="BG255" s="7"/>
      <c r="BH255" s="7"/>
      <c r="BI255" s="7"/>
      <c r="BJ255" s="7"/>
      <c r="BK255" s="7"/>
      <c r="BL255" s="7"/>
      <c r="BM255" s="7"/>
      <c r="BN255" s="7"/>
      <c r="BO255" s="7"/>
      <c r="BP255" s="7"/>
      <c r="BQ255" s="7"/>
      <c r="BR255" s="7"/>
      <c r="BS255" s="7"/>
      <c r="BT255" s="7"/>
      <c r="BU255" s="7"/>
      <c r="BV255" s="7"/>
      <c r="BW255" s="7"/>
      <c r="BX255" s="7"/>
      <c r="BY255" s="7"/>
      <c r="BZ255" s="7"/>
    </row>
    <row r="256" ht="16.5" customHeight="1">
      <c r="A256" s="3" t="s">
        <v>3389</v>
      </c>
      <c r="B256" s="3" t="s">
        <v>3390</v>
      </c>
      <c r="C256" s="3" t="s">
        <v>259</v>
      </c>
      <c r="D256" s="3" t="s">
        <v>37</v>
      </c>
      <c r="E256" s="4" t="s">
        <v>3081</v>
      </c>
      <c r="F256" s="3">
        <v>9906</v>
      </c>
      <c r="H256" s="5" t="str">
        <f t="shared" si="12"/>
        <v>N</v>
      </c>
      <c r="I256" s="4" t="s">
        <v>3391</v>
      </c>
      <c r="J256" s="4" t="s">
        <v>1329</v>
      </c>
      <c r="K256" s="4" t="s">
        <v>3392</v>
      </c>
      <c r="L256" s="4" t="s">
        <v>596</v>
      </c>
      <c r="M256" s="4" t="s">
        <v>3393</v>
      </c>
      <c r="N256" s="4" t="s">
        <v>265</v>
      </c>
      <c r="O256" s="4" t="s">
        <v>3394</v>
      </c>
      <c r="P256" s="4" t="s">
        <v>3395</v>
      </c>
      <c r="Q256" s="4" t="s">
        <v>3396</v>
      </c>
      <c r="R256" s="4" t="s">
        <v>3397</v>
      </c>
      <c r="S256" s="3" t="s">
        <v>3398</v>
      </c>
      <c r="T256" s="5" t="str">
        <f t="shared" si="13"/>
        <v>Y</v>
      </c>
      <c r="W256" s="5" t="str">
        <f t="shared" si="14"/>
        <v>Y</v>
      </c>
      <c r="X256" s="4" t="s">
        <v>51</v>
      </c>
      <c r="Y256" s="3" t="s">
        <v>3399</v>
      </c>
      <c r="Z256" s="3" t="s">
        <v>3400</v>
      </c>
      <c r="AA256" s="4" t="s">
        <v>3401</v>
      </c>
      <c r="AB256" s="4" t="s">
        <v>3402</v>
      </c>
      <c r="AC256" s="5" t="s">
        <v>56</v>
      </c>
      <c r="AH256" s="5" t="str">
        <f t="shared" si="15"/>
        <v>Y</v>
      </c>
      <c r="AI256" s="3" t="s">
        <v>3403</v>
      </c>
      <c r="AJ256" s="3" t="s">
        <v>3404</v>
      </c>
      <c r="AK256" s="3" t="s">
        <v>3405</v>
      </c>
      <c r="AL256" s="3" t="s">
        <v>3406</v>
      </c>
      <c r="AM256" s="4" t="s">
        <v>62</v>
      </c>
      <c r="AP256" s="5">
        <v>1</v>
      </c>
      <c r="AT256" s="7"/>
      <c r="AU256" s="7"/>
      <c r="AV256" s="7"/>
      <c r="AW256" s="7"/>
      <c r="AX256" s="7"/>
      <c r="AY256" s="7"/>
      <c r="AZ256" s="7"/>
      <c r="BA256" s="7"/>
      <c r="BB256" s="7"/>
      <c r="BC256" s="7"/>
      <c r="BD256" s="7"/>
      <c r="BE256" s="7"/>
      <c r="BF256" s="7"/>
      <c r="BG256" s="7"/>
      <c r="BH256" s="7"/>
      <c r="BI256" s="7"/>
      <c r="BJ256" s="7"/>
      <c r="BK256" s="7"/>
      <c r="BL256" s="7"/>
      <c r="BM256" s="7"/>
      <c r="BN256" s="7"/>
      <c r="BO256" s="7"/>
      <c r="BP256" s="7"/>
      <c r="BQ256" s="7"/>
      <c r="BR256" s="7"/>
      <c r="BS256" s="7"/>
      <c r="BT256" s="7"/>
      <c r="BU256" s="7"/>
      <c r="BV256" s="7"/>
      <c r="BW256" s="7"/>
      <c r="BX256" s="7"/>
      <c r="BY256" s="7"/>
      <c r="BZ256" s="7"/>
    </row>
    <row r="257" ht="16.5" customHeight="1">
      <c r="A257" s="3" t="s">
        <v>3407</v>
      </c>
      <c r="B257" s="3" t="s">
        <v>3408</v>
      </c>
      <c r="C257" s="3" t="s">
        <v>3409</v>
      </c>
      <c r="D257" s="3" t="s">
        <v>3410</v>
      </c>
      <c r="E257" s="4" t="s">
        <v>3081</v>
      </c>
      <c r="F257" s="3">
        <v>1110</v>
      </c>
      <c r="H257" s="5" t="str">
        <f t="shared" si="12"/>
        <v>N</v>
      </c>
      <c r="I257" s="4" t="s">
        <v>3411</v>
      </c>
      <c r="J257" s="4" t="s">
        <v>3412</v>
      </c>
      <c r="K257" s="4" t="s">
        <v>3413</v>
      </c>
      <c r="L257" s="4" t="s">
        <v>3414</v>
      </c>
      <c r="M257" s="4" t="s">
        <v>3415</v>
      </c>
      <c r="N257" s="4" t="s">
        <v>3416</v>
      </c>
      <c r="O257" s="4" t="s">
        <v>3417</v>
      </c>
      <c r="P257" s="4" t="s">
        <v>3418</v>
      </c>
      <c r="Q257" s="4" t="s">
        <v>3419</v>
      </c>
      <c r="R257" s="4" t="s">
        <v>3420</v>
      </c>
      <c r="S257" s="3" t="s">
        <v>842</v>
      </c>
      <c r="T257" s="5" t="str">
        <f t="shared" si="13"/>
        <v>Y</v>
      </c>
      <c r="W257" s="5" t="str">
        <f t="shared" si="14"/>
        <v>Y</v>
      </c>
      <c r="X257" s="4" t="s">
        <v>51</v>
      </c>
      <c r="Y257" s="4" t="s">
        <v>3421</v>
      </c>
      <c r="Z257" s="4" t="s">
        <v>3422</v>
      </c>
      <c r="AA257" s="4" t="s">
        <v>3423</v>
      </c>
      <c r="AB257" s="4" t="s">
        <v>3424</v>
      </c>
      <c r="AC257" s="5" t="s">
        <v>56</v>
      </c>
      <c r="AH257" s="5" t="str">
        <f t="shared" si="15"/>
        <v>Y</v>
      </c>
      <c r="AI257" s="4" t="s">
        <v>3425</v>
      </c>
      <c r="AJ257" s="4" t="s">
        <v>3426</v>
      </c>
      <c r="AK257" s="4" t="s">
        <v>3427</v>
      </c>
      <c r="AL257" s="4" t="s">
        <v>3428</v>
      </c>
      <c r="AM257" s="4" t="s">
        <v>62</v>
      </c>
      <c r="AP257" s="5">
        <v>1</v>
      </c>
      <c r="AT257" s="7"/>
      <c r="AU257" s="7"/>
      <c r="AV257" s="7"/>
      <c r="AW257" s="7"/>
      <c r="AX257" s="7"/>
      <c r="AY257" s="7"/>
      <c r="AZ257" s="7"/>
      <c r="BA257" s="7"/>
      <c r="BB257" s="7"/>
      <c r="BC257" s="7"/>
      <c r="BD257" s="7"/>
      <c r="BE257" s="7"/>
      <c r="BF257" s="7"/>
      <c r="BG257" s="7"/>
      <c r="BH257" s="7"/>
      <c r="BI257" s="7"/>
      <c r="BJ257" s="7"/>
      <c r="BK257" s="7"/>
      <c r="BL257" s="7"/>
      <c r="BM257" s="7"/>
      <c r="BN257" s="7"/>
      <c r="BO257" s="7"/>
      <c r="BP257" s="7"/>
      <c r="BQ257" s="7"/>
      <c r="BR257" s="7"/>
      <c r="BS257" s="7"/>
      <c r="BT257" s="7"/>
      <c r="BU257" s="7"/>
      <c r="BV257" s="7"/>
      <c r="BW257" s="7"/>
      <c r="BX257" s="7"/>
      <c r="BY257" s="7"/>
      <c r="BZ257" s="7"/>
    </row>
    <row r="258" ht="16.5" customHeight="1">
      <c r="A258" s="3" t="s">
        <v>3429</v>
      </c>
      <c r="B258" s="3" t="s">
        <v>400</v>
      </c>
      <c r="C258" s="3" t="s">
        <v>401</v>
      </c>
      <c r="D258" s="3" t="s">
        <v>37</v>
      </c>
      <c r="E258" s="4" t="s">
        <v>3081</v>
      </c>
      <c r="F258" s="3">
        <v>1175</v>
      </c>
      <c r="H258" s="5" t="str">
        <f t="shared" ref="H258:H321" si="16">IF(OR(AU258="Yes",AV258="Yes"),"Y","N")</f>
        <v>N</v>
      </c>
      <c r="I258" s="4" t="s">
        <v>3430</v>
      </c>
      <c r="J258" s="4" t="s">
        <v>740</v>
      </c>
      <c r="K258" s="4" t="s">
        <v>404</v>
      </c>
      <c r="L258" s="4" t="s">
        <v>405</v>
      </c>
      <c r="M258" s="4" t="s">
        <v>406</v>
      </c>
      <c r="N258" s="4" t="s">
        <v>3431</v>
      </c>
      <c r="O258" s="4" t="s">
        <v>3432</v>
      </c>
      <c r="P258" s="4" t="s">
        <v>3433</v>
      </c>
      <c r="Q258" s="4" t="s">
        <v>3434</v>
      </c>
      <c r="R258" s="4" t="s">
        <v>3435</v>
      </c>
      <c r="S258" s="3" t="s">
        <v>312</v>
      </c>
      <c r="T258" s="5" t="str">
        <f t="shared" ref="T258:T321" si="17">IF(OR(AY258&lt;&gt;"Not Found",BA258&lt;&gt;"Not Found"),"Y","N")</f>
        <v>Y</v>
      </c>
      <c r="W258" s="5" t="str">
        <f t="shared" ref="W258:W321" si="18">IF(BC258&lt;&gt;"Not Found","Y","N")</f>
        <v>Y</v>
      </c>
      <c r="X258" s="4" t="s">
        <v>51</v>
      </c>
      <c r="Y258" s="3" t="s">
        <v>411</v>
      </c>
      <c r="Z258" s="3" t="s">
        <v>412</v>
      </c>
      <c r="AA258" s="4" t="s">
        <v>413</v>
      </c>
      <c r="AB258" s="4" t="s">
        <v>414</v>
      </c>
      <c r="AC258" s="5" t="s">
        <v>56</v>
      </c>
      <c r="AH258" s="5" t="str">
        <f t="shared" ref="AH258:AH321" si="19">IF(BD258&lt;&gt;"Not Found","Y","N")</f>
        <v>Y</v>
      </c>
      <c r="AI258" s="3" t="s">
        <v>415</v>
      </c>
      <c r="AJ258" s="3" t="s">
        <v>416</v>
      </c>
      <c r="AK258" s="3" t="s">
        <v>3436</v>
      </c>
      <c r="AL258" s="3" t="s">
        <v>3437</v>
      </c>
      <c r="AM258" s="4" t="s">
        <v>62</v>
      </c>
      <c r="AP258" s="5">
        <v>1</v>
      </c>
      <c r="AT258" s="7"/>
      <c r="AU258" s="7"/>
      <c r="AV258" s="7"/>
      <c r="AW258" s="7"/>
      <c r="AX258" s="7"/>
      <c r="AY258" s="7"/>
      <c r="AZ258" s="7"/>
      <c r="BA258" s="7"/>
      <c r="BB258" s="7"/>
      <c r="BC258" s="7"/>
      <c r="BD258" s="7"/>
      <c r="BE258" s="7"/>
      <c r="BF258" s="7"/>
      <c r="BG258" s="7"/>
      <c r="BH258" s="7"/>
      <c r="BI258" s="7"/>
      <c r="BJ258" s="7"/>
      <c r="BK258" s="7"/>
      <c r="BL258" s="7"/>
      <c r="BM258" s="7"/>
      <c r="BN258" s="7"/>
      <c r="BO258" s="7"/>
      <c r="BP258" s="7"/>
      <c r="BQ258" s="7"/>
      <c r="BR258" s="7"/>
      <c r="BS258" s="7"/>
      <c r="BT258" s="7"/>
      <c r="BU258" s="7"/>
      <c r="BV258" s="7"/>
      <c r="BW258" s="7"/>
      <c r="BX258" s="7"/>
      <c r="BY258" s="7"/>
      <c r="BZ258" s="7"/>
    </row>
    <row r="259" ht="16.5" customHeight="1">
      <c r="A259" s="3" t="s">
        <v>3438</v>
      </c>
      <c r="B259" s="3" t="s">
        <v>3439</v>
      </c>
      <c r="C259" s="3">
        <v>0</v>
      </c>
      <c r="D259" s="3" t="s">
        <v>37</v>
      </c>
      <c r="E259" s="4" t="s">
        <v>3081</v>
      </c>
      <c r="F259" s="3">
        <v>7442</v>
      </c>
      <c r="H259" s="5" t="str">
        <f t="shared" si="16"/>
        <v>N</v>
      </c>
      <c r="I259" s="4" t="s">
        <v>3440</v>
      </c>
      <c r="J259" s="4" t="s">
        <v>3441</v>
      </c>
      <c r="K259" s="4" t="s">
        <v>3442</v>
      </c>
      <c r="L259" s="4" t="s">
        <v>265</v>
      </c>
      <c r="M259" s="4" t="s">
        <v>3443</v>
      </c>
      <c r="N259" s="4" t="s">
        <v>596</v>
      </c>
      <c r="O259" s="4" t="s">
        <v>3444</v>
      </c>
      <c r="P259" s="4" t="s">
        <v>3445</v>
      </c>
      <c r="Q259" s="4" t="s">
        <v>3446</v>
      </c>
      <c r="R259" s="4" t="s">
        <v>3447</v>
      </c>
      <c r="S259" s="3" t="s">
        <v>312</v>
      </c>
      <c r="T259" s="5" t="str">
        <f t="shared" si="17"/>
        <v>Y</v>
      </c>
      <c r="W259" s="5" t="str">
        <f t="shared" si="18"/>
        <v>Y</v>
      </c>
      <c r="X259" s="4" t="s">
        <v>51</v>
      </c>
      <c r="Y259" s="3" t="s">
        <v>3448</v>
      </c>
      <c r="Z259" s="3" t="s">
        <v>3449</v>
      </c>
      <c r="AA259" s="4" t="s">
        <v>3450</v>
      </c>
      <c r="AB259" s="4" t="s">
        <v>3451</v>
      </c>
      <c r="AC259" s="5" t="s">
        <v>56</v>
      </c>
      <c r="AH259" s="5" t="str">
        <f t="shared" si="19"/>
        <v>Y</v>
      </c>
      <c r="AI259" s="3" t="s">
        <v>3452</v>
      </c>
      <c r="AJ259" s="3" t="s">
        <v>3453</v>
      </c>
      <c r="AK259" s="3" t="s">
        <v>3454</v>
      </c>
      <c r="AL259" s="3" t="s">
        <v>3455</v>
      </c>
      <c r="AM259" s="4" t="s">
        <v>62</v>
      </c>
      <c r="AP259" s="5">
        <v>1</v>
      </c>
      <c r="AT259" s="7"/>
      <c r="AU259" s="7"/>
      <c r="AV259" s="7"/>
      <c r="AW259" s="7"/>
      <c r="AX259" s="7"/>
      <c r="AY259" s="7"/>
      <c r="AZ259" s="7"/>
      <c r="BA259" s="7"/>
      <c r="BB259" s="7"/>
      <c r="BC259" s="7"/>
      <c r="BD259" s="7"/>
      <c r="BE259" s="7"/>
      <c r="BF259" s="7"/>
      <c r="BG259" s="7"/>
      <c r="BH259" s="7"/>
      <c r="BI259" s="7"/>
      <c r="BJ259" s="7"/>
      <c r="BK259" s="7"/>
      <c r="BL259" s="7"/>
      <c r="BM259" s="7"/>
      <c r="BN259" s="7"/>
      <c r="BO259" s="7"/>
      <c r="BP259" s="7"/>
      <c r="BQ259" s="7"/>
      <c r="BR259" s="7"/>
      <c r="BS259" s="7"/>
      <c r="BT259" s="7"/>
      <c r="BU259" s="7"/>
      <c r="BV259" s="7"/>
      <c r="BW259" s="7"/>
      <c r="BX259" s="7"/>
      <c r="BY259" s="7"/>
      <c r="BZ259" s="7"/>
    </row>
    <row r="260" ht="16.5" customHeight="1">
      <c r="A260" s="3" t="s">
        <v>3456</v>
      </c>
      <c r="B260" s="3" t="s">
        <v>475</v>
      </c>
      <c r="C260" s="3" t="s">
        <v>476</v>
      </c>
      <c r="D260" s="3" t="s">
        <v>37</v>
      </c>
      <c r="E260" s="4" t="s">
        <v>3081</v>
      </c>
      <c r="F260" s="3">
        <v>1148</v>
      </c>
      <c r="H260" s="5" t="str">
        <f t="shared" si="16"/>
        <v>N</v>
      </c>
      <c r="I260" s="4" t="s">
        <v>3457</v>
      </c>
      <c r="J260" s="4" t="s">
        <v>3458</v>
      </c>
      <c r="K260" s="4" t="s">
        <v>478</v>
      </c>
      <c r="L260" s="4" t="s">
        <v>596</v>
      </c>
      <c r="M260" s="4" t="s">
        <v>479</v>
      </c>
      <c r="N260" s="4" t="s">
        <v>3459</v>
      </c>
      <c r="O260" s="4" t="s">
        <v>481</v>
      </c>
      <c r="P260" s="4" t="s">
        <v>3460</v>
      </c>
      <c r="Q260" s="4" t="s">
        <v>3461</v>
      </c>
      <c r="R260" s="4" t="s">
        <v>3462</v>
      </c>
      <c r="S260" s="3" t="s">
        <v>312</v>
      </c>
      <c r="T260" s="5" t="str">
        <f t="shared" si="17"/>
        <v>Y</v>
      </c>
      <c r="W260" s="5" t="str">
        <f t="shared" si="18"/>
        <v>Y</v>
      </c>
      <c r="X260" s="4" t="s">
        <v>51</v>
      </c>
      <c r="Y260" s="3" t="s">
        <v>484</v>
      </c>
      <c r="Z260" s="3" t="s">
        <v>485</v>
      </c>
      <c r="AA260" s="4" t="s">
        <v>486</v>
      </c>
      <c r="AB260" s="4" t="s">
        <v>487</v>
      </c>
      <c r="AC260" s="5" t="s">
        <v>56</v>
      </c>
      <c r="AH260" s="5" t="str">
        <f t="shared" si="19"/>
        <v>Y</v>
      </c>
      <c r="AI260" s="3" t="s">
        <v>488</v>
      </c>
      <c r="AJ260" s="3" t="s">
        <v>489</v>
      </c>
      <c r="AK260" s="3" t="s">
        <v>3463</v>
      </c>
      <c r="AL260" s="3" t="s">
        <v>3464</v>
      </c>
      <c r="AM260" s="4" t="s">
        <v>62</v>
      </c>
      <c r="AP260" s="5">
        <v>1</v>
      </c>
      <c r="AT260" s="7"/>
      <c r="AU260" s="7"/>
      <c r="AV260" s="7"/>
      <c r="AW260" s="7"/>
      <c r="AX260" s="7"/>
      <c r="AY260" s="7"/>
      <c r="AZ260" s="7"/>
      <c r="BA260" s="7"/>
      <c r="BB260" s="7"/>
      <c r="BC260" s="7"/>
      <c r="BD260" s="7"/>
      <c r="BE260" s="7"/>
      <c r="BF260" s="7"/>
      <c r="BG260" s="7"/>
      <c r="BH260" s="7"/>
      <c r="BI260" s="7"/>
      <c r="BJ260" s="7"/>
      <c r="BK260" s="7"/>
      <c r="BL260" s="7"/>
      <c r="BM260" s="7"/>
      <c r="BN260" s="7"/>
      <c r="BO260" s="7"/>
      <c r="BP260" s="7"/>
      <c r="BQ260" s="7"/>
      <c r="BR260" s="7"/>
      <c r="BS260" s="7"/>
      <c r="BT260" s="7"/>
      <c r="BU260" s="7"/>
      <c r="BV260" s="7"/>
      <c r="BW260" s="7"/>
      <c r="BX260" s="7"/>
      <c r="BY260" s="7"/>
      <c r="BZ260" s="7"/>
    </row>
    <row r="261" ht="16.5" customHeight="1">
      <c r="A261" s="3" t="s">
        <v>3465</v>
      </c>
      <c r="B261" s="3" t="s">
        <v>491</v>
      </c>
      <c r="C261" s="3" t="s">
        <v>492</v>
      </c>
      <c r="D261" s="3" t="s">
        <v>37</v>
      </c>
      <c r="E261" s="4" t="s">
        <v>3081</v>
      </c>
      <c r="F261" s="3">
        <v>1145</v>
      </c>
      <c r="H261" s="5" t="str">
        <f t="shared" si="16"/>
        <v>N</v>
      </c>
      <c r="I261" s="4" t="s">
        <v>3466</v>
      </c>
      <c r="J261" s="4" t="s">
        <v>3467</v>
      </c>
      <c r="K261" s="4" t="s">
        <v>495</v>
      </c>
      <c r="L261" s="4" t="s">
        <v>577</v>
      </c>
      <c r="M261" s="4" t="s">
        <v>496</v>
      </c>
      <c r="N261" s="4" t="s">
        <v>3468</v>
      </c>
      <c r="O261" s="4" t="s">
        <v>498</v>
      </c>
      <c r="P261" s="4" t="s">
        <v>3469</v>
      </c>
      <c r="Q261" s="4" t="s">
        <v>3470</v>
      </c>
      <c r="R261" s="4" t="s">
        <v>3471</v>
      </c>
      <c r="S261" s="3" t="s">
        <v>182</v>
      </c>
      <c r="T261" s="5" t="str">
        <f t="shared" si="17"/>
        <v>Y</v>
      </c>
      <c r="W261" s="5" t="str">
        <f t="shared" si="18"/>
        <v>Y</v>
      </c>
      <c r="X261" s="4" t="s">
        <v>51</v>
      </c>
      <c r="Y261" s="3" t="s">
        <v>502</v>
      </c>
      <c r="Z261" s="3" t="s">
        <v>503</v>
      </c>
      <c r="AA261" s="4" t="s">
        <v>504</v>
      </c>
      <c r="AB261" s="4" t="s">
        <v>505</v>
      </c>
      <c r="AC261" s="5" t="s">
        <v>56</v>
      </c>
      <c r="AH261" s="5" t="str">
        <f t="shared" si="19"/>
        <v>Y</v>
      </c>
      <c r="AI261" s="3" t="s">
        <v>506</v>
      </c>
      <c r="AJ261" s="3" t="s">
        <v>507</v>
      </c>
      <c r="AK261" s="3" t="s">
        <v>3472</v>
      </c>
      <c r="AL261" s="3" t="s">
        <v>3473</v>
      </c>
      <c r="AM261" s="4" t="s">
        <v>62</v>
      </c>
      <c r="AP261" s="5">
        <v>1</v>
      </c>
      <c r="AT261" s="7"/>
      <c r="AU261" s="7"/>
      <c r="AV261" s="7"/>
      <c r="AW261" s="7"/>
      <c r="AX261" s="7"/>
      <c r="AY261" s="7"/>
      <c r="AZ261" s="7"/>
      <c r="BA261" s="7"/>
      <c r="BB261" s="7"/>
      <c r="BC261" s="7"/>
      <c r="BD261" s="7"/>
      <c r="BE261" s="7"/>
      <c r="BF261" s="7"/>
      <c r="BG261" s="7"/>
      <c r="BH261" s="7"/>
      <c r="BI261" s="7"/>
      <c r="BJ261" s="7"/>
      <c r="BK261" s="7"/>
      <c r="BL261" s="7"/>
      <c r="BM261" s="7"/>
      <c r="BN261" s="7"/>
      <c r="BO261" s="7"/>
      <c r="BP261" s="7"/>
      <c r="BQ261" s="7"/>
      <c r="BR261" s="7"/>
      <c r="BS261" s="7"/>
      <c r="BT261" s="7"/>
      <c r="BU261" s="7"/>
      <c r="BV261" s="7"/>
      <c r="BW261" s="7"/>
      <c r="BX261" s="7"/>
      <c r="BY261" s="7"/>
      <c r="BZ261" s="7"/>
    </row>
    <row r="262" ht="16.5" customHeight="1">
      <c r="A262" s="3" t="s">
        <v>3474</v>
      </c>
      <c r="B262" s="3" t="s">
        <v>3475</v>
      </c>
      <c r="C262" s="3">
        <v>0</v>
      </c>
      <c r="D262" s="3" t="s">
        <v>37</v>
      </c>
      <c r="E262" s="4" t="s">
        <v>3081</v>
      </c>
      <c r="F262" s="3">
        <v>6401</v>
      </c>
      <c r="H262" s="5" t="str">
        <f t="shared" si="16"/>
        <v>N</v>
      </c>
      <c r="I262" s="4" t="s">
        <v>3476</v>
      </c>
      <c r="J262" s="4" t="s">
        <v>3477</v>
      </c>
      <c r="K262" s="4" t="s">
        <v>3478</v>
      </c>
      <c r="L262" s="4" t="s">
        <v>480</v>
      </c>
      <c r="M262" s="4" t="s">
        <v>3479</v>
      </c>
      <c r="N262" s="4" t="s">
        <v>2008</v>
      </c>
      <c r="O262" s="4" t="s">
        <v>3480</v>
      </c>
      <c r="P262" s="4" t="s">
        <v>3481</v>
      </c>
      <c r="Q262" s="4" t="s">
        <v>3482</v>
      </c>
      <c r="R262" s="4" t="s">
        <v>3483</v>
      </c>
      <c r="S262" s="3" t="s">
        <v>312</v>
      </c>
      <c r="T262" s="5" t="str">
        <f t="shared" si="17"/>
        <v>Y</v>
      </c>
      <c r="W262" s="5" t="str">
        <f t="shared" si="18"/>
        <v>Y</v>
      </c>
      <c r="X262" s="4" t="s">
        <v>51</v>
      </c>
      <c r="Y262" s="3" t="s">
        <v>3484</v>
      </c>
      <c r="Z262" s="3" t="s">
        <v>3485</v>
      </c>
      <c r="AA262" s="4" t="s">
        <v>3486</v>
      </c>
      <c r="AB262" s="4" t="s">
        <v>3487</v>
      </c>
      <c r="AC262" s="5" t="s">
        <v>56</v>
      </c>
      <c r="AH262" s="5" t="str">
        <f t="shared" si="19"/>
        <v>Y</v>
      </c>
      <c r="AI262" s="3" t="s">
        <v>3488</v>
      </c>
      <c r="AJ262" s="3" t="s">
        <v>3489</v>
      </c>
      <c r="AK262" s="3" t="s">
        <v>3490</v>
      </c>
      <c r="AL262" s="3" t="s">
        <v>3491</v>
      </c>
      <c r="AM262" s="4" t="s">
        <v>62</v>
      </c>
      <c r="AP262" s="5">
        <v>1</v>
      </c>
      <c r="AT262" s="7"/>
      <c r="AU262" s="7"/>
      <c r="AV262" s="7"/>
      <c r="AW262" s="7"/>
      <c r="AX262" s="7"/>
      <c r="AY262" s="7"/>
      <c r="AZ262" s="7"/>
      <c r="BA262" s="7"/>
      <c r="BB262" s="7"/>
      <c r="BC262" s="7"/>
      <c r="BD262" s="7"/>
      <c r="BE262" s="7"/>
      <c r="BF262" s="7"/>
      <c r="BG262" s="7"/>
      <c r="BH262" s="7"/>
      <c r="BI262" s="7"/>
      <c r="BJ262" s="7"/>
      <c r="BK262" s="7"/>
      <c r="BL262" s="7"/>
      <c r="BM262" s="7"/>
      <c r="BN262" s="7"/>
      <c r="BO262" s="7"/>
      <c r="BP262" s="7"/>
      <c r="BQ262" s="7"/>
      <c r="BR262" s="7"/>
      <c r="BS262" s="7"/>
      <c r="BT262" s="7"/>
      <c r="BU262" s="7"/>
      <c r="BV262" s="7"/>
      <c r="BW262" s="7"/>
      <c r="BX262" s="7"/>
      <c r="BY262" s="7"/>
      <c r="BZ262" s="7"/>
    </row>
    <row r="263" ht="16.5" customHeight="1">
      <c r="A263" s="3" t="s">
        <v>3492</v>
      </c>
      <c r="B263" s="3" t="s">
        <v>3493</v>
      </c>
      <c r="C263" s="3" t="s">
        <v>3494</v>
      </c>
      <c r="D263" s="3" t="s">
        <v>37</v>
      </c>
      <c r="E263" s="4" t="s">
        <v>3081</v>
      </c>
      <c r="F263" s="3">
        <v>1143</v>
      </c>
      <c r="H263" s="5" t="str">
        <f t="shared" si="16"/>
        <v>N</v>
      </c>
      <c r="I263" s="4" t="s">
        <v>3495</v>
      </c>
      <c r="J263" s="4" t="s">
        <v>3477</v>
      </c>
      <c r="K263" s="4" t="s">
        <v>3496</v>
      </c>
      <c r="L263" s="4" t="s">
        <v>480</v>
      </c>
      <c r="M263" s="4" t="s">
        <v>3497</v>
      </c>
      <c r="N263" s="4" t="s">
        <v>3498</v>
      </c>
      <c r="O263" s="4" t="s">
        <v>3499</v>
      </c>
      <c r="P263" s="4" t="s">
        <v>3481</v>
      </c>
      <c r="Q263" s="4" t="s">
        <v>3500</v>
      </c>
      <c r="R263" s="4" t="s">
        <v>3501</v>
      </c>
      <c r="S263" s="3" t="s">
        <v>428</v>
      </c>
      <c r="T263" s="5" t="str">
        <f t="shared" si="17"/>
        <v>Y</v>
      </c>
      <c r="W263" s="5" t="str">
        <f t="shared" si="18"/>
        <v>Y</v>
      </c>
      <c r="X263" s="4" t="s">
        <v>51</v>
      </c>
      <c r="Y263" s="3" t="s">
        <v>3502</v>
      </c>
      <c r="Z263" s="3" t="s">
        <v>3503</v>
      </c>
      <c r="AA263" s="4" t="s">
        <v>3504</v>
      </c>
      <c r="AB263" s="4" t="s">
        <v>3505</v>
      </c>
      <c r="AC263" s="5" t="s">
        <v>56</v>
      </c>
      <c r="AH263" s="5" t="str">
        <f t="shared" si="19"/>
        <v>Y</v>
      </c>
      <c r="AI263" s="3" t="s">
        <v>3506</v>
      </c>
      <c r="AJ263" s="3" t="s">
        <v>3507</v>
      </c>
      <c r="AK263" s="3" t="s">
        <v>3508</v>
      </c>
      <c r="AL263" s="3" t="s">
        <v>3509</v>
      </c>
      <c r="AM263" s="4" t="s">
        <v>62</v>
      </c>
      <c r="AP263" s="5">
        <v>1</v>
      </c>
      <c r="AT263" s="7"/>
      <c r="AU263" s="7"/>
      <c r="AV263" s="7"/>
      <c r="AW263" s="7"/>
      <c r="AX263" s="7"/>
      <c r="AY263" s="7"/>
      <c r="AZ263" s="7"/>
      <c r="BA263" s="7"/>
      <c r="BB263" s="7"/>
      <c r="BC263" s="7"/>
      <c r="BD263" s="7"/>
      <c r="BE263" s="7"/>
      <c r="BF263" s="7"/>
      <c r="BG263" s="7"/>
      <c r="BH263" s="7"/>
      <c r="BI263" s="7"/>
      <c r="BJ263" s="7"/>
      <c r="BK263" s="7"/>
      <c r="BL263" s="7"/>
      <c r="BM263" s="7"/>
      <c r="BN263" s="7"/>
      <c r="BO263" s="7"/>
      <c r="BP263" s="7"/>
      <c r="BQ263" s="7"/>
      <c r="BR263" s="7"/>
      <c r="BS263" s="7"/>
      <c r="BT263" s="7"/>
      <c r="BU263" s="7"/>
      <c r="BV263" s="7"/>
      <c r="BW263" s="7"/>
      <c r="BX263" s="7"/>
      <c r="BY263" s="7"/>
      <c r="BZ263" s="7"/>
    </row>
    <row r="264" ht="16.5" customHeight="1">
      <c r="A264" s="3" t="s">
        <v>3510</v>
      </c>
      <c r="B264" s="3" t="s">
        <v>3511</v>
      </c>
      <c r="C264" s="3" t="s">
        <v>3512</v>
      </c>
      <c r="D264" s="3" t="s">
        <v>37</v>
      </c>
      <c r="E264" s="4" t="s">
        <v>3081</v>
      </c>
      <c r="F264" s="3">
        <v>1141</v>
      </c>
      <c r="H264" s="5" t="str">
        <f t="shared" si="16"/>
        <v>N</v>
      </c>
      <c r="I264" s="4" t="s">
        <v>3513</v>
      </c>
      <c r="J264" s="4" t="s">
        <v>3477</v>
      </c>
      <c r="K264" s="4" t="s">
        <v>3514</v>
      </c>
      <c r="L264" s="4" t="s">
        <v>480</v>
      </c>
      <c r="M264" s="4" t="s">
        <v>3515</v>
      </c>
      <c r="N264" s="4" t="s">
        <v>2008</v>
      </c>
      <c r="O264" s="4" t="s">
        <v>3516</v>
      </c>
      <c r="P264" s="4" t="s">
        <v>3517</v>
      </c>
      <c r="Q264" s="4" t="s">
        <v>3518</v>
      </c>
      <c r="R264" s="4" t="s">
        <v>3519</v>
      </c>
      <c r="S264" s="3" t="s">
        <v>203</v>
      </c>
      <c r="T264" s="5" t="str">
        <f t="shared" si="17"/>
        <v>Y</v>
      </c>
      <c r="W264" s="5" t="str">
        <f t="shared" si="18"/>
        <v>Y</v>
      </c>
      <c r="X264" s="4" t="s">
        <v>51</v>
      </c>
      <c r="Y264" s="3" t="s">
        <v>3520</v>
      </c>
      <c r="Z264" s="3" t="s">
        <v>3521</v>
      </c>
      <c r="AA264" s="4" t="s">
        <v>3522</v>
      </c>
      <c r="AB264" s="4" t="s">
        <v>3523</v>
      </c>
      <c r="AC264" s="5" t="s">
        <v>56</v>
      </c>
      <c r="AH264" s="5" t="str">
        <f t="shared" si="19"/>
        <v>Y</v>
      </c>
      <c r="AI264" s="3" t="s">
        <v>3524</v>
      </c>
      <c r="AJ264" s="3" t="s">
        <v>3525</v>
      </c>
      <c r="AK264" s="3" t="s">
        <v>3526</v>
      </c>
      <c r="AL264" s="3" t="s">
        <v>3527</v>
      </c>
      <c r="AM264" s="4" t="s">
        <v>62</v>
      </c>
      <c r="AP264" s="5">
        <v>1</v>
      </c>
      <c r="AT264" s="7"/>
      <c r="AU264" s="7"/>
      <c r="AV264" s="7"/>
      <c r="AW264" s="7"/>
      <c r="AX264" s="7"/>
      <c r="AY264" s="7"/>
      <c r="AZ264" s="7"/>
      <c r="BA264" s="7"/>
      <c r="BB264" s="7"/>
      <c r="BC264" s="7"/>
      <c r="BD264" s="7"/>
      <c r="BE264" s="7"/>
      <c r="BF264" s="7"/>
      <c r="BG264" s="7"/>
      <c r="BH264" s="7"/>
      <c r="BI264" s="7"/>
      <c r="BJ264" s="7"/>
      <c r="BK264" s="7"/>
      <c r="BL264" s="7"/>
      <c r="BM264" s="7"/>
      <c r="BN264" s="7"/>
      <c r="BO264" s="7"/>
      <c r="BP264" s="7"/>
      <c r="BQ264" s="7"/>
      <c r="BR264" s="7"/>
      <c r="BS264" s="7"/>
      <c r="BT264" s="7"/>
      <c r="BU264" s="7"/>
      <c r="BV264" s="7"/>
      <c r="BW264" s="7"/>
      <c r="BX264" s="7"/>
      <c r="BY264" s="7"/>
      <c r="BZ264" s="7"/>
    </row>
    <row r="265" ht="16.5" customHeight="1">
      <c r="A265" s="3" t="s">
        <v>3528</v>
      </c>
      <c r="B265" s="3" t="s">
        <v>3529</v>
      </c>
      <c r="C265" s="3" t="s">
        <v>3530</v>
      </c>
      <c r="D265" s="3" t="s">
        <v>37</v>
      </c>
      <c r="E265" s="4" t="s">
        <v>3081</v>
      </c>
      <c r="F265" s="3">
        <v>8819</v>
      </c>
      <c r="H265" s="5" t="str">
        <f t="shared" si="16"/>
        <v>N</v>
      </c>
      <c r="I265" s="4" t="s">
        <v>3531</v>
      </c>
      <c r="J265" s="4" t="s">
        <v>740</v>
      </c>
      <c r="K265" s="4" t="s">
        <v>3532</v>
      </c>
      <c r="L265" s="4" t="s">
        <v>161</v>
      </c>
      <c r="M265" s="4" t="s">
        <v>3533</v>
      </c>
      <c r="N265" s="4" t="s">
        <v>3534</v>
      </c>
      <c r="O265" s="4" t="s">
        <v>3535</v>
      </c>
      <c r="P265" s="4" t="s">
        <v>241</v>
      </c>
      <c r="Q265" s="4" t="s">
        <v>3536</v>
      </c>
      <c r="R265" s="4" t="s">
        <v>3537</v>
      </c>
      <c r="S265" s="3" t="s">
        <v>3538</v>
      </c>
      <c r="T265" s="5" t="str">
        <f t="shared" si="17"/>
        <v>Y</v>
      </c>
      <c r="W265" s="5" t="str">
        <f t="shared" si="18"/>
        <v>Y</v>
      </c>
      <c r="X265" s="4" t="s">
        <v>51</v>
      </c>
      <c r="Y265" s="3" t="s">
        <v>3539</v>
      </c>
      <c r="Z265" s="3" t="s">
        <v>3540</v>
      </c>
      <c r="AA265" s="4" t="s">
        <v>3541</v>
      </c>
      <c r="AB265" s="4" t="s">
        <v>3542</v>
      </c>
      <c r="AC265" s="5" t="s">
        <v>56</v>
      </c>
      <c r="AH265" s="5" t="str">
        <f t="shared" si="19"/>
        <v>Y</v>
      </c>
      <c r="AI265" s="3" t="s">
        <v>3543</v>
      </c>
      <c r="AJ265" s="3" t="s">
        <v>3544</v>
      </c>
      <c r="AK265" s="3" t="s">
        <v>3545</v>
      </c>
      <c r="AL265" s="3" t="s">
        <v>3546</v>
      </c>
      <c r="AM265" s="4" t="s">
        <v>62</v>
      </c>
      <c r="AP265" s="5">
        <v>1</v>
      </c>
      <c r="AT265" s="7"/>
      <c r="AU265" s="7"/>
      <c r="AV265" s="7"/>
      <c r="AW265" s="7"/>
      <c r="AX265" s="7"/>
      <c r="AY265" s="7"/>
      <c r="AZ265" s="7"/>
      <c r="BA265" s="7"/>
      <c r="BB265" s="7"/>
      <c r="BC265" s="7"/>
      <c r="BD265" s="7"/>
      <c r="BE265" s="7"/>
      <c r="BF265" s="7"/>
      <c r="BG265" s="7"/>
      <c r="BH265" s="7"/>
      <c r="BI265" s="7"/>
      <c r="BJ265" s="7"/>
      <c r="BK265" s="7"/>
      <c r="BL265" s="7"/>
      <c r="BM265" s="7"/>
      <c r="BN265" s="7"/>
      <c r="BO265" s="7"/>
      <c r="BP265" s="7"/>
      <c r="BQ265" s="7"/>
      <c r="BR265" s="7"/>
      <c r="BS265" s="7"/>
      <c r="BT265" s="7"/>
      <c r="BU265" s="7"/>
      <c r="BV265" s="7"/>
      <c r="BW265" s="7"/>
      <c r="BX265" s="7"/>
      <c r="BY265" s="7"/>
      <c r="BZ265" s="7"/>
    </row>
    <row r="266" ht="16.5" customHeight="1">
      <c r="A266" s="3" t="s">
        <v>3547</v>
      </c>
      <c r="B266" s="3" t="s">
        <v>3548</v>
      </c>
      <c r="C266" s="3" t="s">
        <v>3549</v>
      </c>
      <c r="D266" s="3" t="s">
        <v>37</v>
      </c>
      <c r="E266" s="4" t="s">
        <v>3081</v>
      </c>
      <c r="F266" s="3">
        <v>9034</v>
      </c>
      <c r="H266" s="5" t="str">
        <f t="shared" si="16"/>
        <v>N</v>
      </c>
      <c r="I266" s="4" t="s">
        <v>3550</v>
      </c>
      <c r="J266" s="4" t="s">
        <v>3551</v>
      </c>
      <c r="K266" s="4" t="s">
        <v>3552</v>
      </c>
      <c r="L266" s="4" t="s">
        <v>596</v>
      </c>
      <c r="M266" s="4" t="s">
        <v>3553</v>
      </c>
      <c r="N266" s="4" t="s">
        <v>241</v>
      </c>
      <c r="O266" s="4" t="s">
        <v>3554</v>
      </c>
      <c r="P266" s="4" t="s">
        <v>3555</v>
      </c>
      <c r="Q266" s="4" t="s">
        <v>3556</v>
      </c>
      <c r="R266" s="4" t="s">
        <v>3557</v>
      </c>
      <c r="S266" s="3" t="s">
        <v>3558</v>
      </c>
      <c r="T266" s="5" t="str">
        <f t="shared" si="17"/>
        <v>Y</v>
      </c>
      <c r="W266" s="5" t="str">
        <f t="shared" si="18"/>
        <v>Y</v>
      </c>
      <c r="X266" s="4" t="s">
        <v>51</v>
      </c>
      <c r="Y266" s="3" t="s">
        <v>3559</v>
      </c>
      <c r="Z266" s="3" t="s">
        <v>3560</v>
      </c>
      <c r="AA266" s="4" t="s">
        <v>3561</v>
      </c>
      <c r="AB266" s="4" t="s">
        <v>3562</v>
      </c>
      <c r="AC266" s="5" t="s">
        <v>56</v>
      </c>
      <c r="AH266" s="5" t="str">
        <f t="shared" si="19"/>
        <v>Y</v>
      </c>
      <c r="AI266" s="3" t="s">
        <v>3563</v>
      </c>
      <c r="AJ266" s="3" t="s">
        <v>3564</v>
      </c>
      <c r="AK266" s="3" t="s">
        <v>3565</v>
      </c>
      <c r="AL266" s="3" t="s">
        <v>3566</v>
      </c>
      <c r="AM266" s="4" t="s">
        <v>62</v>
      </c>
      <c r="AP266" s="5">
        <v>1</v>
      </c>
      <c r="AT266" s="7"/>
      <c r="AU266" s="7"/>
      <c r="AV266" s="7"/>
      <c r="AW266" s="7"/>
      <c r="AX266" s="7"/>
      <c r="AY266" s="7"/>
      <c r="AZ266" s="7"/>
      <c r="BA266" s="7"/>
      <c r="BB266" s="7"/>
      <c r="BC266" s="7"/>
      <c r="BD266" s="7"/>
      <c r="BE266" s="7"/>
      <c r="BF266" s="7"/>
      <c r="BG266" s="7"/>
      <c r="BH266" s="7"/>
      <c r="BI266" s="7"/>
      <c r="BJ266" s="7"/>
      <c r="BK266" s="7"/>
      <c r="BL266" s="7"/>
      <c r="BM266" s="7"/>
      <c r="BN266" s="7"/>
      <c r="BO266" s="7"/>
      <c r="BP266" s="7"/>
      <c r="BQ266" s="7"/>
      <c r="BR266" s="7"/>
      <c r="BS266" s="7"/>
      <c r="BT266" s="7"/>
      <c r="BU266" s="7"/>
      <c r="BV266" s="7"/>
      <c r="BW266" s="7"/>
      <c r="BX266" s="7"/>
      <c r="BY266" s="7"/>
      <c r="BZ266" s="7"/>
    </row>
    <row r="267" ht="16.5" customHeight="1">
      <c r="A267" s="3" t="s">
        <v>3567</v>
      </c>
      <c r="B267" s="3" t="s">
        <v>3568</v>
      </c>
      <c r="C267" s="3" t="s">
        <v>3569</v>
      </c>
      <c r="D267" s="3" t="s">
        <v>37</v>
      </c>
      <c r="E267" s="4" t="s">
        <v>3081</v>
      </c>
      <c r="F267" s="3">
        <v>6979</v>
      </c>
      <c r="H267" s="5" t="str">
        <f t="shared" si="16"/>
        <v>N</v>
      </c>
      <c r="I267" s="4" t="s">
        <v>3570</v>
      </c>
      <c r="J267" s="4" t="s">
        <v>3571</v>
      </c>
      <c r="K267" s="4" t="s">
        <v>3572</v>
      </c>
      <c r="L267" s="4" t="s">
        <v>577</v>
      </c>
      <c r="M267" s="4" t="s">
        <v>3573</v>
      </c>
      <c r="N267" s="4" t="s">
        <v>241</v>
      </c>
      <c r="O267" s="4" t="s">
        <v>3574</v>
      </c>
      <c r="P267" s="4" t="s">
        <v>2322</v>
      </c>
      <c r="Q267" s="4" t="s">
        <v>3575</v>
      </c>
      <c r="R267" s="4" t="s">
        <v>3576</v>
      </c>
      <c r="S267" s="3" t="s">
        <v>3577</v>
      </c>
      <c r="T267" s="5" t="str">
        <f t="shared" si="17"/>
        <v>Y</v>
      </c>
      <c r="W267" s="5" t="str">
        <f t="shared" si="18"/>
        <v>Y</v>
      </c>
      <c r="X267" s="4" t="s">
        <v>51</v>
      </c>
      <c r="Y267" s="3" t="s">
        <v>3578</v>
      </c>
      <c r="Z267" s="3" t="s">
        <v>3579</v>
      </c>
      <c r="AA267" s="4" t="s">
        <v>3580</v>
      </c>
      <c r="AB267" s="4" t="s">
        <v>3581</v>
      </c>
      <c r="AC267" s="5" t="s">
        <v>56</v>
      </c>
      <c r="AH267" s="5" t="str">
        <f t="shared" si="19"/>
        <v>Y</v>
      </c>
      <c r="AI267" s="3" t="s">
        <v>3582</v>
      </c>
      <c r="AJ267" s="3" t="s">
        <v>3583</v>
      </c>
      <c r="AK267" s="3" t="s">
        <v>3584</v>
      </c>
      <c r="AL267" s="3" t="s">
        <v>3585</v>
      </c>
      <c r="AM267" s="4" t="s">
        <v>62</v>
      </c>
      <c r="AP267" s="5">
        <v>1</v>
      </c>
      <c r="AT267" s="7"/>
      <c r="AU267" s="7"/>
      <c r="AV267" s="7"/>
      <c r="AW267" s="7"/>
      <c r="AX267" s="7"/>
      <c r="AY267" s="7"/>
      <c r="AZ267" s="7"/>
      <c r="BA267" s="7"/>
      <c r="BB267" s="7"/>
      <c r="BC267" s="7"/>
      <c r="BD267" s="7"/>
      <c r="BE267" s="7"/>
      <c r="BF267" s="7"/>
      <c r="BG267" s="7"/>
      <c r="BH267" s="7"/>
      <c r="BI267" s="7"/>
      <c r="BJ267" s="7"/>
      <c r="BK267" s="7"/>
      <c r="BL267" s="7"/>
      <c r="BM267" s="7"/>
      <c r="BN267" s="7"/>
      <c r="BO267" s="7"/>
      <c r="BP267" s="7"/>
      <c r="BQ267" s="7"/>
      <c r="BR267" s="7"/>
      <c r="BS267" s="7"/>
      <c r="BT267" s="7"/>
      <c r="BU267" s="7"/>
      <c r="BV267" s="7"/>
      <c r="BW267" s="7"/>
      <c r="BX267" s="7"/>
      <c r="BY267" s="7"/>
      <c r="BZ267" s="7"/>
    </row>
    <row r="268" ht="16.5" customHeight="1">
      <c r="A268" s="3" t="s">
        <v>3586</v>
      </c>
      <c r="B268" s="3" t="s">
        <v>3587</v>
      </c>
      <c r="C268" s="3" t="s">
        <v>3588</v>
      </c>
      <c r="D268" s="3" t="s">
        <v>593</v>
      </c>
      <c r="E268" s="4" t="s">
        <v>3589</v>
      </c>
      <c r="F268" s="3">
        <v>3840</v>
      </c>
      <c r="H268" s="5" t="str">
        <f t="shared" si="16"/>
        <v>N</v>
      </c>
      <c r="I268" s="4" t="s">
        <v>3590</v>
      </c>
      <c r="J268" s="4" t="s">
        <v>3591</v>
      </c>
      <c r="K268" s="4" t="s">
        <v>3592</v>
      </c>
      <c r="L268" s="4" t="s">
        <v>3062</v>
      </c>
      <c r="M268" s="4" t="s">
        <v>3593</v>
      </c>
      <c r="N268" s="4" t="s">
        <v>1264</v>
      </c>
      <c r="O268" s="4" t="s">
        <v>3594</v>
      </c>
      <c r="P268" s="4" t="s">
        <v>596</v>
      </c>
      <c r="Q268" s="4" t="s">
        <v>3595</v>
      </c>
      <c r="R268" s="4" t="s">
        <v>3596</v>
      </c>
      <c r="S268" s="4" t="s">
        <v>3597</v>
      </c>
      <c r="T268" s="5" t="str">
        <f t="shared" si="17"/>
        <v>Y</v>
      </c>
      <c r="W268" s="5" t="str">
        <f t="shared" si="18"/>
        <v>Y</v>
      </c>
      <c r="X268" s="4" t="s">
        <v>51</v>
      </c>
      <c r="Y268" s="4" t="s">
        <v>3598</v>
      </c>
      <c r="Z268" s="4" t="s">
        <v>3599</v>
      </c>
      <c r="AA268" s="4" t="s">
        <v>3600</v>
      </c>
      <c r="AB268" s="4" t="s">
        <v>3601</v>
      </c>
      <c r="AC268" s="5" t="s">
        <v>56</v>
      </c>
      <c r="AH268" s="5" t="str">
        <f t="shared" si="19"/>
        <v>Y</v>
      </c>
      <c r="AI268" s="4" t="s">
        <v>3602</v>
      </c>
      <c r="AJ268" s="4" t="s">
        <v>3603</v>
      </c>
      <c r="AK268" s="3" t="s">
        <v>3604</v>
      </c>
      <c r="AL268" s="3" t="s">
        <v>3605</v>
      </c>
      <c r="AM268" s="4" t="s">
        <v>62</v>
      </c>
      <c r="AP268" s="5">
        <v>1</v>
      </c>
      <c r="AT268" s="7"/>
      <c r="AU268" s="7"/>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c r="BT268" s="7"/>
      <c r="BU268" s="7"/>
      <c r="BV268" s="7"/>
      <c r="BW268" s="7"/>
      <c r="BX268" s="7"/>
      <c r="BY268" s="7"/>
      <c r="BZ268" s="7"/>
    </row>
    <row r="269" ht="16.5" customHeight="1">
      <c r="A269" s="3" t="s">
        <v>615</v>
      </c>
      <c r="B269" s="3" t="s">
        <v>614</v>
      </c>
      <c r="C269" s="3" t="s">
        <v>615</v>
      </c>
      <c r="D269" s="3" t="s">
        <v>593</v>
      </c>
      <c r="E269" s="4" t="s">
        <v>3606</v>
      </c>
      <c r="F269" s="3">
        <v>3839</v>
      </c>
      <c r="H269" s="5" t="str">
        <f t="shared" si="16"/>
        <v>N</v>
      </c>
      <c r="I269" s="4" t="s">
        <v>3607</v>
      </c>
      <c r="J269" s="4" t="s">
        <v>3608</v>
      </c>
      <c r="K269" s="4" t="s">
        <v>3609</v>
      </c>
      <c r="L269" s="4" t="s">
        <v>3610</v>
      </c>
      <c r="M269" s="4" t="s">
        <v>3611</v>
      </c>
      <c r="N269" s="4" t="s">
        <v>3612</v>
      </c>
      <c r="O269" s="4" t="s">
        <v>3613</v>
      </c>
      <c r="P269" s="4" t="s">
        <v>3614</v>
      </c>
      <c r="Q269" s="4" t="s">
        <v>3615</v>
      </c>
      <c r="R269" s="4" t="s">
        <v>3616</v>
      </c>
      <c r="S269" s="4" t="s">
        <v>3617</v>
      </c>
      <c r="T269" s="5" t="str">
        <f t="shared" si="17"/>
        <v>Y</v>
      </c>
      <c r="W269" s="5" t="str">
        <f t="shared" si="18"/>
        <v>Y</v>
      </c>
      <c r="X269" s="4" t="s">
        <v>51</v>
      </c>
      <c r="Y269" s="4" t="s">
        <v>3618</v>
      </c>
      <c r="Z269" s="4" t="s">
        <v>3619</v>
      </c>
      <c r="AA269" s="4" t="s">
        <v>3620</v>
      </c>
      <c r="AB269" s="4" t="s">
        <v>3621</v>
      </c>
      <c r="AC269" s="5" t="s">
        <v>56</v>
      </c>
      <c r="AH269" s="5" t="str">
        <f t="shared" si="19"/>
        <v>Y</v>
      </c>
      <c r="AI269" s="4" t="s">
        <v>3622</v>
      </c>
      <c r="AJ269" s="4" t="s">
        <v>3623</v>
      </c>
      <c r="AK269" s="3" t="s">
        <v>3624</v>
      </c>
      <c r="AL269" s="3" t="s">
        <v>3625</v>
      </c>
      <c r="AM269" s="4" t="s">
        <v>62</v>
      </c>
      <c r="AP269" s="5">
        <v>1</v>
      </c>
      <c r="AT269" s="7"/>
      <c r="AU269" s="7"/>
      <c r="AV269" s="7"/>
      <c r="AW269" s="7"/>
      <c r="AX269" s="7"/>
      <c r="AY269" s="7"/>
      <c r="AZ269" s="7"/>
      <c r="BA269" s="7"/>
      <c r="BB269" s="7"/>
      <c r="BC269" s="7"/>
      <c r="BD269" s="7"/>
      <c r="BE269" s="7"/>
      <c r="BF269" s="7"/>
      <c r="BG269" s="7"/>
      <c r="BH269" s="7"/>
      <c r="BI269" s="7"/>
      <c r="BJ269" s="7"/>
      <c r="BK269" s="7"/>
      <c r="BL269" s="7"/>
      <c r="BM269" s="7"/>
      <c r="BN269" s="7"/>
      <c r="BO269" s="7"/>
      <c r="BP269" s="7"/>
      <c r="BQ269" s="7"/>
      <c r="BR269" s="7"/>
      <c r="BS269" s="7"/>
      <c r="BT269" s="7"/>
      <c r="BU269" s="7"/>
      <c r="BV269" s="7"/>
      <c r="BW269" s="7"/>
      <c r="BX269" s="7"/>
      <c r="BY269" s="7"/>
      <c r="BZ269" s="7"/>
    </row>
    <row r="270" ht="16.5" customHeight="1">
      <c r="A270" s="3" t="s">
        <v>3626</v>
      </c>
      <c r="B270" s="3" t="s">
        <v>773</v>
      </c>
      <c r="C270" s="3" t="s">
        <v>774</v>
      </c>
      <c r="D270" s="3" t="s">
        <v>593</v>
      </c>
      <c r="E270" s="4" t="s">
        <v>3627</v>
      </c>
      <c r="F270" s="3">
        <v>4368</v>
      </c>
      <c r="H270" s="5" t="str">
        <f t="shared" si="16"/>
        <v>N</v>
      </c>
      <c r="I270" s="4" t="s">
        <v>3628</v>
      </c>
      <c r="J270" s="4" t="s">
        <v>3629</v>
      </c>
      <c r="K270" s="4" t="s">
        <v>3630</v>
      </c>
      <c r="L270" s="4" t="s">
        <v>3631</v>
      </c>
      <c r="M270" s="4" t="s">
        <v>3632</v>
      </c>
      <c r="N270" s="4" t="s">
        <v>3633</v>
      </c>
      <c r="O270" s="4" t="s">
        <v>3634</v>
      </c>
      <c r="P270" s="4" t="s">
        <v>892</v>
      </c>
      <c r="Q270" s="4" t="s">
        <v>3635</v>
      </c>
      <c r="R270" s="4" t="s">
        <v>3636</v>
      </c>
      <c r="S270" s="4" t="s">
        <v>3637</v>
      </c>
      <c r="T270" s="5" t="str">
        <f t="shared" si="17"/>
        <v>Y</v>
      </c>
      <c r="W270" s="5" t="str">
        <f t="shared" si="18"/>
        <v>Y</v>
      </c>
      <c r="X270" s="4" t="s">
        <v>51</v>
      </c>
      <c r="Y270" s="4" t="s">
        <v>3638</v>
      </c>
      <c r="Z270" s="4" t="s">
        <v>3639</v>
      </c>
      <c r="AA270" s="4" t="s">
        <v>3640</v>
      </c>
      <c r="AB270" s="4" t="s">
        <v>3641</v>
      </c>
      <c r="AC270" s="5" t="s">
        <v>56</v>
      </c>
      <c r="AH270" s="5" t="str">
        <f t="shared" si="19"/>
        <v>Y</v>
      </c>
      <c r="AI270" s="4" t="s">
        <v>3642</v>
      </c>
      <c r="AJ270" s="4" t="s">
        <v>3643</v>
      </c>
      <c r="AK270" s="3" t="s">
        <v>3644</v>
      </c>
      <c r="AL270" s="3" t="s">
        <v>3645</v>
      </c>
      <c r="AM270" s="4" t="s">
        <v>62</v>
      </c>
      <c r="AP270" s="5">
        <v>1</v>
      </c>
      <c r="AT270" s="7"/>
      <c r="AU270" s="7"/>
      <c r="AV270" s="7"/>
      <c r="AW270" s="7"/>
      <c r="AX270" s="7"/>
      <c r="AY270" s="7"/>
      <c r="AZ270" s="7"/>
      <c r="BA270" s="7"/>
      <c r="BB270" s="7"/>
      <c r="BC270" s="7"/>
      <c r="BD270" s="7"/>
      <c r="BE270" s="7"/>
      <c r="BF270" s="7"/>
      <c r="BG270" s="7"/>
      <c r="BH270" s="7"/>
      <c r="BI270" s="7"/>
      <c r="BJ270" s="7"/>
      <c r="BK270" s="7"/>
      <c r="BL270" s="7"/>
      <c r="BM270" s="7"/>
      <c r="BN270" s="7"/>
      <c r="BO270" s="7"/>
      <c r="BP270" s="7"/>
      <c r="BQ270" s="7"/>
      <c r="BR270" s="7"/>
      <c r="BS270" s="7"/>
      <c r="BT270" s="7"/>
      <c r="BU270" s="7"/>
      <c r="BV270" s="7"/>
      <c r="BW270" s="7"/>
      <c r="BX270" s="7"/>
      <c r="BY270" s="7"/>
      <c r="BZ270" s="7"/>
    </row>
    <row r="271" ht="16.5" customHeight="1">
      <c r="A271" s="3" t="s">
        <v>3646</v>
      </c>
      <c r="B271" s="3" t="s">
        <v>3647</v>
      </c>
      <c r="C271" s="3" t="s">
        <v>3648</v>
      </c>
      <c r="D271" s="3" t="s">
        <v>3649</v>
      </c>
      <c r="E271" s="4" t="s">
        <v>3650</v>
      </c>
      <c r="F271" s="3">
        <v>2900</v>
      </c>
      <c r="H271" s="5" t="str">
        <f t="shared" si="16"/>
        <v>N</v>
      </c>
      <c r="I271" s="4" t="s">
        <v>3651</v>
      </c>
      <c r="J271" s="4" t="s">
        <v>405</v>
      </c>
      <c r="K271" s="4" t="s">
        <v>3652</v>
      </c>
      <c r="L271" s="4" t="s">
        <v>3653</v>
      </c>
      <c r="M271" s="4" t="s">
        <v>3654</v>
      </c>
      <c r="N271" s="4" t="s">
        <v>3655</v>
      </c>
      <c r="O271" s="4" t="s">
        <v>3656</v>
      </c>
      <c r="P271" s="4" t="s">
        <v>3657</v>
      </c>
      <c r="Q271" s="4" t="s">
        <v>3658</v>
      </c>
      <c r="R271" s="4" t="s">
        <v>3659</v>
      </c>
      <c r="S271" s="4" t="s">
        <v>3660</v>
      </c>
      <c r="T271" s="5" t="str">
        <f t="shared" si="17"/>
        <v>Y</v>
      </c>
      <c r="W271" s="5" t="str">
        <f t="shared" si="18"/>
        <v>Y</v>
      </c>
      <c r="X271" s="4" t="s">
        <v>51</v>
      </c>
      <c r="Y271" s="4" t="s">
        <v>3661</v>
      </c>
      <c r="Z271" s="4" t="s">
        <v>3662</v>
      </c>
      <c r="AA271" s="4" t="s">
        <v>3663</v>
      </c>
      <c r="AB271" s="4" t="s">
        <v>3664</v>
      </c>
      <c r="AC271" s="5" t="s">
        <v>56</v>
      </c>
      <c r="AH271" s="5" t="str">
        <f t="shared" si="19"/>
        <v>Y</v>
      </c>
      <c r="AI271" s="4" t="s">
        <v>3665</v>
      </c>
      <c r="AJ271" s="4" t="s">
        <v>3666</v>
      </c>
      <c r="AK271" s="3" t="s">
        <v>3667</v>
      </c>
      <c r="AL271" s="3" t="s">
        <v>3668</v>
      </c>
      <c r="AM271" s="4" t="s">
        <v>62</v>
      </c>
      <c r="AP271" s="5">
        <v>1</v>
      </c>
      <c r="AT271" s="7"/>
      <c r="AU271" s="7"/>
      <c r="AV271" s="7"/>
      <c r="AW271" s="7"/>
      <c r="AX271" s="7"/>
      <c r="AY271" s="7"/>
      <c r="AZ271" s="7"/>
      <c r="BA271" s="7"/>
      <c r="BB271" s="7"/>
      <c r="BC271" s="7"/>
      <c r="BD271" s="7"/>
      <c r="BE271" s="7"/>
      <c r="BF271" s="7"/>
      <c r="BG271" s="7"/>
      <c r="BH271" s="7"/>
      <c r="BI271" s="7"/>
      <c r="BJ271" s="7"/>
      <c r="BK271" s="7"/>
      <c r="BL271" s="7"/>
      <c r="BM271" s="7"/>
      <c r="BN271" s="7"/>
      <c r="BO271" s="7"/>
      <c r="BP271" s="7"/>
      <c r="BQ271" s="7"/>
      <c r="BR271" s="7"/>
      <c r="BS271" s="7"/>
      <c r="BT271" s="7"/>
      <c r="BU271" s="7"/>
      <c r="BV271" s="7"/>
      <c r="BW271" s="7"/>
      <c r="BX271" s="7"/>
      <c r="BY271" s="7"/>
      <c r="BZ271" s="7"/>
    </row>
    <row r="272" ht="16.5" customHeight="1">
      <c r="A272" s="3" t="s">
        <v>3669</v>
      </c>
      <c r="B272" s="3" t="s">
        <v>3670</v>
      </c>
      <c r="C272" s="3" t="s">
        <v>3671</v>
      </c>
      <c r="D272" s="3" t="s">
        <v>3672</v>
      </c>
      <c r="E272" s="4" t="s">
        <v>3673</v>
      </c>
      <c r="F272" s="3">
        <v>10626</v>
      </c>
      <c r="H272" s="5" t="str">
        <f t="shared" si="16"/>
        <v>N</v>
      </c>
      <c r="I272" s="4" t="s">
        <v>3674</v>
      </c>
      <c r="J272" s="4" t="s">
        <v>3675</v>
      </c>
      <c r="K272" s="4" t="s">
        <v>3676</v>
      </c>
      <c r="L272" s="4" t="s">
        <v>1264</v>
      </c>
      <c r="M272" s="4" t="s">
        <v>3677</v>
      </c>
      <c r="N272" s="4" t="s">
        <v>3678</v>
      </c>
      <c r="O272" s="4" t="s">
        <v>3679</v>
      </c>
      <c r="P272" s="4" t="s">
        <v>3680</v>
      </c>
      <c r="Q272" s="4" t="s">
        <v>3681</v>
      </c>
      <c r="R272" s="4" t="s">
        <v>3682</v>
      </c>
      <c r="S272" s="4" t="s">
        <v>3683</v>
      </c>
      <c r="T272" s="5" t="str">
        <f t="shared" si="17"/>
        <v>Y</v>
      </c>
      <c r="W272" s="5" t="str">
        <f t="shared" si="18"/>
        <v>Y</v>
      </c>
      <c r="X272" s="4" t="s">
        <v>51</v>
      </c>
      <c r="Y272" s="4" t="s">
        <v>3684</v>
      </c>
      <c r="Z272" s="4" t="s">
        <v>3685</v>
      </c>
      <c r="AA272" s="4" t="s">
        <v>3686</v>
      </c>
      <c r="AB272" s="4" t="s">
        <v>3687</v>
      </c>
      <c r="AC272" s="5" t="s">
        <v>56</v>
      </c>
      <c r="AH272" s="5" t="str">
        <f t="shared" si="19"/>
        <v>Y</v>
      </c>
      <c r="AI272" s="4" t="s">
        <v>3688</v>
      </c>
      <c r="AJ272" s="4" t="s">
        <v>3689</v>
      </c>
      <c r="AK272" s="3" t="s">
        <v>3690</v>
      </c>
      <c r="AL272" s="3" t="s">
        <v>3691</v>
      </c>
      <c r="AM272" s="4" t="s">
        <v>62</v>
      </c>
      <c r="AP272" s="5">
        <v>1</v>
      </c>
      <c r="AT272" s="7"/>
      <c r="AU272" s="7"/>
      <c r="AV272" s="7"/>
      <c r="AW272" s="7"/>
      <c r="AX272" s="7"/>
      <c r="AY272" s="7"/>
      <c r="AZ272" s="7"/>
      <c r="BA272" s="7"/>
      <c r="BB272" s="7"/>
      <c r="BC272" s="7"/>
      <c r="BD272" s="7"/>
      <c r="BE272" s="7"/>
      <c r="BF272" s="7"/>
      <c r="BG272" s="7"/>
      <c r="BH272" s="7"/>
      <c r="BI272" s="7"/>
      <c r="BJ272" s="7"/>
      <c r="BK272" s="7"/>
      <c r="BL272" s="7"/>
      <c r="BM272" s="7"/>
      <c r="BN272" s="7"/>
      <c r="BO272" s="7"/>
      <c r="BP272" s="7"/>
      <c r="BQ272" s="7"/>
      <c r="BR272" s="7"/>
      <c r="BS272" s="7"/>
      <c r="BT272" s="7"/>
      <c r="BU272" s="7"/>
      <c r="BV272" s="7"/>
      <c r="BW272" s="7"/>
      <c r="BX272" s="7"/>
      <c r="BY272" s="7"/>
      <c r="BZ272" s="7"/>
    </row>
    <row r="273" ht="16.5" customHeight="1">
      <c r="A273" s="3" t="s">
        <v>3692</v>
      </c>
      <c r="B273" s="3" t="s">
        <v>3693</v>
      </c>
      <c r="C273" s="3" t="s">
        <v>3694</v>
      </c>
      <c r="D273" s="3" t="s">
        <v>1177</v>
      </c>
      <c r="E273" s="4" t="s">
        <v>793</v>
      </c>
      <c r="F273" s="3">
        <v>2806</v>
      </c>
      <c r="H273" s="5" t="str">
        <f t="shared" si="16"/>
        <v>N</v>
      </c>
      <c r="I273" s="4" t="s">
        <v>3695</v>
      </c>
      <c r="J273" s="4" t="s">
        <v>3696</v>
      </c>
      <c r="K273" s="4" t="s">
        <v>3697</v>
      </c>
      <c r="L273" s="4" t="s">
        <v>1264</v>
      </c>
      <c r="M273" s="4" t="s">
        <v>3698</v>
      </c>
      <c r="N273" s="4" t="s">
        <v>241</v>
      </c>
      <c r="O273" s="4" t="s">
        <v>3699</v>
      </c>
      <c r="P273" s="4" t="s">
        <v>263</v>
      </c>
      <c r="Q273" s="4" t="s">
        <v>3700</v>
      </c>
      <c r="R273" s="4" t="s">
        <v>3701</v>
      </c>
      <c r="S273" s="4" t="s">
        <v>3702</v>
      </c>
      <c r="T273" s="5" t="str">
        <f t="shared" si="17"/>
        <v>Y</v>
      </c>
      <c r="W273" s="5" t="str">
        <f t="shared" si="18"/>
        <v>Y</v>
      </c>
      <c r="X273" s="4" t="s">
        <v>51</v>
      </c>
      <c r="Y273" s="4" t="s">
        <v>3703</v>
      </c>
      <c r="Z273" s="4" t="s">
        <v>3704</v>
      </c>
      <c r="AA273" s="4" t="s">
        <v>3705</v>
      </c>
      <c r="AB273" s="4" t="s">
        <v>3706</v>
      </c>
      <c r="AC273" s="5" t="s">
        <v>56</v>
      </c>
      <c r="AH273" s="5" t="str">
        <f t="shared" si="19"/>
        <v>Y</v>
      </c>
      <c r="AI273" s="4" t="s">
        <v>3707</v>
      </c>
      <c r="AJ273" s="4" t="s">
        <v>3708</v>
      </c>
      <c r="AK273" s="3" t="s">
        <v>3709</v>
      </c>
      <c r="AL273" s="3" t="s">
        <v>3710</v>
      </c>
      <c r="AM273" s="4" t="s">
        <v>62</v>
      </c>
      <c r="AP273" s="5">
        <v>1</v>
      </c>
      <c r="AT273" s="7"/>
      <c r="AU273" s="7"/>
      <c r="AV273" s="7"/>
      <c r="AW273" s="7"/>
      <c r="AX273" s="7"/>
      <c r="AY273" s="7"/>
      <c r="AZ273" s="7"/>
      <c r="BA273" s="7"/>
      <c r="BB273" s="7"/>
      <c r="BC273" s="7"/>
      <c r="BD273" s="7"/>
      <c r="BE273" s="7"/>
      <c r="BF273" s="7"/>
      <c r="BG273" s="7"/>
      <c r="BH273" s="7"/>
      <c r="BI273" s="7"/>
      <c r="BJ273" s="7"/>
      <c r="BK273" s="7"/>
      <c r="BL273" s="7"/>
      <c r="BM273" s="7"/>
      <c r="BN273" s="7"/>
      <c r="BO273" s="7"/>
      <c r="BP273" s="7"/>
      <c r="BQ273" s="7"/>
      <c r="BR273" s="7"/>
      <c r="BS273" s="7"/>
      <c r="BT273" s="7"/>
      <c r="BU273" s="7"/>
      <c r="BV273" s="7"/>
      <c r="BW273" s="7"/>
      <c r="BX273" s="7"/>
      <c r="BY273" s="7"/>
      <c r="BZ273" s="7"/>
    </row>
    <row r="274" ht="16.5" customHeight="1">
      <c r="A274" s="3" t="s">
        <v>3711</v>
      </c>
      <c r="B274" s="3" t="s">
        <v>3712</v>
      </c>
      <c r="C274" s="3" t="s">
        <v>3711</v>
      </c>
      <c r="D274" s="3" t="s">
        <v>1177</v>
      </c>
      <c r="E274" s="4" t="s">
        <v>1409</v>
      </c>
      <c r="F274" s="3">
        <v>4557</v>
      </c>
      <c r="H274" s="5" t="str">
        <f t="shared" si="16"/>
        <v>N</v>
      </c>
      <c r="I274" s="4" t="s">
        <v>3713</v>
      </c>
      <c r="J274" s="4" t="s">
        <v>3083</v>
      </c>
      <c r="K274" s="4" t="s">
        <v>3714</v>
      </c>
      <c r="L274" s="4" t="s">
        <v>3715</v>
      </c>
      <c r="M274" s="4" t="s">
        <v>3716</v>
      </c>
      <c r="N274" s="4" t="s">
        <v>241</v>
      </c>
      <c r="O274" s="4" t="s">
        <v>3717</v>
      </c>
      <c r="P274" s="4" t="s">
        <v>1264</v>
      </c>
      <c r="Q274" s="4" t="s">
        <v>3718</v>
      </c>
      <c r="R274" s="4" t="s">
        <v>3719</v>
      </c>
      <c r="S274" s="4" t="s">
        <v>3720</v>
      </c>
      <c r="T274" s="5" t="str">
        <f t="shared" si="17"/>
        <v>Y</v>
      </c>
      <c r="W274" s="5" t="str">
        <f t="shared" si="18"/>
        <v>Y</v>
      </c>
      <c r="X274" s="4" t="s">
        <v>51</v>
      </c>
      <c r="Y274" s="4" t="s">
        <v>3721</v>
      </c>
      <c r="Z274" s="4" t="s">
        <v>3722</v>
      </c>
      <c r="AA274" s="4" t="s">
        <v>3723</v>
      </c>
      <c r="AB274" s="4" t="s">
        <v>3724</v>
      </c>
      <c r="AC274" s="5" t="s">
        <v>56</v>
      </c>
      <c r="AH274" s="5" t="str">
        <f t="shared" si="19"/>
        <v>Y</v>
      </c>
      <c r="AI274" s="4" t="s">
        <v>3725</v>
      </c>
      <c r="AJ274" s="4" t="s">
        <v>3726</v>
      </c>
      <c r="AK274" s="3" t="s">
        <v>3727</v>
      </c>
      <c r="AL274" s="3" t="s">
        <v>3728</v>
      </c>
      <c r="AM274" s="4" t="s">
        <v>62</v>
      </c>
      <c r="AP274" s="5">
        <v>1</v>
      </c>
      <c r="AT274" s="7"/>
      <c r="AU274" s="7"/>
      <c r="AV274" s="7"/>
      <c r="AW274" s="7"/>
      <c r="AX274" s="7"/>
      <c r="AY274" s="7"/>
      <c r="AZ274" s="7"/>
      <c r="BA274" s="7"/>
      <c r="BB274" s="7"/>
      <c r="BC274" s="7"/>
      <c r="BD274" s="7"/>
      <c r="BE274" s="7"/>
      <c r="BF274" s="7"/>
      <c r="BG274" s="7"/>
      <c r="BH274" s="7"/>
      <c r="BI274" s="7"/>
      <c r="BJ274" s="7"/>
      <c r="BK274" s="7"/>
      <c r="BL274" s="7"/>
      <c r="BM274" s="7"/>
      <c r="BN274" s="7"/>
      <c r="BO274" s="7"/>
      <c r="BP274" s="7"/>
      <c r="BQ274" s="7"/>
      <c r="BR274" s="7"/>
      <c r="BS274" s="7"/>
      <c r="BT274" s="7"/>
      <c r="BU274" s="7"/>
      <c r="BV274" s="7"/>
      <c r="BW274" s="7"/>
      <c r="BX274" s="7"/>
      <c r="BY274" s="7"/>
      <c r="BZ274" s="7"/>
    </row>
    <row r="275" ht="16.5" customHeight="1">
      <c r="A275" s="3" t="s">
        <v>3729</v>
      </c>
      <c r="B275" s="3" t="s">
        <v>3730</v>
      </c>
      <c r="C275" s="3" t="s">
        <v>3731</v>
      </c>
      <c r="D275" s="3" t="s">
        <v>1177</v>
      </c>
      <c r="E275" s="4" t="s">
        <v>793</v>
      </c>
      <c r="F275" s="3">
        <v>2816</v>
      </c>
      <c r="H275" s="5" t="str">
        <f t="shared" si="16"/>
        <v>N</v>
      </c>
      <c r="I275" s="4" t="s">
        <v>3732</v>
      </c>
      <c r="J275" s="4" t="s">
        <v>3083</v>
      </c>
      <c r="K275" s="4" t="s">
        <v>3733</v>
      </c>
      <c r="L275" s="4" t="s">
        <v>1264</v>
      </c>
      <c r="M275" s="4" t="s">
        <v>3734</v>
      </c>
      <c r="N275" s="4" t="s">
        <v>3062</v>
      </c>
      <c r="O275" s="4" t="s">
        <v>3735</v>
      </c>
      <c r="P275" s="4" t="s">
        <v>892</v>
      </c>
      <c r="Q275" s="4" t="s">
        <v>3736</v>
      </c>
      <c r="R275" s="4" t="s">
        <v>3737</v>
      </c>
      <c r="S275" s="4" t="s">
        <v>3702</v>
      </c>
      <c r="T275" s="5" t="str">
        <f t="shared" si="17"/>
        <v>Y</v>
      </c>
      <c r="W275" s="5" t="str">
        <f t="shared" si="18"/>
        <v>Y</v>
      </c>
      <c r="X275" s="4" t="s">
        <v>51</v>
      </c>
      <c r="Y275" s="4" t="s">
        <v>3738</v>
      </c>
      <c r="Z275" s="4" t="s">
        <v>3739</v>
      </c>
      <c r="AA275" s="4" t="s">
        <v>3740</v>
      </c>
      <c r="AB275" s="4" t="s">
        <v>3741</v>
      </c>
      <c r="AC275" s="5" t="s">
        <v>56</v>
      </c>
      <c r="AH275" s="5" t="str">
        <f t="shared" si="19"/>
        <v>Y</v>
      </c>
      <c r="AI275" s="4" t="s">
        <v>3742</v>
      </c>
      <c r="AJ275" s="4" t="s">
        <v>3743</v>
      </c>
      <c r="AK275" s="3" t="s">
        <v>3744</v>
      </c>
      <c r="AL275" s="3" t="s">
        <v>3745</v>
      </c>
      <c r="AM275" s="4" t="s">
        <v>62</v>
      </c>
      <c r="AP275" s="5">
        <v>1</v>
      </c>
      <c r="AT275" s="7"/>
      <c r="AU275" s="7"/>
      <c r="AV275" s="7"/>
      <c r="AW275" s="7"/>
      <c r="AX275" s="7"/>
      <c r="AY275" s="7"/>
      <c r="AZ275" s="7"/>
      <c r="BA275" s="7"/>
      <c r="BB275" s="7"/>
      <c r="BC275" s="7"/>
      <c r="BD275" s="7"/>
      <c r="BE275" s="7"/>
      <c r="BF275" s="7"/>
      <c r="BG275" s="7"/>
      <c r="BH275" s="7"/>
      <c r="BI275" s="7"/>
      <c r="BJ275" s="7"/>
      <c r="BK275" s="7"/>
      <c r="BL275" s="7"/>
      <c r="BM275" s="7"/>
      <c r="BN275" s="7"/>
      <c r="BO275" s="7"/>
      <c r="BP275" s="7"/>
      <c r="BQ275" s="7"/>
      <c r="BR275" s="7"/>
      <c r="BS275" s="7"/>
      <c r="BT275" s="7"/>
      <c r="BU275" s="7"/>
      <c r="BV275" s="7"/>
      <c r="BW275" s="7"/>
      <c r="BX275" s="7"/>
      <c r="BY275" s="7"/>
      <c r="BZ275" s="7"/>
    </row>
    <row r="276" ht="16.5" customHeight="1">
      <c r="A276" s="3" t="s">
        <v>3746</v>
      </c>
      <c r="B276" s="3" t="s">
        <v>3747</v>
      </c>
      <c r="C276" s="3" t="s">
        <v>3748</v>
      </c>
      <c r="D276" s="3" t="s">
        <v>1177</v>
      </c>
      <c r="E276" s="4" t="s">
        <v>793</v>
      </c>
      <c r="F276" s="3">
        <v>2818</v>
      </c>
      <c r="H276" s="5" t="str">
        <f t="shared" si="16"/>
        <v>N</v>
      </c>
      <c r="I276" s="4" t="s">
        <v>3749</v>
      </c>
      <c r="J276" s="4" t="s">
        <v>3083</v>
      </c>
      <c r="K276" s="4" t="s">
        <v>3750</v>
      </c>
      <c r="L276" s="4" t="s">
        <v>1264</v>
      </c>
      <c r="M276" s="4" t="s">
        <v>3751</v>
      </c>
      <c r="N276" s="4" t="s">
        <v>241</v>
      </c>
      <c r="O276" s="4" t="s">
        <v>3752</v>
      </c>
      <c r="P276" s="4" t="s">
        <v>596</v>
      </c>
      <c r="Q276" s="4" t="s">
        <v>3753</v>
      </c>
      <c r="R276" s="4" t="s">
        <v>3754</v>
      </c>
      <c r="S276" s="4" t="s">
        <v>3755</v>
      </c>
      <c r="T276" s="5" t="str">
        <f t="shared" si="17"/>
        <v>Y</v>
      </c>
      <c r="W276" s="5" t="str">
        <f t="shared" si="18"/>
        <v>Y</v>
      </c>
      <c r="X276" s="4" t="s">
        <v>51</v>
      </c>
      <c r="Y276" s="4" t="s">
        <v>3756</v>
      </c>
      <c r="Z276" s="4" t="s">
        <v>3757</v>
      </c>
      <c r="AA276" s="4" t="s">
        <v>3758</v>
      </c>
      <c r="AB276" s="4" t="s">
        <v>3759</v>
      </c>
      <c r="AC276" s="5" t="s">
        <v>56</v>
      </c>
      <c r="AH276" s="5" t="str">
        <f t="shared" si="19"/>
        <v>Y</v>
      </c>
      <c r="AI276" s="4" t="s">
        <v>3760</v>
      </c>
      <c r="AJ276" s="4" t="s">
        <v>3761</v>
      </c>
      <c r="AK276" s="3" t="s">
        <v>3762</v>
      </c>
      <c r="AL276" s="3" t="s">
        <v>3763</v>
      </c>
      <c r="AM276" s="4" t="s">
        <v>62</v>
      </c>
      <c r="AP276" s="5">
        <v>1</v>
      </c>
      <c r="AT276" s="7"/>
      <c r="AU276" s="7"/>
      <c r="AV276" s="7"/>
      <c r="AW276" s="7"/>
      <c r="AX276" s="7"/>
      <c r="AY276" s="7"/>
      <c r="AZ276" s="7"/>
      <c r="BA276" s="7"/>
      <c r="BB276" s="7"/>
      <c r="BC276" s="7"/>
      <c r="BD276" s="7"/>
      <c r="BE276" s="7"/>
      <c r="BF276" s="7"/>
      <c r="BG276" s="7"/>
      <c r="BH276" s="7"/>
      <c r="BI276" s="7"/>
      <c r="BJ276" s="7"/>
      <c r="BK276" s="7"/>
      <c r="BL276" s="7"/>
      <c r="BM276" s="7"/>
      <c r="BN276" s="7"/>
      <c r="BO276" s="7"/>
      <c r="BP276" s="7"/>
      <c r="BQ276" s="7"/>
      <c r="BR276" s="7"/>
      <c r="BS276" s="7"/>
      <c r="BT276" s="7"/>
      <c r="BU276" s="7"/>
      <c r="BV276" s="7"/>
      <c r="BW276" s="7"/>
      <c r="BX276" s="7"/>
      <c r="BY276" s="7"/>
      <c r="BZ276" s="7"/>
    </row>
    <row r="277" ht="16.5" customHeight="1">
      <c r="A277" s="3" t="s">
        <v>3764</v>
      </c>
      <c r="B277" s="3" t="s">
        <v>3765</v>
      </c>
      <c r="C277" s="3" t="s">
        <v>3766</v>
      </c>
      <c r="D277" s="3" t="s">
        <v>1177</v>
      </c>
      <c r="E277" s="4" t="s">
        <v>793</v>
      </c>
      <c r="F277" s="3">
        <v>2108</v>
      </c>
      <c r="H277" s="5" t="str">
        <f t="shared" si="16"/>
        <v>N</v>
      </c>
      <c r="I277" s="4" t="s">
        <v>3767</v>
      </c>
      <c r="J277" s="4" t="s">
        <v>3083</v>
      </c>
      <c r="K277" s="4" t="s">
        <v>3768</v>
      </c>
      <c r="L277" s="4" t="s">
        <v>1264</v>
      </c>
      <c r="M277" s="4" t="s">
        <v>3769</v>
      </c>
      <c r="N277" s="4" t="s">
        <v>3062</v>
      </c>
      <c r="O277" s="4" t="s">
        <v>3770</v>
      </c>
      <c r="P277" s="4" t="s">
        <v>3771</v>
      </c>
      <c r="Q277" s="4" t="s">
        <v>3772</v>
      </c>
      <c r="R277" s="4" t="s">
        <v>3773</v>
      </c>
      <c r="S277" s="4" t="s">
        <v>3702</v>
      </c>
      <c r="T277" s="5" t="str">
        <f t="shared" si="17"/>
        <v>Y</v>
      </c>
      <c r="W277" s="5" t="str">
        <f t="shared" si="18"/>
        <v>Y</v>
      </c>
      <c r="X277" s="4" t="s">
        <v>51</v>
      </c>
      <c r="Y277" s="4" t="s">
        <v>3774</v>
      </c>
      <c r="Z277" s="4" t="s">
        <v>3775</v>
      </c>
      <c r="AA277" s="4" t="s">
        <v>3776</v>
      </c>
      <c r="AB277" s="4" t="s">
        <v>3777</v>
      </c>
      <c r="AC277" s="5" t="s">
        <v>56</v>
      </c>
      <c r="AH277" s="5" t="str">
        <f t="shared" si="19"/>
        <v>Y</v>
      </c>
      <c r="AI277" s="4" t="s">
        <v>3778</v>
      </c>
      <c r="AJ277" s="4" t="s">
        <v>3779</v>
      </c>
      <c r="AK277" s="3" t="s">
        <v>3780</v>
      </c>
      <c r="AL277" s="3" t="s">
        <v>3781</v>
      </c>
      <c r="AM277" s="4" t="s">
        <v>62</v>
      </c>
      <c r="AP277" s="5">
        <v>1</v>
      </c>
      <c r="AT277" s="7"/>
      <c r="AU277" s="7"/>
      <c r="AV277" s="7"/>
      <c r="AW277" s="7"/>
      <c r="AX277" s="7"/>
      <c r="AY277" s="7"/>
      <c r="AZ277" s="7"/>
      <c r="BA277" s="7"/>
      <c r="BB277" s="7"/>
      <c r="BC277" s="7"/>
      <c r="BD277" s="7"/>
      <c r="BE277" s="7"/>
      <c r="BF277" s="7"/>
      <c r="BG277" s="7"/>
      <c r="BH277" s="7"/>
      <c r="BI277" s="7"/>
      <c r="BJ277" s="7"/>
      <c r="BK277" s="7"/>
      <c r="BL277" s="7"/>
      <c r="BM277" s="7"/>
      <c r="BN277" s="7"/>
      <c r="BO277" s="7"/>
      <c r="BP277" s="7"/>
      <c r="BQ277" s="7"/>
      <c r="BR277" s="7"/>
      <c r="BS277" s="7"/>
      <c r="BT277" s="7"/>
      <c r="BU277" s="7"/>
      <c r="BV277" s="7"/>
      <c r="BW277" s="7"/>
      <c r="BX277" s="7"/>
      <c r="BY277" s="7"/>
      <c r="BZ277" s="7"/>
    </row>
    <row r="278" ht="16.5" customHeight="1">
      <c r="A278" s="3" t="s">
        <v>3782</v>
      </c>
      <c r="B278" s="3" t="s">
        <v>3783</v>
      </c>
      <c r="C278" s="3" t="s">
        <v>3782</v>
      </c>
      <c r="D278" s="3" t="s">
        <v>1177</v>
      </c>
      <c r="E278" s="4" t="s">
        <v>793</v>
      </c>
      <c r="F278" s="3">
        <v>2815</v>
      </c>
      <c r="H278" s="5" t="str">
        <f t="shared" si="16"/>
        <v>N</v>
      </c>
      <c r="I278" s="4" t="s">
        <v>3784</v>
      </c>
      <c r="J278" s="4" t="s">
        <v>3083</v>
      </c>
      <c r="K278" s="4" t="s">
        <v>3785</v>
      </c>
      <c r="L278" s="4" t="s">
        <v>1264</v>
      </c>
      <c r="M278" s="4" t="s">
        <v>3786</v>
      </c>
      <c r="N278" s="4" t="s">
        <v>241</v>
      </c>
      <c r="O278" s="4" t="s">
        <v>3787</v>
      </c>
      <c r="P278" s="4" t="s">
        <v>263</v>
      </c>
      <c r="Q278" s="4" t="s">
        <v>3788</v>
      </c>
      <c r="R278" s="4" t="s">
        <v>3789</v>
      </c>
      <c r="S278" s="4" t="s">
        <v>3790</v>
      </c>
      <c r="T278" s="5" t="str">
        <f t="shared" si="17"/>
        <v>Y</v>
      </c>
      <c r="W278" s="5" t="str">
        <f t="shared" si="18"/>
        <v>Y</v>
      </c>
      <c r="X278" s="4" t="s">
        <v>51</v>
      </c>
      <c r="Y278" s="4" t="s">
        <v>3791</v>
      </c>
      <c r="Z278" s="4" t="s">
        <v>3792</v>
      </c>
      <c r="AA278" s="4" t="s">
        <v>3793</v>
      </c>
      <c r="AB278" s="4" t="s">
        <v>3794</v>
      </c>
      <c r="AC278" s="5" t="s">
        <v>56</v>
      </c>
      <c r="AH278" s="5" t="str">
        <f t="shared" si="19"/>
        <v>Y</v>
      </c>
      <c r="AI278" s="4" t="s">
        <v>3795</v>
      </c>
      <c r="AJ278" s="4" t="s">
        <v>3796</v>
      </c>
      <c r="AK278" s="3" t="s">
        <v>3797</v>
      </c>
      <c r="AL278" s="3" t="s">
        <v>3798</v>
      </c>
      <c r="AM278" s="4" t="s">
        <v>62</v>
      </c>
      <c r="AP278" s="5">
        <v>1</v>
      </c>
      <c r="AT278" s="7"/>
      <c r="AU278" s="7"/>
      <c r="AV278" s="7"/>
      <c r="AW278" s="7"/>
      <c r="AX278" s="7"/>
      <c r="AY278" s="7"/>
      <c r="AZ278" s="7"/>
      <c r="BA278" s="7"/>
      <c r="BB278" s="7"/>
      <c r="BC278" s="7"/>
      <c r="BD278" s="7"/>
      <c r="BE278" s="7"/>
      <c r="BF278" s="7"/>
      <c r="BG278" s="7"/>
      <c r="BH278" s="7"/>
      <c r="BI278" s="7"/>
      <c r="BJ278" s="7"/>
      <c r="BK278" s="7"/>
      <c r="BL278" s="7"/>
      <c r="BM278" s="7"/>
      <c r="BN278" s="7"/>
      <c r="BO278" s="7"/>
      <c r="BP278" s="7"/>
      <c r="BQ278" s="7"/>
      <c r="BR278" s="7"/>
      <c r="BS278" s="7"/>
      <c r="BT278" s="7"/>
      <c r="BU278" s="7"/>
      <c r="BV278" s="7"/>
      <c r="BW278" s="7"/>
      <c r="BX278" s="7"/>
      <c r="BY278" s="7"/>
      <c r="BZ278" s="7"/>
    </row>
    <row r="279" ht="16.5" customHeight="1">
      <c r="A279" s="3" t="s">
        <v>3799</v>
      </c>
      <c r="B279" s="3" t="s">
        <v>3800</v>
      </c>
      <c r="C279" s="3" t="s">
        <v>3799</v>
      </c>
      <c r="D279" s="3" t="s">
        <v>1177</v>
      </c>
      <c r="E279" s="4" t="s">
        <v>513</v>
      </c>
      <c r="F279" s="3">
        <v>2494</v>
      </c>
      <c r="H279" s="5" t="str">
        <f t="shared" si="16"/>
        <v>N</v>
      </c>
      <c r="I279" s="4" t="s">
        <v>3801</v>
      </c>
      <c r="J279" s="4" t="s">
        <v>3083</v>
      </c>
      <c r="K279" s="4" t="s">
        <v>3802</v>
      </c>
      <c r="L279" s="4" t="s">
        <v>1264</v>
      </c>
      <c r="M279" s="4" t="s">
        <v>3803</v>
      </c>
      <c r="N279" s="4" t="s">
        <v>241</v>
      </c>
      <c r="O279" s="4" t="s">
        <v>3804</v>
      </c>
      <c r="P279" s="4" t="s">
        <v>596</v>
      </c>
      <c r="Q279" s="4" t="s">
        <v>3805</v>
      </c>
      <c r="R279" s="4" t="s">
        <v>3806</v>
      </c>
      <c r="S279" s="4" t="s">
        <v>3790</v>
      </c>
      <c r="T279" s="5" t="str">
        <f t="shared" si="17"/>
        <v>Y</v>
      </c>
      <c r="W279" s="5" t="str">
        <f t="shared" si="18"/>
        <v>Y</v>
      </c>
      <c r="X279" s="4" t="s">
        <v>51</v>
      </c>
      <c r="Y279" s="4" t="s">
        <v>3807</v>
      </c>
      <c r="Z279" s="4" t="s">
        <v>3808</v>
      </c>
      <c r="AA279" s="4" t="s">
        <v>3809</v>
      </c>
      <c r="AB279" s="4" t="s">
        <v>3810</v>
      </c>
      <c r="AC279" s="5" t="s">
        <v>56</v>
      </c>
      <c r="AH279" s="5" t="str">
        <f t="shared" si="19"/>
        <v>Y</v>
      </c>
      <c r="AI279" s="4" t="s">
        <v>3811</v>
      </c>
      <c r="AJ279" s="4" t="s">
        <v>3812</v>
      </c>
      <c r="AK279" s="3" t="s">
        <v>3813</v>
      </c>
      <c r="AL279" s="3" t="s">
        <v>3814</v>
      </c>
      <c r="AM279" s="4" t="s">
        <v>62</v>
      </c>
      <c r="AP279" s="5">
        <v>1</v>
      </c>
      <c r="AT279" s="7"/>
      <c r="AU279" s="7"/>
      <c r="AV279" s="7"/>
      <c r="AW279" s="7"/>
      <c r="AX279" s="7"/>
      <c r="AY279" s="7"/>
      <c r="AZ279" s="7"/>
      <c r="BA279" s="7"/>
      <c r="BB279" s="7"/>
      <c r="BC279" s="7"/>
      <c r="BD279" s="7"/>
      <c r="BE279" s="7"/>
      <c r="BF279" s="7"/>
      <c r="BG279" s="7"/>
      <c r="BH279" s="7"/>
      <c r="BI279" s="7"/>
      <c r="BJ279" s="7"/>
      <c r="BK279" s="7"/>
      <c r="BL279" s="7"/>
      <c r="BM279" s="7"/>
      <c r="BN279" s="7"/>
      <c r="BO279" s="7"/>
      <c r="BP279" s="7"/>
      <c r="BQ279" s="7"/>
      <c r="BR279" s="7"/>
      <c r="BS279" s="7"/>
      <c r="BT279" s="7"/>
      <c r="BU279" s="7"/>
      <c r="BV279" s="7"/>
      <c r="BW279" s="7"/>
      <c r="BX279" s="7"/>
      <c r="BY279" s="7"/>
      <c r="BZ279" s="7"/>
    </row>
    <row r="280" ht="16.5" customHeight="1">
      <c r="A280" s="3" t="s">
        <v>3815</v>
      </c>
      <c r="B280" s="3" t="s">
        <v>3816</v>
      </c>
      <c r="C280" s="3" t="s">
        <v>3815</v>
      </c>
      <c r="D280" s="3" t="s">
        <v>1177</v>
      </c>
      <c r="E280" s="4" t="s">
        <v>513</v>
      </c>
      <c r="F280" s="3">
        <v>2797</v>
      </c>
      <c r="H280" s="5" t="str">
        <f t="shared" si="16"/>
        <v>N</v>
      </c>
      <c r="I280" s="4" t="s">
        <v>3817</v>
      </c>
      <c r="J280" s="4" t="s">
        <v>3083</v>
      </c>
      <c r="K280" s="4" t="s">
        <v>3818</v>
      </c>
      <c r="L280" s="4" t="s">
        <v>1264</v>
      </c>
      <c r="M280" s="4" t="s">
        <v>3819</v>
      </c>
      <c r="N280" s="4" t="s">
        <v>241</v>
      </c>
      <c r="O280" s="4" t="s">
        <v>3820</v>
      </c>
      <c r="P280" s="4" t="s">
        <v>596</v>
      </c>
      <c r="Q280" s="4" t="s">
        <v>3821</v>
      </c>
      <c r="R280" s="4" t="s">
        <v>3822</v>
      </c>
      <c r="S280" s="4" t="s">
        <v>3790</v>
      </c>
      <c r="T280" s="5" t="str">
        <f t="shared" si="17"/>
        <v>Y</v>
      </c>
      <c r="W280" s="5" t="str">
        <f t="shared" si="18"/>
        <v>Y</v>
      </c>
      <c r="X280" s="4" t="s">
        <v>51</v>
      </c>
      <c r="Y280" s="4" t="s">
        <v>3823</v>
      </c>
      <c r="Z280" s="4" t="s">
        <v>3824</v>
      </c>
      <c r="AA280" s="4" t="s">
        <v>3825</v>
      </c>
      <c r="AB280" s="4" t="s">
        <v>3826</v>
      </c>
      <c r="AC280" s="5" t="s">
        <v>56</v>
      </c>
      <c r="AH280" s="5" t="str">
        <f t="shared" si="19"/>
        <v>Y</v>
      </c>
      <c r="AI280" s="4" t="s">
        <v>3827</v>
      </c>
      <c r="AJ280" s="4" t="s">
        <v>3828</v>
      </c>
      <c r="AK280" s="3" t="s">
        <v>3829</v>
      </c>
      <c r="AL280" s="3" t="s">
        <v>3830</v>
      </c>
      <c r="AM280" s="4" t="s">
        <v>62</v>
      </c>
      <c r="AP280" s="5">
        <v>1</v>
      </c>
      <c r="AT280" s="7"/>
      <c r="AU280" s="7"/>
      <c r="AV280" s="7"/>
      <c r="AW280" s="7"/>
      <c r="AX280" s="7"/>
      <c r="AY280" s="7"/>
      <c r="AZ280" s="7"/>
      <c r="BA280" s="7"/>
      <c r="BB280" s="7"/>
      <c r="BC280" s="7"/>
      <c r="BD280" s="7"/>
      <c r="BE280" s="7"/>
      <c r="BF280" s="7"/>
      <c r="BG280" s="7"/>
      <c r="BH280" s="7"/>
      <c r="BI280" s="7"/>
      <c r="BJ280" s="7"/>
      <c r="BK280" s="7"/>
      <c r="BL280" s="7"/>
      <c r="BM280" s="7"/>
      <c r="BN280" s="7"/>
      <c r="BO280" s="7"/>
      <c r="BP280" s="7"/>
      <c r="BQ280" s="7"/>
      <c r="BR280" s="7"/>
      <c r="BS280" s="7"/>
      <c r="BT280" s="7"/>
      <c r="BU280" s="7"/>
      <c r="BV280" s="7"/>
      <c r="BW280" s="7"/>
      <c r="BX280" s="7"/>
      <c r="BY280" s="7"/>
      <c r="BZ280" s="7"/>
    </row>
    <row r="281" ht="16.5" customHeight="1">
      <c r="A281" s="3" t="s">
        <v>3831</v>
      </c>
      <c r="B281" s="3" t="s">
        <v>3832</v>
      </c>
      <c r="C281" s="3" t="s">
        <v>3833</v>
      </c>
      <c r="D281" s="3" t="s">
        <v>1177</v>
      </c>
      <c r="E281" s="4" t="s">
        <v>793</v>
      </c>
      <c r="F281" s="3">
        <v>4862</v>
      </c>
      <c r="H281" s="5" t="str">
        <f t="shared" si="16"/>
        <v>N</v>
      </c>
      <c r="I281" s="4" t="s">
        <v>3834</v>
      </c>
      <c r="J281" s="4" t="s">
        <v>3083</v>
      </c>
      <c r="K281" s="4" t="s">
        <v>3835</v>
      </c>
      <c r="L281" s="4" t="s">
        <v>1264</v>
      </c>
      <c r="M281" s="4" t="s">
        <v>3836</v>
      </c>
      <c r="N281" s="4" t="s">
        <v>241</v>
      </c>
      <c r="O281" s="4" t="s">
        <v>3837</v>
      </c>
      <c r="P281" s="4" t="s">
        <v>3838</v>
      </c>
      <c r="Q281" s="4" t="s">
        <v>3839</v>
      </c>
      <c r="R281" s="4" t="s">
        <v>3840</v>
      </c>
      <c r="S281" s="4" t="s">
        <v>3841</v>
      </c>
      <c r="T281" s="5" t="str">
        <f t="shared" si="17"/>
        <v>Y</v>
      </c>
      <c r="W281" s="5" t="str">
        <f t="shared" si="18"/>
        <v>Y</v>
      </c>
      <c r="X281" s="4" t="s">
        <v>51</v>
      </c>
      <c r="Y281" s="4" t="s">
        <v>3842</v>
      </c>
      <c r="Z281" s="4" t="s">
        <v>3843</v>
      </c>
      <c r="AA281" s="4" t="s">
        <v>3844</v>
      </c>
      <c r="AB281" s="4" t="s">
        <v>3845</v>
      </c>
      <c r="AC281" s="5" t="s">
        <v>56</v>
      </c>
      <c r="AH281" s="5" t="str">
        <f t="shared" si="19"/>
        <v>Y</v>
      </c>
      <c r="AI281" s="4" t="s">
        <v>3846</v>
      </c>
      <c r="AJ281" s="4" t="s">
        <v>3847</v>
      </c>
      <c r="AK281" s="3" t="s">
        <v>3848</v>
      </c>
      <c r="AL281" s="3" t="s">
        <v>3849</v>
      </c>
      <c r="AM281" s="4" t="s">
        <v>62</v>
      </c>
      <c r="AP281" s="5">
        <v>1</v>
      </c>
      <c r="AT281" s="7"/>
      <c r="AU281" s="7"/>
      <c r="AV281" s="7"/>
      <c r="AW281" s="7"/>
      <c r="AX281" s="7"/>
      <c r="AY281" s="7"/>
      <c r="AZ281" s="7"/>
      <c r="BA281" s="7"/>
      <c r="BB281" s="7"/>
      <c r="BC281" s="7"/>
      <c r="BD281" s="7"/>
      <c r="BE281" s="7"/>
      <c r="BF281" s="7"/>
      <c r="BG281" s="7"/>
      <c r="BH281" s="7"/>
      <c r="BI281" s="7"/>
      <c r="BJ281" s="7"/>
      <c r="BK281" s="7"/>
      <c r="BL281" s="7"/>
      <c r="BM281" s="7"/>
      <c r="BN281" s="7"/>
      <c r="BO281" s="7"/>
      <c r="BP281" s="7"/>
      <c r="BQ281" s="7"/>
      <c r="BR281" s="7"/>
      <c r="BS281" s="7"/>
      <c r="BT281" s="7"/>
      <c r="BU281" s="7"/>
      <c r="BV281" s="7"/>
      <c r="BW281" s="7"/>
      <c r="BX281" s="7"/>
      <c r="BY281" s="7"/>
      <c r="BZ281" s="7"/>
    </row>
    <row r="282" ht="16.5" customHeight="1">
      <c r="A282" s="3" t="s">
        <v>3850</v>
      </c>
      <c r="B282" s="3" t="s">
        <v>3851</v>
      </c>
      <c r="C282" s="3" t="s">
        <v>3852</v>
      </c>
      <c r="D282" s="3" t="s">
        <v>1177</v>
      </c>
      <c r="E282" s="4" t="s">
        <v>513</v>
      </c>
      <c r="F282" s="3">
        <v>4863</v>
      </c>
      <c r="H282" s="5" t="str">
        <f t="shared" si="16"/>
        <v>N</v>
      </c>
      <c r="I282" s="4" t="s">
        <v>3853</v>
      </c>
      <c r="J282" s="4" t="s">
        <v>3083</v>
      </c>
      <c r="K282" s="4" t="s">
        <v>3854</v>
      </c>
      <c r="L282" s="4" t="s">
        <v>1264</v>
      </c>
      <c r="M282" s="4" t="s">
        <v>3855</v>
      </c>
      <c r="N282" s="4" t="s">
        <v>241</v>
      </c>
      <c r="O282" s="4" t="s">
        <v>3856</v>
      </c>
      <c r="P282" s="4" t="s">
        <v>3838</v>
      </c>
      <c r="Q282" s="4" t="s">
        <v>3857</v>
      </c>
      <c r="R282" s="4" t="s">
        <v>3858</v>
      </c>
      <c r="S282" s="4" t="s">
        <v>3841</v>
      </c>
      <c r="T282" s="5" t="str">
        <f t="shared" si="17"/>
        <v>Y</v>
      </c>
      <c r="W282" s="5" t="str">
        <f t="shared" si="18"/>
        <v>Y</v>
      </c>
      <c r="X282" s="4" t="s">
        <v>51</v>
      </c>
      <c r="Y282" s="4" t="s">
        <v>3859</v>
      </c>
      <c r="Z282" s="4" t="s">
        <v>3860</v>
      </c>
      <c r="AA282" s="4" t="s">
        <v>3861</v>
      </c>
      <c r="AB282" s="4" t="s">
        <v>3862</v>
      </c>
      <c r="AC282" s="5" t="s">
        <v>56</v>
      </c>
      <c r="AH282" s="5" t="str">
        <f t="shared" si="19"/>
        <v>Y</v>
      </c>
      <c r="AI282" s="4" t="s">
        <v>3863</v>
      </c>
      <c r="AJ282" s="4" t="s">
        <v>3864</v>
      </c>
      <c r="AK282" s="3" t="s">
        <v>3865</v>
      </c>
      <c r="AL282" s="3" t="s">
        <v>3866</v>
      </c>
      <c r="AM282" s="4" t="s">
        <v>62</v>
      </c>
      <c r="AP282" s="5">
        <v>1</v>
      </c>
      <c r="AT282" s="7"/>
      <c r="AU282" s="7"/>
      <c r="AV282" s="7"/>
      <c r="AW282" s="7"/>
      <c r="AX282" s="7"/>
      <c r="AY282" s="7"/>
      <c r="AZ282" s="7"/>
      <c r="BA282" s="7"/>
      <c r="BB282" s="7"/>
      <c r="BC282" s="7"/>
      <c r="BD282" s="7"/>
      <c r="BE282" s="7"/>
      <c r="BF282" s="7"/>
      <c r="BG282" s="7"/>
      <c r="BH282" s="7"/>
      <c r="BI282" s="7"/>
      <c r="BJ282" s="7"/>
      <c r="BK282" s="7"/>
      <c r="BL282" s="7"/>
      <c r="BM282" s="7"/>
      <c r="BN282" s="7"/>
      <c r="BO282" s="7"/>
      <c r="BP282" s="7"/>
      <c r="BQ282" s="7"/>
      <c r="BR282" s="7"/>
      <c r="BS282" s="7"/>
      <c r="BT282" s="7"/>
      <c r="BU282" s="7"/>
      <c r="BV282" s="7"/>
      <c r="BW282" s="7"/>
      <c r="BX282" s="7"/>
      <c r="BY282" s="7"/>
      <c r="BZ282" s="7"/>
    </row>
    <row r="283" ht="16.5" customHeight="1">
      <c r="A283" s="3" t="s">
        <v>3867</v>
      </c>
      <c r="B283" s="3" t="s">
        <v>3868</v>
      </c>
      <c r="C283" s="3" t="s">
        <v>3869</v>
      </c>
      <c r="D283" s="3" t="s">
        <v>1177</v>
      </c>
      <c r="E283" s="4" t="s">
        <v>513</v>
      </c>
      <c r="F283" s="3">
        <v>4864</v>
      </c>
      <c r="H283" s="5" t="str">
        <f t="shared" si="16"/>
        <v>N</v>
      </c>
      <c r="I283" s="4" t="s">
        <v>3870</v>
      </c>
      <c r="J283" s="4" t="s">
        <v>3083</v>
      </c>
      <c r="K283" s="4" t="s">
        <v>3871</v>
      </c>
      <c r="L283" s="4" t="s">
        <v>1264</v>
      </c>
      <c r="M283" s="4" t="s">
        <v>3872</v>
      </c>
      <c r="N283" s="4" t="s">
        <v>241</v>
      </c>
      <c r="O283" s="4" t="s">
        <v>3873</v>
      </c>
      <c r="P283" s="4" t="s">
        <v>3874</v>
      </c>
      <c r="Q283" s="4" t="s">
        <v>3875</v>
      </c>
      <c r="R283" s="4" t="s">
        <v>3876</v>
      </c>
      <c r="S283" s="4" t="s">
        <v>3841</v>
      </c>
      <c r="T283" s="5" t="str">
        <f t="shared" si="17"/>
        <v>Y</v>
      </c>
      <c r="W283" s="5" t="str">
        <f t="shared" si="18"/>
        <v>Y</v>
      </c>
      <c r="X283" s="4" t="s">
        <v>51</v>
      </c>
      <c r="Y283" s="4" t="s">
        <v>3877</v>
      </c>
      <c r="Z283" s="4" t="s">
        <v>3878</v>
      </c>
      <c r="AA283" s="4" t="s">
        <v>3879</v>
      </c>
      <c r="AB283" s="4" t="s">
        <v>3880</v>
      </c>
      <c r="AC283" s="5" t="s">
        <v>56</v>
      </c>
      <c r="AH283" s="5" t="str">
        <f t="shared" si="19"/>
        <v>Y</v>
      </c>
      <c r="AI283" s="4" t="s">
        <v>3881</v>
      </c>
      <c r="AJ283" s="4" t="s">
        <v>3882</v>
      </c>
      <c r="AK283" s="3" t="s">
        <v>3883</v>
      </c>
      <c r="AL283" s="3" t="s">
        <v>3884</v>
      </c>
      <c r="AM283" s="4" t="s">
        <v>62</v>
      </c>
      <c r="AP283" s="5">
        <v>1</v>
      </c>
      <c r="AT283" s="7"/>
      <c r="AU283" s="7"/>
      <c r="AV283" s="7"/>
      <c r="AW283" s="7"/>
      <c r="AX283" s="7"/>
      <c r="AY283" s="7"/>
      <c r="AZ283" s="7"/>
      <c r="BA283" s="7"/>
      <c r="BB283" s="7"/>
      <c r="BC283" s="7"/>
      <c r="BD283" s="7"/>
      <c r="BE283" s="7"/>
      <c r="BF283" s="7"/>
      <c r="BG283" s="7"/>
      <c r="BH283" s="7"/>
      <c r="BI283" s="7"/>
      <c r="BJ283" s="7"/>
      <c r="BK283" s="7"/>
      <c r="BL283" s="7"/>
      <c r="BM283" s="7"/>
      <c r="BN283" s="7"/>
      <c r="BO283" s="7"/>
      <c r="BP283" s="7"/>
      <c r="BQ283" s="7"/>
      <c r="BR283" s="7"/>
      <c r="BS283" s="7"/>
      <c r="BT283" s="7"/>
      <c r="BU283" s="7"/>
      <c r="BV283" s="7"/>
      <c r="BW283" s="7"/>
      <c r="BX283" s="7"/>
      <c r="BY283" s="7"/>
      <c r="BZ283" s="7"/>
    </row>
    <row r="284" ht="16.5" customHeight="1">
      <c r="A284" s="3" t="s">
        <v>3885</v>
      </c>
      <c r="B284" s="3" t="s">
        <v>3886</v>
      </c>
      <c r="C284" s="3" t="s">
        <v>3887</v>
      </c>
      <c r="D284" s="3" t="s">
        <v>1177</v>
      </c>
      <c r="E284" s="4" t="s">
        <v>513</v>
      </c>
      <c r="F284" s="3">
        <v>4865</v>
      </c>
      <c r="H284" s="5" t="str">
        <f t="shared" si="16"/>
        <v>N</v>
      </c>
      <c r="I284" s="4" t="s">
        <v>3888</v>
      </c>
      <c r="J284" s="4" t="s">
        <v>3083</v>
      </c>
      <c r="K284" s="4" t="s">
        <v>3889</v>
      </c>
      <c r="L284" s="4" t="s">
        <v>1264</v>
      </c>
      <c r="M284" s="4" t="s">
        <v>3890</v>
      </c>
      <c r="N284" s="4" t="s">
        <v>241</v>
      </c>
      <c r="O284" s="4" t="s">
        <v>3891</v>
      </c>
      <c r="P284" s="4" t="s">
        <v>3838</v>
      </c>
      <c r="Q284" s="4" t="s">
        <v>3892</v>
      </c>
      <c r="R284" s="4" t="s">
        <v>3893</v>
      </c>
      <c r="S284" s="4" t="s">
        <v>3841</v>
      </c>
      <c r="T284" s="5" t="str">
        <f t="shared" si="17"/>
        <v>Y</v>
      </c>
      <c r="W284" s="5" t="str">
        <f t="shared" si="18"/>
        <v>Y</v>
      </c>
      <c r="X284" s="4" t="s">
        <v>51</v>
      </c>
      <c r="Y284" s="4" t="s">
        <v>3894</v>
      </c>
      <c r="Z284" s="4" t="s">
        <v>3895</v>
      </c>
      <c r="AA284" s="4" t="s">
        <v>3896</v>
      </c>
      <c r="AB284" s="4" t="s">
        <v>3897</v>
      </c>
      <c r="AC284" s="5" t="s">
        <v>56</v>
      </c>
      <c r="AH284" s="5" t="str">
        <f t="shared" si="19"/>
        <v>Y</v>
      </c>
      <c r="AI284" s="4" t="s">
        <v>3898</v>
      </c>
      <c r="AJ284" s="4" t="s">
        <v>3899</v>
      </c>
      <c r="AK284" s="3" t="s">
        <v>3900</v>
      </c>
      <c r="AL284" s="3" t="s">
        <v>3901</v>
      </c>
      <c r="AM284" s="4" t="s">
        <v>62</v>
      </c>
      <c r="AP284" s="5">
        <v>1</v>
      </c>
      <c r="AT284" s="7"/>
      <c r="AU284" s="7"/>
      <c r="AV284" s="7"/>
      <c r="AW284" s="7"/>
      <c r="AX284" s="7"/>
      <c r="AY284" s="7"/>
      <c r="AZ284" s="7"/>
      <c r="BA284" s="7"/>
      <c r="BB284" s="7"/>
      <c r="BC284" s="7"/>
      <c r="BD284" s="7"/>
      <c r="BE284" s="7"/>
      <c r="BF284" s="7"/>
      <c r="BG284" s="7"/>
      <c r="BH284" s="7"/>
      <c r="BI284" s="7"/>
      <c r="BJ284" s="7"/>
      <c r="BK284" s="7"/>
      <c r="BL284" s="7"/>
      <c r="BM284" s="7"/>
      <c r="BN284" s="7"/>
      <c r="BO284" s="7"/>
      <c r="BP284" s="7"/>
      <c r="BQ284" s="7"/>
      <c r="BR284" s="7"/>
      <c r="BS284" s="7"/>
      <c r="BT284" s="7"/>
      <c r="BU284" s="7"/>
      <c r="BV284" s="7"/>
      <c r="BW284" s="7"/>
      <c r="BX284" s="7"/>
      <c r="BY284" s="7"/>
      <c r="BZ284" s="7"/>
    </row>
    <row r="285" ht="16.5" customHeight="1">
      <c r="A285" s="3" t="s">
        <v>3902</v>
      </c>
      <c r="B285" s="3" t="s">
        <v>3903</v>
      </c>
      <c r="C285" s="3">
        <v>0</v>
      </c>
      <c r="D285" s="3" t="s">
        <v>1177</v>
      </c>
      <c r="E285" s="4" t="s">
        <v>2102</v>
      </c>
      <c r="F285" s="3">
        <v>2784</v>
      </c>
      <c r="H285" s="5" t="str">
        <f t="shared" si="16"/>
        <v>N</v>
      </c>
      <c r="I285" s="4" t="s">
        <v>3904</v>
      </c>
      <c r="J285" s="4" t="s">
        <v>1221</v>
      </c>
      <c r="K285" s="4" t="s">
        <v>3905</v>
      </c>
      <c r="L285" s="4" t="s">
        <v>3906</v>
      </c>
      <c r="M285" s="4" t="s">
        <v>3907</v>
      </c>
      <c r="N285" s="4" t="s">
        <v>894</v>
      </c>
      <c r="O285" s="4" t="s">
        <v>3908</v>
      </c>
      <c r="P285" s="4" t="s">
        <v>116</v>
      </c>
      <c r="Q285" s="4" t="s">
        <v>3909</v>
      </c>
      <c r="R285" s="4" t="s">
        <v>3910</v>
      </c>
      <c r="S285" s="4" t="s">
        <v>3911</v>
      </c>
      <c r="T285" s="5" t="str">
        <f t="shared" si="17"/>
        <v>Y</v>
      </c>
      <c r="W285" s="5" t="str">
        <f t="shared" si="18"/>
        <v>Y</v>
      </c>
      <c r="X285" s="4" t="s">
        <v>51</v>
      </c>
      <c r="Y285" s="4" t="s">
        <v>3912</v>
      </c>
      <c r="Z285" s="4" t="s">
        <v>3913</v>
      </c>
      <c r="AA285" s="4" t="s">
        <v>3914</v>
      </c>
      <c r="AB285" s="4" t="s">
        <v>3915</v>
      </c>
      <c r="AC285" s="5" t="s">
        <v>56</v>
      </c>
      <c r="AH285" s="5" t="str">
        <f t="shared" si="19"/>
        <v>Y</v>
      </c>
      <c r="AI285" s="4" t="s">
        <v>3916</v>
      </c>
      <c r="AJ285" s="4" t="s">
        <v>3917</v>
      </c>
      <c r="AK285" s="3" t="s">
        <v>3918</v>
      </c>
      <c r="AL285" s="3" t="s">
        <v>3919</v>
      </c>
      <c r="AM285" s="4" t="s">
        <v>62</v>
      </c>
      <c r="AP285" s="5">
        <v>1</v>
      </c>
      <c r="AT285" s="7"/>
      <c r="AU285" s="7"/>
      <c r="AV285" s="7"/>
      <c r="AW285" s="7"/>
      <c r="AX285" s="7"/>
      <c r="AY285" s="7"/>
      <c r="AZ285" s="7"/>
      <c r="BA285" s="7"/>
      <c r="BB285" s="7"/>
      <c r="BC285" s="7"/>
      <c r="BD285" s="7"/>
      <c r="BE285" s="7"/>
      <c r="BF285" s="7"/>
      <c r="BG285" s="7"/>
      <c r="BH285" s="7"/>
      <c r="BI285" s="7"/>
      <c r="BJ285" s="7"/>
      <c r="BK285" s="7"/>
      <c r="BL285" s="7"/>
      <c r="BM285" s="7"/>
      <c r="BN285" s="7"/>
      <c r="BO285" s="7"/>
      <c r="BP285" s="7"/>
      <c r="BQ285" s="7"/>
      <c r="BR285" s="7"/>
      <c r="BS285" s="7"/>
      <c r="BT285" s="7"/>
      <c r="BU285" s="7"/>
      <c r="BV285" s="7"/>
      <c r="BW285" s="7"/>
      <c r="BX285" s="7"/>
      <c r="BY285" s="7"/>
      <c r="BZ285" s="7"/>
    </row>
    <row r="286" ht="16.5" customHeight="1">
      <c r="A286" s="3" t="s">
        <v>3920</v>
      </c>
      <c r="B286" s="3" t="s">
        <v>3921</v>
      </c>
      <c r="C286" s="3">
        <v>0</v>
      </c>
      <c r="D286" s="3" t="s">
        <v>1177</v>
      </c>
      <c r="E286" s="4" t="s">
        <v>2102</v>
      </c>
      <c r="F286" s="3">
        <v>2511</v>
      </c>
      <c r="H286" s="5" t="str">
        <f t="shared" si="16"/>
        <v>N</v>
      </c>
      <c r="I286" s="4" t="s">
        <v>3922</v>
      </c>
      <c r="J286" s="4" t="s">
        <v>3122</v>
      </c>
      <c r="K286" s="4" t="s">
        <v>3923</v>
      </c>
      <c r="L286" s="4" t="s">
        <v>116</v>
      </c>
      <c r="M286" s="4" t="s">
        <v>3924</v>
      </c>
      <c r="N286" s="4" t="s">
        <v>114</v>
      </c>
      <c r="O286" s="4" t="s">
        <v>3925</v>
      </c>
      <c r="P286" s="4" t="s">
        <v>3184</v>
      </c>
      <c r="Q286" s="4" t="s">
        <v>3926</v>
      </c>
      <c r="R286" s="4" t="s">
        <v>3927</v>
      </c>
      <c r="S286" s="4" t="s">
        <v>3911</v>
      </c>
      <c r="T286" s="5" t="str">
        <f t="shared" si="17"/>
        <v>Y</v>
      </c>
      <c r="W286" s="5" t="str">
        <f t="shared" si="18"/>
        <v>Y</v>
      </c>
      <c r="X286" s="4" t="s">
        <v>51</v>
      </c>
      <c r="Y286" s="4" t="s">
        <v>3928</v>
      </c>
      <c r="Z286" s="4" t="s">
        <v>3929</v>
      </c>
      <c r="AA286" s="4" t="s">
        <v>3930</v>
      </c>
      <c r="AB286" s="4" t="s">
        <v>3931</v>
      </c>
      <c r="AC286" s="5" t="s">
        <v>56</v>
      </c>
      <c r="AH286" s="5" t="str">
        <f t="shared" si="19"/>
        <v>Y</v>
      </c>
      <c r="AI286" s="4" t="s">
        <v>3932</v>
      </c>
      <c r="AJ286" s="4" t="s">
        <v>3933</v>
      </c>
      <c r="AK286" s="3" t="s">
        <v>3934</v>
      </c>
      <c r="AL286" s="3" t="s">
        <v>3935</v>
      </c>
      <c r="AM286" s="4" t="s">
        <v>62</v>
      </c>
      <c r="AP286" s="5">
        <v>1</v>
      </c>
      <c r="AT286" s="7"/>
      <c r="AU286" s="7"/>
      <c r="AV286" s="7"/>
      <c r="AW286" s="7"/>
      <c r="AX286" s="7"/>
      <c r="AY286" s="7"/>
      <c r="AZ286" s="7"/>
      <c r="BA286" s="7"/>
      <c r="BB286" s="7"/>
      <c r="BC286" s="7"/>
      <c r="BD286" s="7"/>
      <c r="BE286" s="7"/>
      <c r="BF286" s="7"/>
      <c r="BG286" s="7"/>
      <c r="BH286" s="7"/>
      <c r="BI286" s="7"/>
      <c r="BJ286" s="7"/>
      <c r="BK286" s="7"/>
      <c r="BL286" s="7"/>
      <c r="BM286" s="7"/>
      <c r="BN286" s="7"/>
      <c r="BO286" s="7"/>
      <c r="BP286" s="7"/>
      <c r="BQ286" s="7"/>
      <c r="BR286" s="7"/>
      <c r="BS286" s="7"/>
      <c r="BT286" s="7"/>
      <c r="BU286" s="7"/>
      <c r="BV286" s="7"/>
      <c r="BW286" s="7"/>
      <c r="BX286" s="7"/>
      <c r="BY286" s="7"/>
      <c r="BZ286" s="7"/>
    </row>
    <row r="287" ht="16.5" customHeight="1">
      <c r="A287" s="3" t="s">
        <v>3936</v>
      </c>
      <c r="B287" s="3" t="s">
        <v>3937</v>
      </c>
      <c r="C287" s="3" t="s">
        <v>3938</v>
      </c>
      <c r="D287" s="3" t="s">
        <v>1301</v>
      </c>
      <c r="E287" s="4" t="s">
        <v>1686</v>
      </c>
      <c r="F287" s="3">
        <v>9244</v>
      </c>
      <c r="H287" s="5" t="str">
        <f t="shared" si="16"/>
        <v>N</v>
      </c>
      <c r="I287" s="4" t="s">
        <v>3939</v>
      </c>
      <c r="J287" s="4" t="s">
        <v>3940</v>
      </c>
      <c r="K287" s="4" t="s">
        <v>3941</v>
      </c>
      <c r="L287" s="4" t="s">
        <v>163</v>
      </c>
      <c r="M287" s="4" t="s">
        <v>3942</v>
      </c>
      <c r="N287" s="4" t="s">
        <v>3943</v>
      </c>
      <c r="O287" s="4" t="s">
        <v>3944</v>
      </c>
      <c r="P287" s="4" t="s">
        <v>3945</v>
      </c>
      <c r="Q287" s="4" t="s">
        <v>3946</v>
      </c>
      <c r="R287" s="4" t="s">
        <v>3947</v>
      </c>
      <c r="S287" s="4" t="s">
        <v>3948</v>
      </c>
      <c r="T287" s="5" t="str">
        <f t="shared" si="17"/>
        <v>Y</v>
      </c>
      <c r="W287" s="5" t="str">
        <f t="shared" si="18"/>
        <v>Y</v>
      </c>
      <c r="X287" s="4" t="s">
        <v>51</v>
      </c>
      <c r="Y287" s="4" t="s">
        <v>3949</v>
      </c>
      <c r="Z287" s="4" t="s">
        <v>3950</v>
      </c>
      <c r="AA287" s="4" t="s">
        <v>3951</v>
      </c>
      <c r="AB287" s="4" t="s">
        <v>3952</v>
      </c>
      <c r="AC287" s="5" t="s">
        <v>56</v>
      </c>
      <c r="AH287" s="5" t="str">
        <f t="shared" si="19"/>
        <v>Y</v>
      </c>
      <c r="AI287" s="4" t="s">
        <v>3953</v>
      </c>
      <c r="AJ287" s="4" t="s">
        <v>3954</v>
      </c>
      <c r="AK287" s="3" t="s">
        <v>3955</v>
      </c>
      <c r="AL287" s="3" t="s">
        <v>3956</v>
      </c>
      <c r="AM287" s="4" t="s">
        <v>62</v>
      </c>
      <c r="AP287" s="5">
        <v>1</v>
      </c>
      <c r="AT287" s="7"/>
      <c r="AU287" s="7"/>
      <c r="AV287" s="7"/>
      <c r="AW287" s="7"/>
      <c r="AX287" s="7"/>
      <c r="AY287" s="7"/>
      <c r="AZ287" s="7"/>
      <c r="BA287" s="7"/>
      <c r="BB287" s="7"/>
      <c r="BC287" s="7"/>
      <c r="BD287" s="7"/>
      <c r="BE287" s="7"/>
      <c r="BF287" s="7"/>
      <c r="BG287" s="7"/>
      <c r="BH287" s="7"/>
      <c r="BI287" s="7"/>
      <c r="BJ287" s="7"/>
      <c r="BK287" s="7"/>
      <c r="BL287" s="7"/>
      <c r="BM287" s="7"/>
      <c r="BN287" s="7"/>
      <c r="BO287" s="7"/>
      <c r="BP287" s="7"/>
      <c r="BQ287" s="7"/>
      <c r="BR287" s="7"/>
      <c r="BS287" s="7"/>
      <c r="BT287" s="7"/>
      <c r="BU287" s="7"/>
      <c r="BV287" s="7"/>
      <c r="BW287" s="7"/>
      <c r="BX287" s="7"/>
      <c r="BY287" s="7"/>
      <c r="BZ287" s="7"/>
    </row>
    <row r="288" ht="16.5" customHeight="1">
      <c r="A288" s="3" t="s">
        <v>3957</v>
      </c>
      <c r="B288" s="3" t="s">
        <v>3958</v>
      </c>
      <c r="C288" s="3" t="s">
        <v>3959</v>
      </c>
      <c r="D288" s="3" t="s">
        <v>1301</v>
      </c>
      <c r="E288" s="4" t="s">
        <v>2102</v>
      </c>
      <c r="F288" s="3">
        <v>7227</v>
      </c>
      <c r="H288" s="5" t="str">
        <f t="shared" si="16"/>
        <v>N</v>
      </c>
      <c r="I288" s="4" t="s">
        <v>3960</v>
      </c>
      <c r="J288" s="4" t="s">
        <v>3961</v>
      </c>
      <c r="K288" s="4" t="s">
        <v>3962</v>
      </c>
      <c r="L288" s="4" t="s">
        <v>3143</v>
      </c>
      <c r="M288" s="4" t="s">
        <v>3963</v>
      </c>
      <c r="N288" s="4" t="s">
        <v>3964</v>
      </c>
      <c r="O288" s="4" t="s">
        <v>3965</v>
      </c>
      <c r="P288" s="4" t="s">
        <v>3966</v>
      </c>
      <c r="Q288" s="4" t="s">
        <v>3967</v>
      </c>
      <c r="R288" s="4" t="s">
        <v>3968</v>
      </c>
      <c r="S288" s="4" t="s">
        <v>3969</v>
      </c>
      <c r="T288" s="5" t="str">
        <f t="shared" si="17"/>
        <v>Y</v>
      </c>
      <c r="W288" s="5" t="str">
        <f t="shared" si="18"/>
        <v>Y</v>
      </c>
      <c r="X288" s="4" t="s">
        <v>51</v>
      </c>
      <c r="Y288" s="4" t="s">
        <v>3970</v>
      </c>
      <c r="Z288" s="4" t="s">
        <v>3971</v>
      </c>
      <c r="AA288" s="4" t="s">
        <v>3972</v>
      </c>
      <c r="AB288" s="4" t="s">
        <v>3973</v>
      </c>
      <c r="AC288" s="5" t="s">
        <v>56</v>
      </c>
      <c r="AH288" s="5" t="str">
        <f t="shared" si="19"/>
        <v>Y</v>
      </c>
      <c r="AI288" s="4" t="s">
        <v>3974</v>
      </c>
      <c r="AJ288" s="4" t="s">
        <v>3975</v>
      </c>
      <c r="AK288" s="3" t="s">
        <v>3976</v>
      </c>
      <c r="AL288" s="3" t="s">
        <v>3977</v>
      </c>
      <c r="AM288" s="4" t="s">
        <v>62</v>
      </c>
      <c r="AP288" s="5">
        <v>1</v>
      </c>
      <c r="AT288" s="7"/>
      <c r="AU288" s="7"/>
      <c r="AV288" s="7"/>
      <c r="AW288" s="7"/>
      <c r="AX288" s="7"/>
      <c r="AY288" s="7"/>
      <c r="AZ288" s="7"/>
      <c r="BA288" s="7"/>
      <c r="BB288" s="7"/>
      <c r="BC288" s="7"/>
      <c r="BD288" s="7"/>
      <c r="BE288" s="7"/>
      <c r="BF288" s="7"/>
      <c r="BG288" s="7"/>
      <c r="BH288" s="7"/>
      <c r="BI288" s="7"/>
      <c r="BJ288" s="7"/>
      <c r="BK288" s="7"/>
      <c r="BL288" s="7"/>
      <c r="BM288" s="7"/>
      <c r="BN288" s="7"/>
      <c r="BO288" s="7"/>
      <c r="BP288" s="7"/>
      <c r="BQ288" s="7"/>
      <c r="BR288" s="7"/>
      <c r="BS288" s="7"/>
      <c r="BT288" s="7"/>
      <c r="BU288" s="7"/>
      <c r="BV288" s="7"/>
      <c r="BW288" s="7"/>
      <c r="BX288" s="7"/>
      <c r="BY288" s="7"/>
      <c r="BZ288" s="7"/>
    </row>
    <row r="289" ht="16.5" customHeight="1">
      <c r="A289" s="3" t="s">
        <v>3978</v>
      </c>
      <c r="B289" s="3" t="s">
        <v>3979</v>
      </c>
      <c r="C289" s="3">
        <v>0</v>
      </c>
      <c r="D289" s="3" t="s">
        <v>1324</v>
      </c>
      <c r="E289" s="4" t="s">
        <v>1686</v>
      </c>
      <c r="F289" s="3">
        <v>3202</v>
      </c>
      <c r="H289" s="5" t="str">
        <f t="shared" si="16"/>
        <v>N</v>
      </c>
      <c r="I289" s="4" t="s">
        <v>3980</v>
      </c>
      <c r="J289" s="4" t="s">
        <v>3981</v>
      </c>
      <c r="K289" s="4" t="s">
        <v>3982</v>
      </c>
      <c r="L289" s="4" t="s">
        <v>2064</v>
      </c>
      <c r="M289" s="4" t="s">
        <v>3983</v>
      </c>
      <c r="N289" s="4" t="s">
        <v>3984</v>
      </c>
      <c r="O289" s="4" t="s">
        <v>3985</v>
      </c>
      <c r="P289" s="4" t="s">
        <v>3986</v>
      </c>
      <c r="Q289" s="4" t="s">
        <v>3987</v>
      </c>
      <c r="R289" s="4" t="s">
        <v>3988</v>
      </c>
      <c r="S289" s="4" t="s">
        <v>3989</v>
      </c>
      <c r="T289" s="5" t="str">
        <f t="shared" si="17"/>
        <v>Y</v>
      </c>
      <c r="W289" s="5" t="str">
        <f t="shared" si="18"/>
        <v>Y</v>
      </c>
      <c r="X289" s="4" t="s">
        <v>51</v>
      </c>
      <c r="Y289" s="4" t="s">
        <v>3990</v>
      </c>
      <c r="Z289" s="4" t="s">
        <v>3991</v>
      </c>
      <c r="AA289" s="4" t="s">
        <v>3992</v>
      </c>
      <c r="AB289" s="4" t="s">
        <v>3993</v>
      </c>
      <c r="AC289" s="5" t="s">
        <v>56</v>
      </c>
      <c r="AH289" s="5" t="str">
        <f t="shared" si="19"/>
        <v>Y</v>
      </c>
      <c r="AI289" s="4" t="s">
        <v>3994</v>
      </c>
      <c r="AJ289" s="4" t="s">
        <v>3995</v>
      </c>
      <c r="AK289" s="3" t="s">
        <v>3996</v>
      </c>
      <c r="AL289" s="3" t="s">
        <v>3997</v>
      </c>
      <c r="AM289" s="4" t="s">
        <v>62</v>
      </c>
      <c r="AP289" s="5">
        <v>1</v>
      </c>
      <c r="AT289" s="7"/>
      <c r="AU289" s="7"/>
      <c r="AV289" s="7"/>
      <c r="AW289" s="7"/>
      <c r="AX289" s="7"/>
      <c r="AY289" s="7"/>
      <c r="AZ289" s="7"/>
      <c r="BA289" s="7"/>
      <c r="BB289" s="7"/>
      <c r="BC289" s="7"/>
      <c r="BD289" s="7"/>
      <c r="BE289" s="7"/>
      <c r="BF289" s="7"/>
      <c r="BG289" s="7"/>
      <c r="BH289" s="7"/>
      <c r="BI289" s="7"/>
      <c r="BJ289" s="7"/>
      <c r="BK289" s="7"/>
      <c r="BL289" s="7"/>
      <c r="BM289" s="7"/>
      <c r="BN289" s="7"/>
      <c r="BO289" s="7"/>
      <c r="BP289" s="7"/>
      <c r="BQ289" s="7"/>
      <c r="BR289" s="7"/>
      <c r="BS289" s="7"/>
      <c r="BT289" s="7"/>
      <c r="BU289" s="7"/>
      <c r="BV289" s="7"/>
      <c r="BW289" s="7"/>
      <c r="BX289" s="7"/>
      <c r="BY289" s="7"/>
      <c r="BZ289" s="7"/>
    </row>
    <row r="290" ht="16.5" customHeight="1">
      <c r="A290" s="3" t="s">
        <v>3998</v>
      </c>
      <c r="B290" s="3" t="s">
        <v>3999</v>
      </c>
      <c r="C290" s="3" t="s">
        <v>4000</v>
      </c>
      <c r="D290" s="3" t="s">
        <v>1324</v>
      </c>
      <c r="E290" s="4" t="s">
        <v>513</v>
      </c>
      <c r="F290" s="3">
        <v>2121</v>
      </c>
      <c r="H290" s="5" t="str">
        <f t="shared" si="16"/>
        <v>N</v>
      </c>
      <c r="I290" s="4" t="s">
        <v>4001</v>
      </c>
      <c r="J290" s="4" t="s">
        <v>3696</v>
      </c>
      <c r="K290" s="4" t="s">
        <v>4002</v>
      </c>
      <c r="L290" s="4" t="s">
        <v>1264</v>
      </c>
      <c r="M290" s="4" t="s">
        <v>4003</v>
      </c>
      <c r="N290" s="4" t="s">
        <v>241</v>
      </c>
      <c r="O290" s="4" t="s">
        <v>4004</v>
      </c>
      <c r="P290" s="4" t="s">
        <v>3009</v>
      </c>
      <c r="Q290" s="4" t="s">
        <v>4005</v>
      </c>
      <c r="R290" s="4" t="s">
        <v>4006</v>
      </c>
      <c r="S290" s="4" t="s">
        <v>4007</v>
      </c>
      <c r="T290" s="5" t="str">
        <f t="shared" si="17"/>
        <v>Y</v>
      </c>
      <c r="W290" s="5" t="str">
        <f t="shared" si="18"/>
        <v>Y</v>
      </c>
      <c r="X290" s="4" t="s">
        <v>51</v>
      </c>
      <c r="Y290" s="4" t="s">
        <v>4008</v>
      </c>
      <c r="Z290" s="4" t="s">
        <v>4009</v>
      </c>
      <c r="AA290" s="4" t="s">
        <v>4010</v>
      </c>
      <c r="AB290" s="4" t="s">
        <v>4011</v>
      </c>
      <c r="AC290" s="5" t="s">
        <v>56</v>
      </c>
      <c r="AH290" s="5" t="str">
        <f t="shared" si="19"/>
        <v>Y</v>
      </c>
      <c r="AI290" s="4" t="s">
        <v>4012</v>
      </c>
      <c r="AJ290" s="4" t="s">
        <v>4013</v>
      </c>
      <c r="AK290" s="3" t="s">
        <v>4014</v>
      </c>
      <c r="AL290" s="3" t="s">
        <v>4015</v>
      </c>
      <c r="AM290" s="4" t="s">
        <v>62</v>
      </c>
      <c r="AP290" s="5">
        <v>1</v>
      </c>
      <c r="AT290" s="7"/>
      <c r="AU290" s="7"/>
      <c r="AV290" s="7"/>
      <c r="AW290" s="7"/>
      <c r="AX290" s="7"/>
      <c r="AY290" s="7"/>
      <c r="AZ290" s="7"/>
      <c r="BA290" s="7"/>
      <c r="BB290" s="7"/>
      <c r="BC290" s="7"/>
      <c r="BD290" s="7"/>
      <c r="BE290" s="7"/>
      <c r="BF290" s="7"/>
      <c r="BG290" s="7"/>
      <c r="BH290" s="7"/>
      <c r="BI290" s="7"/>
      <c r="BJ290" s="7"/>
      <c r="BK290" s="7"/>
      <c r="BL290" s="7"/>
      <c r="BM290" s="7"/>
      <c r="BN290" s="7"/>
      <c r="BO290" s="7"/>
      <c r="BP290" s="7"/>
      <c r="BQ290" s="7"/>
      <c r="BR290" s="7"/>
      <c r="BS290" s="7"/>
      <c r="BT290" s="7"/>
      <c r="BU290" s="7"/>
      <c r="BV290" s="7"/>
      <c r="BW290" s="7"/>
      <c r="BX290" s="7"/>
      <c r="BY290" s="7"/>
      <c r="BZ290" s="7"/>
    </row>
    <row r="291" ht="16.5" customHeight="1">
      <c r="A291" s="3" t="s">
        <v>4016</v>
      </c>
      <c r="B291" s="3" t="s">
        <v>4017</v>
      </c>
      <c r="C291" s="3">
        <v>0</v>
      </c>
      <c r="D291" s="3" t="s">
        <v>1324</v>
      </c>
      <c r="E291" s="4" t="s">
        <v>793</v>
      </c>
      <c r="F291" s="3">
        <v>2105</v>
      </c>
      <c r="H291" s="5" t="str">
        <f t="shared" si="16"/>
        <v>N</v>
      </c>
      <c r="I291" s="4" t="s">
        <v>4018</v>
      </c>
      <c r="J291" s="4" t="s">
        <v>4019</v>
      </c>
      <c r="K291" s="4" t="s">
        <v>4020</v>
      </c>
      <c r="L291" s="4" t="s">
        <v>241</v>
      </c>
      <c r="M291" s="4" t="s">
        <v>4021</v>
      </c>
      <c r="N291" s="4" t="s">
        <v>4022</v>
      </c>
      <c r="O291" s="4" t="s">
        <v>4023</v>
      </c>
      <c r="P291" s="4" t="s">
        <v>4024</v>
      </c>
      <c r="Q291" s="4" t="s">
        <v>4025</v>
      </c>
      <c r="R291" s="4" t="s">
        <v>4026</v>
      </c>
      <c r="S291" s="3" t="s">
        <v>4027</v>
      </c>
      <c r="T291" s="5" t="str">
        <f t="shared" si="17"/>
        <v>Y</v>
      </c>
      <c r="W291" s="5" t="str">
        <f t="shared" si="18"/>
        <v>Y</v>
      </c>
      <c r="X291" s="4" t="s">
        <v>51</v>
      </c>
      <c r="Y291" s="3" t="s">
        <v>4028</v>
      </c>
      <c r="Z291" s="3" t="s">
        <v>4029</v>
      </c>
      <c r="AA291" s="4" t="s">
        <v>4030</v>
      </c>
      <c r="AB291" s="4" t="s">
        <v>4031</v>
      </c>
      <c r="AC291" s="5" t="s">
        <v>56</v>
      </c>
      <c r="AH291" s="5" t="str">
        <f t="shared" si="19"/>
        <v>Y</v>
      </c>
      <c r="AI291" s="3" t="s">
        <v>4032</v>
      </c>
      <c r="AJ291" s="3" t="s">
        <v>4033</v>
      </c>
      <c r="AK291" s="3" t="s">
        <v>4034</v>
      </c>
      <c r="AL291" s="3" t="s">
        <v>4035</v>
      </c>
      <c r="AM291" s="4" t="s">
        <v>62</v>
      </c>
      <c r="AP291" s="5">
        <v>1</v>
      </c>
      <c r="AT291" s="7"/>
      <c r="AU291" s="7"/>
      <c r="AV291" s="7"/>
      <c r="AW291" s="7"/>
      <c r="AX291" s="7"/>
      <c r="AY291" s="7"/>
      <c r="AZ291" s="7"/>
      <c r="BA291" s="7"/>
      <c r="BB291" s="7"/>
      <c r="BC291" s="7"/>
      <c r="BD291" s="7"/>
      <c r="BE291" s="7"/>
      <c r="BF291" s="7"/>
      <c r="BG291" s="7"/>
      <c r="BH291" s="7"/>
      <c r="BI291" s="7"/>
      <c r="BJ291" s="7"/>
      <c r="BK291" s="7"/>
      <c r="BL291" s="7"/>
      <c r="BM291" s="7"/>
      <c r="BN291" s="7"/>
      <c r="BO291" s="7"/>
      <c r="BP291" s="7"/>
      <c r="BQ291" s="7"/>
      <c r="BR291" s="7"/>
      <c r="BS291" s="7"/>
      <c r="BT291" s="7"/>
      <c r="BU291" s="7"/>
      <c r="BV291" s="7"/>
      <c r="BW291" s="7"/>
      <c r="BX291" s="7"/>
      <c r="BY291" s="7"/>
      <c r="BZ291" s="7"/>
    </row>
    <row r="292" ht="16.5" customHeight="1">
      <c r="A292" s="3" t="s">
        <v>4036</v>
      </c>
      <c r="B292" s="3" t="s">
        <v>4037</v>
      </c>
      <c r="C292" s="3">
        <v>0</v>
      </c>
      <c r="D292" s="3" t="s">
        <v>1324</v>
      </c>
      <c r="E292" s="4" t="s">
        <v>1409</v>
      </c>
      <c r="F292" s="3">
        <v>6119</v>
      </c>
      <c r="H292" s="5" t="str">
        <f t="shared" si="16"/>
        <v>N</v>
      </c>
      <c r="I292" s="4" t="s">
        <v>4038</v>
      </c>
      <c r="J292" s="4" t="s">
        <v>4039</v>
      </c>
      <c r="K292" s="4" t="s">
        <v>4040</v>
      </c>
      <c r="L292" s="4" t="s">
        <v>1930</v>
      </c>
      <c r="M292" s="4" t="s">
        <v>4041</v>
      </c>
      <c r="N292" s="4" t="s">
        <v>4042</v>
      </c>
      <c r="O292" s="4" t="s">
        <v>4043</v>
      </c>
      <c r="P292" s="4" t="s">
        <v>161</v>
      </c>
      <c r="Q292" s="4" t="s">
        <v>4044</v>
      </c>
      <c r="R292" s="4" t="s">
        <v>4045</v>
      </c>
      <c r="S292" s="3" t="s">
        <v>4046</v>
      </c>
      <c r="T292" s="5" t="str">
        <f t="shared" si="17"/>
        <v>Y</v>
      </c>
      <c r="W292" s="5" t="str">
        <f t="shared" si="18"/>
        <v>Y</v>
      </c>
      <c r="X292" s="4" t="s">
        <v>51</v>
      </c>
      <c r="Y292" s="3" t="s">
        <v>4047</v>
      </c>
      <c r="Z292" s="3" t="s">
        <v>4048</v>
      </c>
      <c r="AA292" s="4" t="s">
        <v>4049</v>
      </c>
      <c r="AB292" s="4" t="s">
        <v>4050</v>
      </c>
      <c r="AC292" s="5" t="s">
        <v>56</v>
      </c>
      <c r="AH292" s="5" t="str">
        <f t="shared" si="19"/>
        <v>Y</v>
      </c>
      <c r="AI292" s="3" t="s">
        <v>4051</v>
      </c>
      <c r="AJ292" s="3" t="s">
        <v>4052</v>
      </c>
      <c r="AK292" s="3" t="s">
        <v>4053</v>
      </c>
      <c r="AL292" s="3" t="s">
        <v>4054</v>
      </c>
      <c r="AM292" s="4" t="s">
        <v>62</v>
      </c>
      <c r="AP292" s="5">
        <v>1</v>
      </c>
      <c r="AT292" s="7"/>
      <c r="AU292" s="7"/>
      <c r="AV292" s="7"/>
      <c r="AW292" s="7"/>
      <c r="AX292" s="7"/>
      <c r="AY292" s="7"/>
      <c r="AZ292" s="7"/>
      <c r="BA292" s="7"/>
      <c r="BB292" s="7"/>
      <c r="BC292" s="7"/>
      <c r="BD292" s="7"/>
      <c r="BE292" s="7"/>
      <c r="BF292" s="7"/>
      <c r="BG292" s="7"/>
      <c r="BH292" s="7"/>
      <c r="BI292" s="7"/>
      <c r="BJ292" s="7"/>
      <c r="BK292" s="7"/>
      <c r="BL292" s="7"/>
      <c r="BM292" s="7"/>
      <c r="BN292" s="7"/>
      <c r="BO292" s="7"/>
      <c r="BP292" s="7"/>
      <c r="BQ292" s="7"/>
      <c r="BR292" s="7"/>
      <c r="BS292" s="7"/>
      <c r="BT292" s="7"/>
      <c r="BU292" s="7"/>
      <c r="BV292" s="7"/>
      <c r="BW292" s="7"/>
      <c r="BX292" s="7"/>
      <c r="BY292" s="7"/>
      <c r="BZ292" s="7"/>
    </row>
    <row r="293" ht="16.5" customHeight="1">
      <c r="A293" s="3" t="s">
        <v>4055</v>
      </c>
      <c r="B293" s="3" t="s">
        <v>4056</v>
      </c>
      <c r="C293" s="3">
        <v>0</v>
      </c>
      <c r="D293" s="3" t="s">
        <v>1324</v>
      </c>
      <c r="E293" s="4" t="s">
        <v>1409</v>
      </c>
      <c r="F293" s="3">
        <v>6166</v>
      </c>
      <c r="H293" s="5" t="str">
        <f t="shared" si="16"/>
        <v>N</v>
      </c>
      <c r="I293" s="4" t="s">
        <v>4057</v>
      </c>
      <c r="J293" s="4" t="s">
        <v>4058</v>
      </c>
      <c r="K293" s="4" t="s">
        <v>4059</v>
      </c>
      <c r="L293" s="4" t="s">
        <v>1930</v>
      </c>
      <c r="M293" s="4" t="s">
        <v>4060</v>
      </c>
      <c r="N293" s="4" t="s">
        <v>4061</v>
      </c>
      <c r="O293" s="4" t="s">
        <v>4062</v>
      </c>
      <c r="P293" s="4" t="s">
        <v>4063</v>
      </c>
      <c r="Q293" s="4" t="s">
        <v>4064</v>
      </c>
      <c r="R293" s="4" t="s">
        <v>4065</v>
      </c>
      <c r="S293" s="3" t="s">
        <v>4066</v>
      </c>
      <c r="T293" s="5" t="str">
        <f t="shared" si="17"/>
        <v>Y</v>
      </c>
      <c r="W293" s="5" t="str">
        <f t="shared" si="18"/>
        <v>Y</v>
      </c>
      <c r="X293" s="4" t="s">
        <v>51</v>
      </c>
      <c r="Y293" s="3" t="s">
        <v>4067</v>
      </c>
      <c r="Z293" s="3" t="s">
        <v>4068</v>
      </c>
      <c r="AA293" s="4" t="s">
        <v>4069</v>
      </c>
      <c r="AB293" s="4" t="s">
        <v>4070</v>
      </c>
      <c r="AC293" s="5" t="s">
        <v>56</v>
      </c>
      <c r="AH293" s="5" t="str">
        <f t="shared" si="19"/>
        <v>Y</v>
      </c>
      <c r="AI293" s="3" t="s">
        <v>4071</v>
      </c>
      <c r="AJ293" s="3" t="s">
        <v>4072</v>
      </c>
      <c r="AK293" s="3" t="s">
        <v>4073</v>
      </c>
      <c r="AL293" s="3" t="s">
        <v>4074</v>
      </c>
      <c r="AM293" s="4" t="s">
        <v>62</v>
      </c>
      <c r="AP293" s="5">
        <v>1</v>
      </c>
      <c r="AT293" s="7"/>
      <c r="AU293" s="7"/>
      <c r="AV293" s="7"/>
      <c r="AW293" s="7"/>
      <c r="AX293" s="7"/>
      <c r="AY293" s="7"/>
      <c r="AZ293" s="7"/>
      <c r="BA293" s="7"/>
      <c r="BB293" s="7"/>
      <c r="BC293" s="7"/>
      <c r="BD293" s="7"/>
      <c r="BE293" s="7"/>
      <c r="BF293" s="7"/>
      <c r="BG293" s="7"/>
      <c r="BH293" s="7"/>
      <c r="BI293" s="7"/>
      <c r="BJ293" s="7"/>
      <c r="BK293" s="7"/>
      <c r="BL293" s="7"/>
      <c r="BM293" s="7"/>
      <c r="BN293" s="7"/>
      <c r="BO293" s="7"/>
      <c r="BP293" s="7"/>
      <c r="BQ293" s="7"/>
      <c r="BR293" s="7"/>
      <c r="BS293" s="7"/>
      <c r="BT293" s="7"/>
      <c r="BU293" s="7"/>
      <c r="BV293" s="7"/>
      <c r="BW293" s="7"/>
      <c r="BX293" s="7"/>
      <c r="BY293" s="7"/>
      <c r="BZ293" s="7"/>
    </row>
    <row r="294" ht="16.5" customHeight="1">
      <c r="A294" s="3" t="s">
        <v>4075</v>
      </c>
      <c r="B294" s="3" t="s">
        <v>4076</v>
      </c>
      <c r="C294" s="3" t="s">
        <v>4077</v>
      </c>
      <c r="D294" s="3" t="s">
        <v>1324</v>
      </c>
      <c r="E294" s="4" t="s">
        <v>1409</v>
      </c>
      <c r="F294" s="3">
        <v>6121</v>
      </c>
      <c r="H294" s="5" t="str">
        <f t="shared" si="16"/>
        <v>N</v>
      </c>
      <c r="I294" s="4" t="s">
        <v>4078</v>
      </c>
      <c r="J294" s="4" t="s">
        <v>4079</v>
      </c>
      <c r="K294" s="4" t="s">
        <v>4080</v>
      </c>
      <c r="L294" s="4" t="s">
        <v>1930</v>
      </c>
      <c r="M294" s="4" t="s">
        <v>4081</v>
      </c>
      <c r="N294" s="4" t="s">
        <v>4082</v>
      </c>
      <c r="O294" s="4" t="s">
        <v>4083</v>
      </c>
      <c r="P294" s="4" t="s">
        <v>4084</v>
      </c>
      <c r="Q294" s="4" t="s">
        <v>4085</v>
      </c>
      <c r="R294" s="4" t="s">
        <v>4086</v>
      </c>
      <c r="S294" s="3" t="s">
        <v>4087</v>
      </c>
      <c r="T294" s="5" t="str">
        <f t="shared" si="17"/>
        <v>Y</v>
      </c>
      <c r="W294" s="5" t="str">
        <f t="shared" si="18"/>
        <v>Y</v>
      </c>
      <c r="X294" s="4" t="s">
        <v>51</v>
      </c>
      <c r="Y294" s="3" t="s">
        <v>4088</v>
      </c>
      <c r="Z294" s="3" t="s">
        <v>4089</v>
      </c>
      <c r="AA294" s="4" t="s">
        <v>4090</v>
      </c>
      <c r="AB294" s="4" t="s">
        <v>4091</v>
      </c>
      <c r="AC294" s="5" t="s">
        <v>56</v>
      </c>
      <c r="AH294" s="5" t="str">
        <f t="shared" si="19"/>
        <v>Y</v>
      </c>
      <c r="AI294" s="3" t="s">
        <v>4092</v>
      </c>
      <c r="AJ294" s="3" t="s">
        <v>4093</v>
      </c>
      <c r="AK294" s="3" t="s">
        <v>4094</v>
      </c>
      <c r="AL294" s="3" t="s">
        <v>4095</v>
      </c>
      <c r="AM294" s="4" t="s">
        <v>62</v>
      </c>
      <c r="AP294" s="5">
        <v>1</v>
      </c>
      <c r="AT294" s="7"/>
      <c r="AU294" s="7"/>
      <c r="AV294" s="7"/>
      <c r="AW294" s="7"/>
      <c r="AX294" s="7"/>
      <c r="AY294" s="7"/>
      <c r="AZ294" s="7"/>
      <c r="BA294" s="7"/>
      <c r="BB294" s="7"/>
      <c r="BC294" s="7"/>
      <c r="BD294" s="7"/>
      <c r="BE294" s="7"/>
      <c r="BF294" s="7"/>
      <c r="BG294" s="7"/>
      <c r="BH294" s="7"/>
      <c r="BI294" s="7"/>
      <c r="BJ294" s="7"/>
      <c r="BK294" s="7"/>
      <c r="BL294" s="7"/>
      <c r="BM294" s="7"/>
      <c r="BN294" s="7"/>
      <c r="BO294" s="7"/>
      <c r="BP294" s="7"/>
      <c r="BQ294" s="7"/>
      <c r="BR294" s="7"/>
      <c r="BS294" s="7"/>
      <c r="BT294" s="7"/>
      <c r="BU294" s="7"/>
      <c r="BV294" s="7"/>
      <c r="BW294" s="7"/>
      <c r="BX294" s="7"/>
      <c r="BY294" s="7"/>
      <c r="BZ294" s="7"/>
    </row>
    <row r="295" ht="16.5" customHeight="1">
      <c r="A295" s="3" t="s">
        <v>4096</v>
      </c>
      <c r="B295" s="3" t="s">
        <v>4097</v>
      </c>
      <c r="C295" s="3">
        <v>0</v>
      </c>
      <c r="D295" s="3" t="s">
        <v>1324</v>
      </c>
      <c r="E295" s="4" t="s">
        <v>1409</v>
      </c>
      <c r="F295" s="3">
        <v>6167</v>
      </c>
      <c r="H295" s="5" t="str">
        <f t="shared" si="16"/>
        <v>N</v>
      </c>
      <c r="I295" s="4" t="s">
        <v>4098</v>
      </c>
      <c r="J295" s="4" t="s">
        <v>4099</v>
      </c>
      <c r="K295" s="4" t="s">
        <v>4100</v>
      </c>
      <c r="L295" s="4" t="s">
        <v>1930</v>
      </c>
      <c r="M295" s="4" t="s">
        <v>4101</v>
      </c>
      <c r="N295" s="4" t="s">
        <v>4102</v>
      </c>
      <c r="O295" s="4" t="s">
        <v>4103</v>
      </c>
      <c r="P295" s="4" t="s">
        <v>4104</v>
      </c>
      <c r="Q295" s="4" t="s">
        <v>4105</v>
      </c>
      <c r="R295" s="4" t="s">
        <v>4106</v>
      </c>
      <c r="S295" s="3" t="s">
        <v>4107</v>
      </c>
      <c r="T295" s="5" t="str">
        <f t="shared" si="17"/>
        <v>Y</v>
      </c>
      <c r="W295" s="5" t="str">
        <f t="shared" si="18"/>
        <v>Y</v>
      </c>
      <c r="X295" s="4" t="s">
        <v>51</v>
      </c>
      <c r="Y295" s="3" t="s">
        <v>4108</v>
      </c>
      <c r="Z295" s="3" t="s">
        <v>4109</v>
      </c>
      <c r="AA295" s="4" t="s">
        <v>4110</v>
      </c>
      <c r="AB295" s="4" t="s">
        <v>4111</v>
      </c>
      <c r="AC295" s="5" t="s">
        <v>56</v>
      </c>
      <c r="AH295" s="5" t="str">
        <f t="shared" si="19"/>
        <v>Y</v>
      </c>
      <c r="AI295" s="3" t="s">
        <v>4112</v>
      </c>
      <c r="AJ295" s="3" t="s">
        <v>4113</v>
      </c>
      <c r="AK295" s="3" t="s">
        <v>4114</v>
      </c>
      <c r="AL295" s="3" t="s">
        <v>4115</v>
      </c>
      <c r="AM295" s="4" t="s">
        <v>62</v>
      </c>
      <c r="AP295" s="5">
        <v>1</v>
      </c>
      <c r="AT295" s="7"/>
      <c r="AU295" s="7"/>
      <c r="AV295" s="7"/>
      <c r="AW295" s="7"/>
      <c r="AX295" s="7"/>
      <c r="AY295" s="7"/>
      <c r="AZ295" s="7"/>
      <c r="BA295" s="7"/>
      <c r="BB295" s="7"/>
      <c r="BC295" s="7"/>
      <c r="BD295" s="7"/>
      <c r="BE295" s="7"/>
      <c r="BF295" s="7"/>
      <c r="BG295" s="7"/>
      <c r="BH295" s="7"/>
      <c r="BI295" s="7"/>
      <c r="BJ295" s="7"/>
      <c r="BK295" s="7"/>
      <c r="BL295" s="7"/>
      <c r="BM295" s="7"/>
      <c r="BN295" s="7"/>
      <c r="BO295" s="7"/>
      <c r="BP295" s="7"/>
      <c r="BQ295" s="7"/>
      <c r="BR295" s="7"/>
      <c r="BS295" s="7"/>
      <c r="BT295" s="7"/>
      <c r="BU295" s="7"/>
      <c r="BV295" s="7"/>
      <c r="BW295" s="7"/>
      <c r="BX295" s="7"/>
      <c r="BY295" s="7"/>
      <c r="BZ295" s="7"/>
    </row>
    <row r="296" ht="16.5" customHeight="1">
      <c r="A296" s="3" t="s">
        <v>4116</v>
      </c>
      <c r="B296" s="3" t="s">
        <v>4117</v>
      </c>
      <c r="C296" s="3" t="s">
        <v>1486</v>
      </c>
      <c r="D296" s="3" t="s">
        <v>1487</v>
      </c>
      <c r="E296" s="4" t="s">
        <v>594</v>
      </c>
      <c r="F296" s="3">
        <v>2356</v>
      </c>
      <c r="H296" s="5" t="str">
        <f t="shared" si="16"/>
        <v>N</v>
      </c>
      <c r="I296" s="4" t="s">
        <v>4118</v>
      </c>
      <c r="J296" s="4" t="s">
        <v>1492</v>
      </c>
      <c r="K296" s="4" t="s">
        <v>4119</v>
      </c>
      <c r="L296" s="4" t="s">
        <v>4120</v>
      </c>
      <c r="M296" s="4" t="s">
        <v>4121</v>
      </c>
      <c r="N296" s="4" t="s">
        <v>4122</v>
      </c>
      <c r="O296" s="4" t="s">
        <v>4123</v>
      </c>
      <c r="P296" s="4" t="s">
        <v>2237</v>
      </c>
      <c r="Q296" s="4" t="s">
        <v>4124</v>
      </c>
      <c r="R296" s="4" t="s">
        <v>4125</v>
      </c>
      <c r="S296" s="4" t="s">
        <v>312</v>
      </c>
      <c r="T296" s="5" t="str">
        <f t="shared" si="17"/>
        <v>Y</v>
      </c>
      <c r="W296" s="5" t="str">
        <f t="shared" si="18"/>
        <v>Y</v>
      </c>
      <c r="X296" s="4" t="s">
        <v>51</v>
      </c>
      <c r="Y296" s="4" t="s">
        <v>4126</v>
      </c>
      <c r="Z296" s="4" t="s">
        <v>4127</v>
      </c>
      <c r="AA296" s="4" t="s">
        <v>4128</v>
      </c>
      <c r="AB296" s="4" t="s">
        <v>4129</v>
      </c>
      <c r="AC296" s="5" t="s">
        <v>56</v>
      </c>
      <c r="AH296" s="5" t="str">
        <f t="shared" si="19"/>
        <v>Y</v>
      </c>
      <c r="AI296" s="4" t="s">
        <v>4130</v>
      </c>
      <c r="AJ296" s="4" t="s">
        <v>4131</v>
      </c>
      <c r="AK296" s="3" t="s">
        <v>4132</v>
      </c>
      <c r="AL296" s="3" t="s">
        <v>4133</v>
      </c>
      <c r="AM296" s="4" t="s">
        <v>62</v>
      </c>
      <c r="AP296" s="5">
        <v>1</v>
      </c>
      <c r="AT296" s="7"/>
      <c r="AU296" s="7"/>
      <c r="AV296" s="7"/>
      <c r="AW296" s="7"/>
      <c r="AX296" s="7"/>
      <c r="AY296" s="7"/>
      <c r="AZ296" s="7"/>
      <c r="BA296" s="7"/>
      <c r="BB296" s="7"/>
      <c r="BC296" s="7"/>
      <c r="BD296" s="7"/>
      <c r="BE296" s="7"/>
      <c r="BF296" s="7"/>
      <c r="BG296" s="7"/>
      <c r="BH296" s="7"/>
      <c r="BI296" s="7"/>
      <c r="BJ296" s="7"/>
      <c r="BK296" s="7"/>
      <c r="BL296" s="7"/>
      <c r="BM296" s="7"/>
      <c r="BN296" s="7"/>
      <c r="BO296" s="7"/>
      <c r="BP296" s="7"/>
      <c r="BQ296" s="7"/>
      <c r="BR296" s="7"/>
      <c r="BS296" s="7"/>
      <c r="BT296" s="7"/>
      <c r="BU296" s="7"/>
      <c r="BV296" s="7"/>
      <c r="BW296" s="7"/>
      <c r="BX296" s="7"/>
      <c r="BY296" s="7"/>
      <c r="BZ296" s="7"/>
    </row>
    <row r="297" ht="16.5" customHeight="1">
      <c r="A297" s="3" t="s">
        <v>4134</v>
      </c>
      <c r="B297" s="3" t="s">
        <v>4135</v>
      </c>
      <c r="C297" s="3">
        <v>0</v>
      </c>
      <c r="D297" s="3" t="s">
        <v>1487</v>
      </c>
      <c r="E297" s="4" t="s">
        <v>594</v>
      </c>
      <c r="F297" s="3">
        <v>10686</v>
      </c>
      <c r="H297" s="5" t="str">
        <f t="shared" si="16"/>
        <v>N</v>
      </c>
      <c r="I297" s="4" t="s">
        <v>4136</v>
      </c>
      <c r="J297" s="4" t="s">
        <v>4137</v>
      </c>
      <c r="K297" s="4" t="s">
        <v>4138</v>
      </c>
      <c r="L297" s="4" t="s">
        <v>596</v>
      </c>
      <c r="M297" s="4" t="s">
        <v>4139</v>
      </c>
      <c r="N297" s="4" t="s">
        <v>701</v>
      </c>
      <c r="O297" s="4" t="s">
        <v>4140</v>
      </c>
      <c r="P297" s="4" t="s">
        <v>4141</v>
      </c>
      <c r="Q297" s="4" t="s">
        <v>4142</v>
      </c>
      <c r="R297" s="4" t="s">
        <v>4143</v>
      </c>
      <c r="S297" s="4" t="s">
        <v>312</v>
      </c>
      <c r="T297" s="5" t="str">
        <f t="shared" si="17"/>
        <v>Y</v>
      </c>
      <c r="W297" s="5" t="str">
        <f t="shared" si="18"/>
        <v>Y</v>
      </c>
      <c r="X297" s="4" t="s">
        <v>51</v>
      </c>
      <c r="Y297" s="4" t="s">
        <v>4144</v>
      </c>
      <c r="Z297" s="4" t="s">
        <v>4145</v>
      </c>
      <c r="AA297" s="4" t="s">
        <v>4146</v>
      </c>
      <c r="AB297" s="4" t="s">
        <v>4147</v>
      </c>
      <c r="AC297" s="5" t="s">
        <v>56</v>
      </c>
      <c r="AH297" s="5" t="str">
        <f t="shared" si="19"/>
        <v>Y</v>
      </c>
      <c r="AI297" s="4" t="s">
        <v>4148</v>
      </c>
      <c r="AJ297" s="4" t="s">
        <v>4149</v>
      </c>
      <c r="AK297" s="3" t="s">
        <v>4150</v>
      </c>
      <c r="AL297" s="3" t="s">
        <v>4151</v>
      </c>
      <c r="AM297" s="4" t="s">
        <v>62</v>
      </c>
      <c r="AP297" s="5">
        <v>1</v>
      </c>
      <c r="AT297" s="7"/>
      <c r="AU297" s="7"/>
      <c r="AV297" s="7"/>
      <c r="AW297" s="7"/>
      <c r="AX297" s="7"/>
      <c r="AY297" s="7"/>
      <c r="AZ297" s="7"/>
      <c r="BA297" s="7"/>
      <c r="BB297" s="7"/>
      <c r="BC297" s="7"/>
      <c r="BD297" s="7"/>
      <c r="BE297" s="7"/>
      <c r="BF297" s="7"/>
      <c r="BG297" s="7"/>
      <c r="BH297" s="7"/>
      <c r="BI297" s="7"/>
      <c r="BJ297" s="7"/>
      <c r="BK297" s="7"/>
      <c r="BL297" s="7"/>
      <c r="BM297" s="7"/>
      <c r="BN297" s="7"/>
      <c r="BO297" s="7"/>
      <c r="BP297" s="7"/>
      <c r="BQ297" s="7"/>
      <c r="BR297" s="7"/>
      <c r="BS297" s="7"/>
      <c r="BT297" s="7"/>
      <c r="BU297" s="7"/>
      <c r="BV297" s="7"/>
      <c r="BW297" s="7"/>
      <c r="BX297" s="7"/>
      <c r="BY297" s="7"/>
      <c r="BZ297" s="7"/>
    </row>
    <row r="298" ht="16.5" customHeight="1">
      <c r="A298" s="3" t="s">
        <v>4152</v>
      </c>
      <c r="B298" s="3" t="s">
        <v>4153</v>
      </c>
      <c r="C298" s="3">
        <v>0</v>
      </c>
      <c r="D298" s="3" t="s">
        <v>1487</v>
      </c>
      <c r="E298" s="4" t="s">
        <v>594</v>
      </c>
      <c r="F298" s="3">
        <v>2359</v>
      </c>
      <c r="H298" s="5" t="str">
        <f t="shared" si="16"/>
        <v>N</v>
      </c>
      <c r="I298" s="4" t="s">
        <v>4154</v>
      </c>
      <c r="J298" s="4" t="s">
        <v>4155</v>
      </c>
      <c r="K298" s="4" t="s">
        <v>4156</v>
      </c>
      <c r="L298" s="4" t="s">
        <v>4157</v>
      </c>
      <c r="M298" s="4" t="s">
        <v>4158</v>
      </c>
      <c r="N298" s="4" t="s">
        <v>4159</v>
      </c>
      <c r="O298" s="4" t="s">
        <v>4160</v>
      </c>
      <c r="P298" s="4" t="s">
        <v>596</v>
      </c>
      <c r="Q298" s="4" t="s">
        <v>4161</v>
      </c>
      <c r="R298" s="4" t="s">
        <v>4162</v>
      </c>
      <c r="S298" s="4" t="s">
        <v>312</v>
      </c>
      <c r="T298" s="5" t="str">
        <f t="shared" si="17"/>
        <v>Y</v>
      </c>
      <c r="W298" s="5" t="str">
        <f t="shared" si="18"/>
        <v>Y</v>
      </c>
      <c r="X298" s="4" t="s">
        <v>51</v>
      </c>
      <c r="Y298" s="4" t="s">
        <v>4163</v>
      </c>
      <c r="Z298" s="4" t="s">
        <v>4164</v>
      </c>
      <c r="AA298" s="4" t="s">
        <v>4165</v>
      </c>
      <c r="AB298" s="4" t="s">
        <v>4166</v>
      </c>
      <c r="AC298" s="5" t="s">
        <v>56</v>
      </c>
      <c r="AH298" s="5" t="str">
        <f t="shared" si="19"/>
        <v>Y</v>
      </c>
      <c r="AI298" s="4" t="s">
        <v>4167</v>
      </c>
      <c r="AJ298" s="4" t="s">
        <v>4168</v>
      </c>
      <c r="AK298" s="3" t="s">
        <v>4169</v>
      </c>
      <c r="AL298" s="3" t="s">
        <v>4170</v>
      </c>
      <c r="AM298" s="4" t="s">
        <v>62</v>
      </c>
      <c r="AP298" s="5">
        <v>1</v>
      </c>
      <c r="AT298" s="7"/>
      <c r="AU298" s="7"/>
      <c r="AV298" s="7"/>
      <c r="AW298" s="7"/>
      <c r="AX298" s="7"/>
      <c r="AY298" s="7"/>
      <c r="AZ298" s="7"/>
      <c r="BA298" s="7"/>
      <c r="BB298" s="7"/>
      <c r="BC298" s="7"/>
      <c r="BD298" s="7"/>
      <c r="BE298" s="7"/>
      <c r="BF298" s="7"/>
      <c r="BG298" s="7"/>
      <c r="BH298" s="7"/>
      <c r="BI298" s="7"/>
      <c r="BJ298" s="7"/>
      <c r="BK298" s="7"/>
      <c r="BL298" s="7"/>
      <c r="BM298" s="7"/>
      <c r="BN298" s="7"/>
      <c r="BO298" s="7"/>
      <c r="BP298" s="7"/>
      <c r="BQ298" s="7"/>
      <c r="BR298" s="7"/>
      <c r="BS298" s="7"/>
      <c r="BT298" s="7"/>
      <c r="BU298" s="7"/>
      <c r="BV298" s="7"/>
      <c r="BW298" s="7"/>
      <c r="BX298" s="7"/>
      <c r="BY298" s="7"/>
      <c r="BZ298" s="7"/>
    </row>
    <row r="299" ht="16.5" customHeight="1">
      <c r="A299" s="3" t="s">
        <v>4171</v>
      </c>
      <c r="B299" s="3" t="s">
        <v>4172</v>
      </c>
      <c r="C299" s="3">
        <v>0</v>
      </c>
      <c r="D299" s="3" t="s">
        <v>1487</v>
      </c>
      <c r="E299" s="4" t="s">
        <v>594</v>
      </c>
      <c r="F299" s="3">
        <v>2354</v>
      </c>
      <c r="H299" s="5" t="str">
        <f t="shared" si="16"/>
        <v>N</v>
      </c>
      <c r="I299" s="4" t="s">
        <v>4173</v>
      </c>
      <c r="J299" s="4" t="s">
        <v>4174</v>
      </c>
      <c r="K299" s="4" t="s">
        <v>4175</v>
      </c>
      <c r="L299" s="4" t="s">
        <v>2044</v>
      </c>
      <c r="M299" s="4" t="s">
        <v>4176</v>
      </c>
      <c r="N299" s="4" t="s">
        <v>596</v>
      </c>
      <c r="O299" s="4" t="s">
        <v>4177</v>
      </c>
      <c r="P299" s="4" t="s">
        <v>4178</v>
      </c>
      <c r="Q299" s="4" t="s">
        <v>4179</v>
      </c>
      <c r="R299" s="4" t="s">
        <v>4180</v>
      </c>
      <c r="S299" s="4" t="s">
        <v>312</v>
      </c>
      <c r="T299" s="5" t="str">
        <f t="shared" si="17"/>
        <v>Y</v>
      </c>
      <c r="W299" s="5" t="str">
        <f t="shared" si="18"/>
        <v>Y</v>
      </c>
      <c r="X299" s="4" t="s">
        <v>51</v>
      </c>
      <c r="Y299" s="4" t="s">
        <v>4181</v>
      </c>
      <c r="Z299" s="4" t="s">
        <v>4182</v>
      </c>
      <c r="AA299" s="4" t="s">
        <v>4183</v>
      </c>
      <c r="AB299" s="4" t="s">
        <v>4184</v>
      </c>
      <c r="AC299" s="5" t="s">
        <v>56</v>
      </c>
      <c r="AH299" s="5" t="str">
        <f t="shared" si="19"/>
        <v>Y</v>
      </c>
      <c r="AI299" s="4" t="s">
        <v>4185</v>
      </c>
      <c r="AJ299" s="4" t="s">
        <v>4186</v>
      </c>
      <c r="AK299" s="3" t="s">
        <v>4187</v>
      </c>
      <c r="AL299" s="3" t="s">
        <v>4188</v>
      </c>
      <c r="AM299" s="4" t="s">
        <v>62</v>
      </c>
      <c r="AP299" s="5">
        <v>1</v>
      </c>
      <c r="AT299" s="7"/>
      <c r="AU299" s="7"/>
      <c r="AV299" s="7"/>
      <c r="AW299" s="7"/>
      <c r="AX299" s="7"/>
      <c r="AY299" s="7"/>
      <c r="AZ299" s="7"/>
      <c r="BA299" s="7"/>
      <c r="BB299" s="7"/>
      <c r="BC299" s="7"/>
      <c r="BD299" s="7"/>
      <c r="BE299" s="7"/>
      <c r="BF299" s="7"/>
      <c r="BG299" s="7"/>
      <c r="BH299" s="7"/>
      <c r="BI299" s="7"/>
      <c r="BJ299" s="7"/>
      <c r="BK299" s="7"/>
      <c r="BL299" s="7"/>
      <c r="BM299" s="7"/>
      <c r="BN299" s="7"/>
      <c r="BO299" s="7"/>
      <c r="BP299" s="7"/>
      <c r="BQ299" s="7"/>
      <c r="BR299" s="7"/>
      <c r="BS299" s="7"/>
      <c r="BT299" s="7"/>
      <c r="BU299" s="7"/>
      <c r="BV299" s="7"/>
      <c r="BW299" s="7"/>
      <c r="BX299" s="7"/>
      <c r="BY299" s="7"/>
      <c r="BZ299" s="7"/>
    </row>
    <row r="300" ht="16.5" customHeight="1">
      <c r="A300" s="3" t="s">
        <v>4189</v>
      </c>
      <c r="B300" s="3" t="s">
        <v>4190</v>
      </c>
      <c r="C300" s="3" t="s">
        <v>1486</v>
      </c>
      <c r="D300" s="3" t="s">
        <v>1487</v>
      </c>
      <c r="E300" s="4" t="s">
        <v>594</v>
      </c>
      <c r="F300" s="3">
        <v>8972</v>
      </c>
      <c r="H300" s="5" t="str">
        <f t="shared" si="16"/>
        <v>N</v>
      </c>
      <c r="I300" s="4" t="s">
        <v>4191</v>
      </c>
      <c r="J300" s="4" t="s">
        <v>4137</v>
      </c>
      <c r="K300" s="4" t="s">
        <v>4192</v>
      </c>
      <c r="L300" s="4" t="s">
        <v>596</v>
      </c>
      <c r="M300" s="4" t="s">
        <v>4193</v>
      </c>
      <c r="N300" s="4" t="s">
        <v>4120</v>
      </c>
      <c r="O300" s="4" t="s">
        <v>4194</v>
      </c>
      <c r="P300" s="4" t="s">
        <v>4195</v>
      </c>
      <c r="Q300" s="4" t="s">
        <v>4196</v>
      </c>
      <c r="R300" s="4" t="s">
        <v>4197</v>
      </c>
      <c r="S300" s="4" t="s">
        <v>312</v>
      </c>
      <c r="T300" s="5" t="str">
        <f t="shared" si="17"/>
        <v>Y</v>
      </c>
      <c r="W300" s="5" t="str">
        <f t="shared" si="18"/>
        <v>Y</v>
      </c>
      <c r="X300" s="4" t="s">
        <v>51</v>
      </c>
      <c r="Y300" s="4" t="s">
        <v>4198</v>
      </c>
      <c r="Z300" s="4" t="s">
        <v>4199</v>
      </c>
      <c r="AA300" s="4" t="s">
        <v>4200</v>
      </c>
      <c r="AB300" s="4" t="s">
        <v>4201</v>
      </c>
      <c r="AC300" s="5" t="s">
        <v>56</v>
      </c>
      <c r="AH300" s="5" t="str">
        <f t="shared" si="19"/>
        <v>Y</v>
      </c>
      <c r="AI300" s="4" t="s">
        <v>4202</v>
      </c>
      <c r="AJ300" s="4" t="s">
        <v>4203</v>
      </c>
      <c r="AK300" s="3" t="s">
        <v>4204</v>
      </c>
      <c r="AL300" s="3" t="s">
        <v>4205</v>
      </c>
      <c r="AM300" s="4" t="s">
        <v>62</v>
      </c>
      <c r="AP300" s="5">
        <v>1</v>
      </c>
      <c r="AT300" s="7"/>
      <c r="AU300" s="7"/>
      <c r="AV300" s="7"/>
      <c r="AW300" s="7"/>
      <c r="AX300" s="7"/>
      <c r="AY300" s="7"/>
      <c r="AZ300" s="7"/>
      <c r="BA300" s="7"/>
      <c r="BB300" s="7"/>
      <c r="BC300" s="7"/>
      <c r="BD300" s="7"/>
      <c r="BE300" s="7"/>
      <c r="BF300" s="7"/>
      <c r="BG300" s="7"/>
      <c r="BH300" s="7"/>
      <c r="BI300" s="7"/>
      <c r="BJ300" s="7"/>
      <c r="BK300" s="7"/>
      <c r="BL300" s="7"/>
      <c r="BM300" s="7"/>
      <c r="BN300" s="7"/>
      <c r="BO300" s="7"/>
      <c r="BP300" s="7"/>
      <c r="BQ300" s="7"/>
      <c r="BR300" s="7"/>
      <c r="BS300" s="7"/>
      <c r="BT300" s="7"/>
      <c r="BU300" s="7"/>
      <c r="BV300" s="7"/>
      <c r="BW300" s="7"/>
      <c r="BX300" s="7"/>
      <c r="BY300" s="7"/>
      <c r="BZ300" s="7"/>
    </row>
    <row r="301" ht="16.5" customHeight="1">
      <c r="A301" s="3" t="s">
        <v>4206</v>
      </c>
      <c r="B301" s="3" t="s">
        <v>4207</v>
      </c>
      <c r="C301" s="3" t="s">
        <v>4208</v>
      </c>
      <c r="D301" s="3" t="s">
        <v>1487</v>
      </c>
      <c r="E301" s="4" t="s">
        <v>594</v>
      </c>
      <c r="F301" s="3">
        <v>4585</v>
      </c>
      <c r="H301" s="5" t="str">
        <f t="shared" si="16"/>
        <v>N</v>
      </c>
      <c r="I301" s="4" t="s">
        <v>4209</v>
      </c>
      <c r="J301" s="4" t="s">
        <v>600</v>
      </c>
      <c r="K301" s="4" t="s">
        <v>4210</v>
      </c>
      <c r="L301" s="4" t="s">
        <v>4211</v>
      </c>
      <c r="M301" s="4" t="s">
        <v>4212</v>
      </c>
      <c r="N301" s="4" t="s">
        <v>4213</v>
      </c>
      <c r="O301" s="4" t="s">
        <v>4214</v>
      </c>
      <c r="P301" s="4" t="s">
        <v>1185</v>
      </c>
      <c r="Q301" s="4" t="s">
        <v>4215</v>
      </c>
      <c r="R301" s="4" t="s">
        <v>4216</v>
      </c>
      <c r="S301" s="4" t="s">
        <v>312</v>
      </c>
      <c r="T301" s="5" t="str">
        <f t="shared" si="17"/>
        <v>Y</v>
      </c>
      <c r="W301" s="5" t="str">
        <f t="shared" si="18"/>
        <v>Y</v>
      </c>
      <c r="X301" s="4" t="s">
        <v>51</v>
      </c>
      <c r="Y301" s="4" t="s">
        <v>4217</v>
      </c>
      <c r="Z301" s="4" t="s">
        <v>4218</v>
      </c>
      <c r="AA301" s="4" t="s">
        <v>4219</v>
      </c>
      <c r="AB301" s="4" t="s">
        <v>4220</v>
      </c>
      <c r="AC301" s="5" t="s">
        <v>56</v>
      </c>
      <c r="AH301" s="5" t="str">
        <f t="shared" si="19"/>
        <v>Y</v>
      </c>
      <c r="AI301" s="4" t="s">
        <v>4221</v>
      </c>
      <c r="AJ301" s="4" t="s">
        <v>4222</v>
      </c>
      <c r="AK301" s="3" t="s">
        <v>4223</v>
      </c>
      <c r="AL301" s="3" t="s">
        <v>4224</v>
      </c>
      <c r="AM301" s="4" t="s">
        <v>62</v>
      </c>
      <c r="AP301" s="5">
        <v>1</v>
      </c>
      <c r="AT301" s="7"/>
      <c r="AU301" s="7"/>
      <c r="AV301" s="7"/>
      <c r="AW301" s="7"/>
      <c r="AX301" s="7"/>
      <c r="AY301" s="7"/>
      <c r="AZ301" s="7"/>
      <c r="BA301" s="7"/>
      <c r="BB301" s="7"/>
      <c r="BC301" s="7"/>
      <c r="BD301" s="7"/>
      <c r="BE301" s="7"/>
      <c r="BF301" s="7"/>
      <c r="BG301" s="7"/>
      <c r="BH301" s="7"/>
      <c r="BI301" s="7"/>
      <c r="BJ301" s="7"/>
      <c r="BK301" s="7"/>
      <c r="BL301" s="7"/>
      <c r="BM301" s="7"/>
      <c r="BN301" s="7"/>
      <c r="BO301" s="7"/>
      <c r="BP301" s="7"/>
      <c r="BQ301" s="7"/>
      <c r="BR301" s="7"/>
      <c r="BS301" s="7"/>
      <c r="BT301" s="7"/>
      <c r="BU301" s="7"/>
      <c r="BV301" s="7"/>
      <c r="BW301" s="7"/>
      <c r="BX301" s="7"/>
      <c r="BY301" s="7"/>
      <c r="BZ301" s="7"/>
    </row>
    <row r="302" ht="16.5" customHeight="1">
      <c r="A302" s="3" t="s">
        <v>4225</v>
      </c>
      <c r="B302" s="3" t="s">
        <v>4226</v>
      </c>
      <c r="C302" s="3" t="s">
        <v>4227</v>
      </c>
      <c r="D302" s="3" t="s">
        <v>1487</v>
      </c>
      <c r="E302" s="4" t="s">
        <v>2102</v>
      </c>
      <c r="F302" s="3">
        <v>3317</v>
      </c>
      <c r="H302" s="5" t="str">
        <f t="shared" si="16"/>
        <v>N</v>
      </c>
      <c r="I302" s="4" t="s">
        <v>4228</v>
      </c>
      <c r="J302" s="4" t="s">
        <v>3981</v>
      </c>
      <c r="K302" s="4" t="s">
        <v>4229</v>
      </c>
      <c r="L302" s="4" t="s">
        <v>4230</v>
      </c>
      <c r="M302" s="4" t="s">
        <v>4231</v>
      </c>
      <c r="N302" s="4" t="s">
        <v>3062</v>
      </c>
      <c r="O302" s="4" t="s">
        <v>4232</v>
      </c>
      <c r="P302" s="4" t="s">
        <v>4233</v>
      </c>
      <c r="Q302" s="4" t="s">
        <v>4234</v>
      </c>
      <c r="R302" s="4" t="s">
        <v>4235</v>
      </c>
      <c r="S302" s="4" t="s">
        <v>312</v>
      </c>
      <c r="T302" s="5" t="str">
        <f t="shared" si="17"/>
        <v>Y</v>
      </c>
      <c r="W302" s="5" t="str">
        <f t="shared" si="18"/>
        <v>Y</v>
      </c>
      <c r="X302" s="4" t="s">
        <v>51</v>
      </c>
      <c r="Y302" s="4" t="s">
        <v>4236</v>
      </c>
      <c r="Z302" s="4" t="s">
        <v>4237</v>
      </c>
      <c r="AA302" s="4" t="s">
        <v>4238</v>
      </c>
      <c r="AB302" s="4" t="s">
        <v>4239</v>
      </c>
      <c r="AC302" s="5" t="s">
        <v>56</v>
      </c>
      <c r="AH302" s="5" t="str">
        <f t="shared" si="19"/>
        <v>Y</v>
      </c>
      <c r="AI302" s="4" t="s">
        <v>4240</v>
      </c>
      <c r="AJ302" s="4" t="s">
        <v>4241</v>
      </c>
      <c r="AK302" s="3" t="s">
        <v>4242</v>
      </c>
      <c r="AL302" s="3" t="s">
        <v>4243</v>
      </c>
      <c r="AM302" s="4" t="s">
        <v>62</v>
      </c>
      <c r="AP302" s="5">
        <v>1</v>
      </c>
      <c r="AT302" s="7"/>
      <c r="AU302" s="7"/>
      <c r="AV302" s="7"/>
      <c r="AW302" s="7"/>
      <c r="AX302" s="7"/>
      <c r="AY302" s="7"/>
      <c r="AZ302" s="7"/>
      <c r="BA302" s="7"/>
      <c r="BB302" s="7"/>
      <c r="BC302" s="7"/>
      <c r="BD302" s="7"/>
      <c r="BE302" s="7"/>
      <c r="BF302" s="7"/>
      <c r="BG302" s="7"/>
      <c r="BH302" s="7"/>
      <c r="BI302" s="7"/>
      <c r="BJ302" s="7"/>
      <c r="BK302" s="7"/>
      <c r="BL302" s="7"/>
      <c r="BM302" s="7"/>
      <c r="BN302" s="7"/>
      <c r="BO302" s="7"/>
      <c r="BP302" s="7"/>
      <c r="BQ302" s="7"/>
      <c r="BR302" s="7"/>
      <c r="BS302" s="7"/>
      <c r="BT302" s="7"/>
      <c r="BU302" s="7"/>
      <c r="BV302" s="7"/>
      <c r="BW302" s="7"/>
      <c r="BX302" s="7"/>
      <c r="BY302" s="7"/>
      <c r="BZ302" s="7"/>
    </row>
    <row r="303" ht="16.5" customHeight="1">
      <c r="A303" s="3" t="s">
        <v>4244</v>
      </c>
      <c r="B303" s="3" t="s">
        <v>4245</v>
      </c>
      <c r="C303" s="3">
        <v>0</v>
      </c>
      <c r="D303" s="3" t="s">
        <v>1487</v>
      </c>
      <c r="E303" s="4" t="s">
        <v>1686</v>
      </c>
      <c r="F303" s="3">
        <v>6168</v>
      </c>
      <c r="H303" s="5" t="str">
        <f t="shared" si="16"/>
        <v>N</v>
      </c>
      <c r="I303" s="4" t="s">
        <v>4246</v>
      </c>
      <c r="J303" s="4" t="s">
        <v>4247</v>
      </c>
      <c r="K303" s="4" t="s">
        <v>4248</v>
      </c>
      <c r="L303" s="4" t="s">
        <v>135</v>
      </c>
      <c r="M303" s="4" t="s">
        <v>4249</v>
      </c>
      <c r="N303" s="4" t="s">
        <v>1569</v>
      </c>
      <c r="O303" s="4" t="s">
        <v>4250</v>
      </c>
      <c r="P303" s="4" t="s">
        <v>263</v>
      </c>
      <c r="Q303" s="4" t="s">
        <v>4251</v>
      </c>
      <c r="R303" s="4" t="s">
        <v>4252</v>
      </c>
      <c r="S303" s="4" t="s">
        <v>312</v>
      </c>
      <c r="T303" s="5" t="str">
        <f t="shared" si="17"/>
        <v>Y</v>
      </c>
      <c r="W303" s="5" t="str">
        <f t="shared" si="18"/>
        <v>Y</v>
      </c>
      <c r="X303" s="4" t="s">
        <v>51</v>
      </c>
      <c r="Y303" s="4" t="s">
        <v>4253</v>
      </c>
      <c r="Z303" s="4" t="s">
        <v>4254</v>
      </c>
      <c r="AA303" s="4" t="s">
        <v>4255</v>
      </c>
      <c r="AB303" s="4" t="s">
        <v>4256</v>
      </c>
      <c r="AC303" s="5" t="s">
        <v>56</v>
      </c>
      <c r="AH303" s="5" t="str">
        <f t="shared" si="19"/>
        <v>Y</v>
      </c>
      <c r="AI303" s="4" t="s">
        <v>4257</v>
      </c>
      <c r="AJ303" s="4" t="s">
        <v>4258</v>
      </c>
      <c r="AK303" s="3" t="s">
        <v>4259</v>
      </c>
      <c r="AL303" s="3" t="s">
        <v>4260</v>
      </c>
      <c r="AM303" s="4" t="s">
        <v>62</v>
      </c>
      <c r="AP303" s="5">
        <v>1</v>
      </c>
      <c r="AT303" s="7"/>
      <c r="AU303" s="7"/>
      <c r="AV303" s="7"/>
      <c r="AW303" s="7"/>
      <c r="AX303" s="7"/>
      <c r="AY303" s="7"/>
      <c r="AZ303" s="7"/>
      <c r="BA303" s="7"/>
      <c r="BB303" s="7"/>
      <c r="BC303" s="7"/>
      <c r="BD303" s="7"/>
      <c r="BE303" s="7"/>
      <c r="BF303" s="7"/>
      <c r="BG303" s="7"/>
      <c r="BH303" s="7"/>
      <c r="BI303" s="7"/>
      <c r="BJ303" s="7"/>
      <c r="BK303" s="7"/>
      <c r="BL303" s="7"/>
      <c r="BM303" s="7"/>
      <c r="BN303" s="7"/>
      <c r="BO303" s="7"/>
      <c r="BP303" s="7"/>
      <c r="BQ303" s="7"/>
      <c r="BR303" s="7"/>
      <c r="BS303" s="7"/>
      <c r="BT303" s="7"/>
      <c r="BU303" s="7"/>
      <c r="BV303" s="7"/>
      <c r="BW303" s="7"/>
      <c r="BX303" s="7"/>
      <c r="BY303" s="7"/>
      <c r="BZ303" s="7"/>
    </row>
    <row r="304" ht="16.5" customHeight="1">
      <c r="A304" s="3" t="s">
        <v>4261</v>
      </c>
      <c r="B304" s="3" t="s">
        <v>4262</v>
      </c>
      <c r="C304" s="3" t="s">
        <v>4263</v>
      </c>
      <c r="D304" s="3" t="s">
        <v>1487</v>
      </c>
      <c r="E304" s="4" t="s">
        <v>793</v>
      </c>
      <c r="F304" s="3">
        <v>4112</v>
      </c>
      <c r="H304" s="5" t="str">
        <f t="shared" si="16"/>
        <v>N</v>
      </c>
      <c r="I304" s="4" t="s">
        <v>4264</v>
      </c>
      <c r="J304" s="4" t="s">
        <v>4265</v>
      </c>
      <c r="K304" s="4" t="s">
        <v>4266</v>
      </c>
      <c r="L304" s="4" t="s">
        <v>4267</v>
      </c>
      <c r="M304" s="4" t="s">
        <v>4268</v>
      </c>
      <c r="N304" s="4" t="s">
        <v>4269</v>
      </c>
      <c r="O304" s="4" t="s">
        <v>4270</v>
      </c>
      <c r="P304" s="4" t="s">
        <v>4271</v>
      </c>
      <c r="Q304" s="4" t="s">
        <v>4272</v>
      </c>
      <c r="R304" s="4" t="s">
        <v>4273</v>
      </c>
      <c r="S304" s="4" t="s">
        <v>182</v>
      </c>
      <c r="T304" s="5" t="str">
        <f t="shared" si="17"/>
        <v>Y</v>
      </c>
      <c r="W304" s="5" t="str">
        <f t="shared" si="18"/>
        <v>Y</v>
      </c>
      <c r="X304" s="4" t="s">
        <v>51</v>
      </c>
      <c r="Y304" s="4" t="s">
        <v>4274</v>
      </c>
      <c r="Z304" s="4" t="s">
        <v>4275</v>
      </c>
      <c r="AA304" s="4" t="s">
        <v>4276</v>
      </c>
      <c r="AB304" s="4" t="s">
        <v>4277</v>
      </c>
      <c r="AC304" s="5" t="s">
        <v>56</v>
      </c>
      <c r="AH304" s="5" t="str">
        <f t="shared" si="19"/>
        <v>Y</v>
      </c>
      <c r="AI304" s="4" t="s">
        <v>4278</v>
      </c>
      <c r="AJ304" s="4" t="s">
        <v>4279</v>
      </c>
      <c r="AK304" s="3" t="s">
        <v>4280</v>
      </c>
      <c r="AL304" s="3" t="s">
        <v>4281</v>
      </c>
      <c r="AM304" s="4" t="s">
        <v>62</v>
      </c>
      <c r="AP304" s="5">
        <v>1</v>
      </c>
      <c r="AT304" s="7"/>
      <c r="AU304" s="7"/>
      <c r="AV304" s="7"/>
      <c r="AW304" s="7"/>
      <c r="AX304" s="7"/>
      <c r="AY304" s="7"/>
      <c r="AZ304" s="7"/>
      <c r="BA304" s="7"/>
      <c r="BB304" s="7"/>
      <c r="BC304" s="7"/>
      <c r="BD304" s="7"/>
      <c r="BE304" s="7"/>
      <c r="BF304" s="7"/>
      <c r="BG304" s="7"/>
      <c r="BH304" s="7"/>
      <c r="BI304" s="7"/>
      <c r="BJ304" s="7"/>
      <c r="BK304" s="7"/>
      <c r="BL304" s="7"/>
      <c r="BM304" s="7"/>
      <c r="BN304" s="7"/>
      <c r="BO304" s="7"/>
      <c r="BP304" s="7"/>
      <c r="BQ304" s="7"/>
      <c r="BR304" s="7"/>
      <c r="BS304" s="7"/>
      <c r="BT304" s="7"/>
      <c r="BU304" s="7"/>
      <c r="BV304" s="7"/>
      <c r="BW304" s="7"/>
      <c r="BX304" s="7"/>
      <c r="BY304" s="7"/>
      <c r="BZ304" s="7"/>
    </row>
    <row r="305" ht="16.5" customHeight="1">
      <c r="A305" s="3" t="s">
        <v>4282</v>
      </c>
      <c r="B305" s="3" t="s">
        <v>4283</v>
      </c>
      <c r="C305" s="3" t="s">
        <v>4284</v>
      </c>
      <c r="D305" s="3" t="s">
        <v>1487</v>
      </c>
      <c r="E305" s="4" t="s">
        <v>513</v>
      </c>
      <c r="F305" s="3">
        <v>4083</v>
      </c>
      <c r="H305" s="5" t="str">
        <f t="shared" si="16"/>
        <v>N</v>
      </c>
      <c r="I305" s="4" t="s">
        <v>4285</v>
      </c>
      <c r="J305" s="4" t="s">
        <v>4286</v>
      </c>
      <c r="K305" s="4" t="s">
        <v>4287</v>
      </c>
      <c r="L305" s="4" t="s">
        <v>135</v>
      </c>
      <c r="M305" s="4" t="s">
        <v>4288</v>
      </c>
      <c r="N305" s="4" t="s">
        <v>4289</v>
      </c>
      <c r="O305" s="4" t="s">
        <v>4290</v>
      </c>
      <c r="P305" s="4" t="s">
        <v>4291</v>
      </c>
      <c r="Q305" s="4" t="s">
        <v>4292</v>
      </c>
      <c r="R305" s="4" t="s">
        <v>4293</v>
      </c>
      <c r="S305" s="4" t="s">
        <v>182</v>
      </c>
      <c r="T305" s="5" t="str">
        <f t="shared" si="17"/>
        <v>Y</v>
      </c>
      <c r="W305" s="5" t="str">
        <f t="shared" si="18"/>
        <v>Y</v>
      </c>
      <c r="X305" s="4" t="s">
        <v>51</v>
      </c>
      <c r="Y305" s="4" t="s">
        <v>4294</v>
      </c>
      <c r="Z305" s="4" t="s">
        <v>4295</v>
      </c>
      <c r="AA305" s="4" t="s">
        <v>4296</v>
      </c>
      <c r="AB305" s="4" t="s">
        <v>4297</v>
      </c>
      <c r="AC305" s="5" t="s">
        <v>56</v>
      </c>
      <c r="AH305" s="5" t="str">
        <f t="shared" si="19"/>
        <v>Y</v>
      </c>
      <c r="AI305" s="4" t="s">
        <v>4298</v>
      </c>
      <c r="AJ305" s="4" t="s">
        <v>4299</v>
      </c>
      <c r="AK305" s="3" t="s">
        <v>4300</v>
      </c>
      <c r="AL305" s="3" t="s">
        <v>4301</v>
      </c>
      <c r="AM305" s="4" t="s">
        <v>62</v>
      </c>
      <c r="AP305" s="5">
        <v>1</v>
      </c>
      <c r="AT305" s="7"/>
      <c r="AU305" s="7"/>
      <c r="AV305" s="7"/>
      <c r="AW305" s="7"/>
      <c r="AX305" s="7"/>
      <c r="AY305" s="7"/>
      <c r="AZ305" s="7"/>
      <c r="BA305" s="7"/>
      <c r="BB305" s="7"/>
      <c r="BC305" s="7"/>
      <c r="BD305" s="7"/>
      <c r="BE305" s="7"/>
      <c r="BF305" s="7"/>
      <c r="BG305" s="7"/>
      <c r="BH305" s="7"/>
      <c r="BI305" s="7"/>
      <c r="BJ305" s="7"/>
      <c r="BK305" s="7"/>
      <c r="BL305" s="7"/>
      <c r="BM305" s="7"/>
      <c r="BN305" s="7"/>
      <c r="BO305" s="7"/>
      <c r="BP305" s="7"/>
      <c r="BQ305" s="7"/>
      <c r="BR305" s="7"/>
      <c r="BS305" s="7"/>
      <c r="BT305" s="7"/>
      <c r="BU305" s="7"/>
      <c r="BV305" s="7"/>
      <c r="BW305" s="7"/>
      <c r="BX305" s="7"/>
      <c r="BY305" s="7"/>
      <c r="BZ305" s="7"/>
    </row>
    <row r="306" ht="16.5" customHeight="1">
      <c r="A306" s="3" t="s">
        <v>4302</v>
      </c>
      <c r="B306" s="3" t="s">
        <v>4303</v>
      </c>
      <c r="C306" s="3">
        <v>0</v>
      </c>
      <c r="D306" s="3" t="s">
        <v>1487</v>
      </c>
      <c r="E306" s="4" t="s">
        <v>2297</v>
      </c>
      <c r="F306" s="3">
        <v>2490</v>
      </c>
      <c r="H306" s="5" t="str">
        <f t="shared" si="16"/>
        <v>N</v>
      </c>
      <c r="I306" s="4" t="s">
        <v>4304</v>
      </c>
      <c r="J306" s="4" t="s">
        <v>4305</v>
      </c>
      <c r="K306" s="4" t="s">
        <v>4306</v>
      </c>
      <c r="L306" s="4" t="s">
        <v>2274</v>
      </c>
      <c r="M306" s="4" t="s">
        <v>4307</v>
      </c>
      <c r="N306" s="4" t="s">
        <v>4308</v>
      </c>
      <c r="O306" s="4" t="s">
        <v>4309</v>
      </c>
      <c r="P306" s="4" t="s">
        <v>4310</v>
      </c>
      <c r="Q306" s="4" t="s">
        <v>4311</v>
      </c>
      <c r="R306" s="4" t="s">
        <v>4312</v>
      </c>
      <c r="S306" s="4" t="s">
        <v>182</v>
      </c>
      <c r="T306" s="5" t="str">
        <f t="shared" si="17"/>
        <v>Y</v>
      </c>
      <c r="W306" s="5" t="str">
        <f t="shared" si="18"/>
        <v>Y</v>
      </c>
      <c r="X306" s="4" t="s">
        <v>51</v>
      </c>
      <c r="Y306" s="4" t="s">
        <v>4313</v>
      </c>
      <c r="Z306" s="4" t="s">
        <v>4314</v>
      </c>
      <c r="AA306" s="4" t="s">
        <v>4315</v>
      </c>
      <c r="AB306" s="4" t="s">
        <v>4316</v>
      </c>
      <c r="AC306" s="5" t="s">
        <v>56</v>
      </c>
      <c r="AH306" s="5" t="str">
        <f t="shared" si="19"/>
        <v>Y</v>
      </c>
      <c r="AI306" s="4" t="s">
        <v>4317</v>
      </c>
      <c r="AJ306" s="4" t="s">
        <v>4318</v>
      </c>
      <c r="AK306" s="3" t="s">
        <v>4319</v>
      </c>
      <c r="AL306" s="3" t="s">
        <v>4320</v>
      </c>
      <c r="AM306" s="4" t="s">
        <v>62</v>
      </c>
      <c r="AP306" s="5">
        <v>1</v>
      </c>
      <c r="AT306" s="7"/>
      <c r="AU306" s="7"/>
      <c r="AV306" s="7"/>
      <c r="AW306" s="7"/>
      <c r="AX306" s="7"/>
      <c r="AY306" s="7"/>
      <c r="AZ306" s="7"/>
      <c r="BA306" s="7"/>
      <c r="BB306" s="7"/>
      <c r="BC306" s="7"/>
      <c r="BD306" s="7"/>
      <c r="BE306" s="7"/>
      <c r="BF306" s="7"/>
      <c r="BG306" s="7"/>
      <c r="BH306" s="7"/>
      <c r="BI306" s="7"/>
      <c r="BJ306" s="7"/>
      <c r="BK306" s="7"/>
      <c r="BL306" s="7"/>
      <c r="BM306" s="7"/>
      <c r="BN306" s="7"/>
      <c r="BO306" s="7"/>
      <c r="BP306" s="7"/>
      <c r="BQ306" s="7"/>
      <c r="BR306" s="7"/>
      <c r="BS306" s="7"/>
      <c r="BT306" s="7"/>
      <c r="BU306" s="7"/>
      <c r="BV306" s="7"/>
      <c r="BW306" s="7"/>
      <c r="BX306" s="7"/>
      <c r="BY306" s="7"/>
      <c r="BZ306" s="7"/>
    </row>
    <row r="307" ht="16.5" customHeight="1">
      <c r="A307" s="3" t="s">
        <v>4321</v>
      </c>
      <c r="B307" s="3" t="s">
        <v>4322</v>
      </c>
      <c r="C307" s="3" t="s">
        <v>4323</v>
      </c>
      <c r="D307" s="3" t="s">
        <v>1641</v>
      </c>
      <c r="E307" s="4" t="s">
        <v>2102</v>
      </c>
      <c r="F307" s="3">
        <v>8261</v>
      </c>
      <c r="H307" s="5" t="str">
        <f t="shared" si="16"/>
        <v>N</v>
      </c>
      <c r="I307" s="4" t="s">
        <v>4324</v>
      </c>
      <c r="J307" s="4" t="s">
        <v>4325</v>
      </c>
      <c r="K307" s="4" t="s">
        <v>4326</v>
      </c>
      <c r="L307" s="4" t="s">
        <v>4327</v>
      </c>
      <c r="M307" s="4" t="s">
        <v>4328</v>
      </c>
      <c r="N307" s="4" t="s">
        <v>4329</v>
      </c>
      <c r="O307" s="4" t="s">
        <v>4330</v>
      </c>
      <c r="P307" s="4" t="s">
        <v>4331</v>
      </c>
      <c r="Q307" s="4" t="s">
        <v>4332</v>
      </c>
      <c r="R307" s="4" t="s">
        <v>4333</v>
      </c>
      <c r="S307" s="4" t="s">
        <v>312</v>
      </c>
      <c r="T307" s="5" t="str">
        <f t="shared" si="17"/>
        <v>Y</v>
      </c>
      <c r="W307" s="5" t="str">
        <f t="shared" si="18"/>
        <v>Y</v>
      </c>
      <c r="X307" s="4" t="s">
        <v>51</v>
      </c>
      <c r="Y307" s="4" t="s">
        <v>4334</v>
      </c>
      <c r="Z307" s="4" t="s">
        <v>4335</v>
      </c>
      <c r="AA307" s="4" t="s">
        <v>4336</v>
      </c>
      <c r="AB307" s="4" t="s">
        <v>4337</v>
      </c>
      <c r="AC307" s="5" t="s">
        <v>56</v>
      </c>
      <c r="AH307" s="5" t="str">
        <f t="shared" si="19"/>
        <v>Y</v>
      </c>
      <c r="AI307" s="4" t="s">
        <v>4338</v>
      </c>
      <c r="AJ307" s="4" t="s">
        <v>4339</v>
      </c>
      <c r="AK307" s="3" t="s">
        <v>4340</v>
      </c>
      <c r="AL307" s="3" t="s">
        <v>4341</v>
      </c>
      <c r="AM307" s="4" t="s">
        <v>62</v>
      </c>
      <c r="AP307" s="5">
        <v>1</v>
      </c>
      <c r="AT307" s="7"/>
      <c r="AU307" s="7"/>
      <c r="AV307" s="7"/>
      <c r="AW307" s="7"/>
      <c r="AX307" s="7"/>
      <c r="AY307" s="7"/>
      <c r="AZ307" s="7"/>
      <c r="BA307" s="7"/>
      <c r="BB307" s="7"/>
      <c r="BC307" s="7"/>
      <c r="BD307" s="7"/>
      <c r="BE307" s="7"/>
      <c r="BF307" s="7"/>
      <c r="BG307" s="7"/>
      <c r="BH307" s="7"/>
      <c r="BI307" s="7"/>
      <c r="BJ307" s="7"/>
      <c r="BK307" s="7"/>
      <c r="BL307" s="7"/>
      <c r="BM307" s="7"/>
      <c r="BN307" s="7"/>
      <c r="BO307" s="7"/>
      <c r="BP307" s="7"/>
      <c r="BQ307" s="7"/>
      <c r="BR307" s="7"/>
      <c r="BS307" s="7"/>
      <c r="BT307" s="7"/>
      <c r="BU307" s="7"/>
      <c r="BV307" s="7"/>
      <c r="BW307" s="7"/>
      <c r="BX307" s="7"/>
      <c r="BY307" s="7"/>
      <c r="BZ307" s="7"/>
    </row>
    <row r="308" ht="16.5" customHeight="1">
      <c r="A308" s="3" t="s">
        <v>4342</v>
      </c>
      <c r="B308" s="3" t="s">
        <v>4343</v>
      </c>
      <c r="C308" s="3" t="s">
        <v>4344</v>
      </c>
      <c r="D308" s="3" t="s">
        <v>1641</v>
      </c>
      <c r="E308" s="4" t="s">
        <v>943</v>
      </c>
      <c r="F308" s="3">
        <v>7581</v>
      </c>
      <c r="H308" s="5" t="str">
        <f t="shared" si="16"/>
        <v>N</v>
      </c>
      <c r="I308" s="4" t="s">
        <v>4345</v>
      </c>
      <c r="J308" s="4" t="s">
        <v>4346</v>
      </c>
      <c r="K308" s="4" t="s">
        <v>4347</v>
      </c>
      <c r="L308" s="4" t="s">
        <v>408</v>
      </c>
      <c r="M308" s="4" t="s">
        <v>4348</v>
      </c>
      <c r="N308" s="4" t="s">
        <v>405</v>
      </c>
      <c r="O308" s="4" t="s">
        <v>4349</v>
      </c>
      <c r="P308" s="4" t="s">
        <v>842</v>
      </c>
      <c r="Q308" s="4" t="s">
        <v>842</v>
      </c>
      <c r="R308" s="4" t="s">
        <v>4350</v>
      </c>
      <c r="S308" s="3" t="s">
        <v>182</v>
      </c>
      <c r="T308" s="5" t="str">
        <f t="shared" si="17"/>
        <v>Y</v>
      </c>
      <c r="W308" s="5" t="str">
        <f t="shared" si="18"/>
        <v>Y</v>
      </c>
      <c r="X308" s="4" t="s">
        <v>51</v>
      </c>
      <c r="Y308" s="3" t="s">
        <v>4351</v>
      </c>
      <c r="Z308" s="3" t="s">
        <v>4352</v>
      </c>
      <c r="AA308" s="4" t="s">
        <v>4353</v>
      </c>
      <c r="AB308" s="4" t="s">
        <v>4354</v>
      </c>
      <c r="AC308" s="5" t="s">
        <v>56</v>
      </c>
      <c r="AH308" s="5" t="str">
        <f t="shared" si="19"/>
        <v>Y</v>
      </c>
      <c r="AI308" s="3" t="s">
        <v>4355</v>
      </c>
      <c r="AJ308" s="3" t="s">
        <v>4356</v>
      </c>
      <c r="AK308" s="3" t="s">
        <v>4357</v>
      </c>
      <c r="AL308" s="3" t="s">
        <v>4358</v>
      </c>
      <c r="AM308" s="4" t="s">
        <v>62</v>
      </c>
      <c r="AP308" s="5">
        <v>1</v>
      </c>
      <c r="AT308" s="7"/>
      <c r="AU308" s="7"/>
      <c r="AV308" s="7"/>
      <c r="AW308" s="7"/>
      <c r="AX308" s="7"/>
      <c r="AY308" s="7"/>
      <c r="AZ308" s="7"/>
      <c r="BA308" s="7"/>
      <c r="BB308" s="7"/>
      <c r="BC308" s="7"/>
      <c r="BD308" s="7"/>
      <c r="BE308" s="7"/>
      <c r="BF308" s="7"/>
      <c r="BG308" s="7"/>
      <c r="BH308" s="7"/>
      <c r="BI308" s="7"/>
      <c r="BJ308" s="7"/>
      <c r="BK308" s="7"/>
      <c r="BL308" s="7"/>
      <c r="BM308" s="7"/>
      <c r="BN308" s="7"/>
      <c r="BO308" s="7"/>
      <c r="BP308" s="7"/>
      <c r="BQ308" s="7"/>
      <c r="BR308" s="7"/>
      <c r="BS308" s="7"/>
      <c r="BT308" s="7"/>
      <c r="BU308" s="7"/>
      <c r="BV308" s="7"/>
      <c r="BW308" s="7"/>
      <c r="BX308" s="7"/>
      <c r="BY308" s="7"/>
      <c r="BZ308" s="7"/>
    </row>
    <row r="309" ht="16.5" customHeight="1">
      <c r="A309" s="3" t="s">
        <v>4359</v>
      </c>
      <c r="B309" s="3" t="s">
        <v>4360</v>
      </c>
      <c r="C309" s="3" t="s">
        <v>4361</v>
      </c>
      <c r="D309" s="3" t="s">
        <v>1641</v>
      </c>
      <c r="E309" s="4" t="s">
        <v>3589</v>
      </c>
      <c r="F309" s="3">
        <v>10282</v>
      </c>
      <c r="H309" s="5" t="str">
        <f t="shared" si="16"/>
        <v>N</v>
      </c>
      <c r="I309" s="4" t="s">
        <v>4362</v>
      </c>
      <c r="J309" s="4" t="s">
        <v>4363</v>
      </c>
      <c r="K309" s="4" t="s">
        <v>4364</v>
      </c>
      <c r="L309" s="4" t="s">
        <v>577</v>
      </c>
      <c r="M309" s="4" t="s">
        <v>4365</v>
      </c>
      <c r="N309" s="4" t="s">
        <v>405</v>
      </c>
      <c r="O309" s="4" t="s">
        <v>4366</v>
      </c>
      <c r="P309" s="4" t="s">
        <v>842</v>
      </c>
      <c r="Q309" s="4" t="s">
        <v>842</v>
      </c>
      <c r="R309" s="4" t="s">
        <v>4367</v>
      </c>
      <c r="S309" s="3" t="s">
        <v>182</v>
      </c>
      <c r="T309" s="5" t="str">
        <f t="shared" si="17"/>
        <v>Y</v>
      </c>
      <c r="W309" s="5" t="str">
        <f t="shared" si="18"/>
        <v>Y</v>
      </c>
      <c r="X309" s="4" t="s">
        <v>51</v>
      </c>
      <c r="Y309" s="3" t="s">
        <v>4368</v>
      </c>
      <c r="Z309" s="3" t="s">
        <v>4369</v>
      </c>
      <c r="AA309" s="4" t="s">
        <v>4370</v>
      </c>
      <c r="AB309" s="4" t="s">
        <v>4371</v>
      </c>
      <c r="AC309" s="5" t="s">
        <v>56</v>
      </c>
      <c r="AH309" s="5" t="str">
        <f t="shared" si="19"/>
        <v>Y</v>
      </c>
      <c r="AI309" s="3" t="s">
        <v>4372</v>
      </c>
      <c r="AJ309" s="3" t="s">
        <v>4373</v>
      </c>
      <c r="AK309" s="3" t="s">
        <v>4374</v>
      </c>
      <c r="AL309" s="3" t="s">
        <v>4375</v>
      </c>
      <c r="AM309" s="4" t="s">
        <v>62</v>
      </c>
      <c r="AP309" s="5">
        <v>1</v>
      </c>
      <c r="AT309" s="7"/>
      <c r="AU309" s="7"/>
      <c r="AV309" s="7"/>
      <c r="AW309" s="7"/>
      <c r="AX309" s="7"/>
      <c r="AY309" s="7"/>
      <c r="AZ309" s="7"/>
      <c r="BA309" s="7"/>
      <c r="BB309" s="7"/>
      <c r="BC309" s="7"/>
      <c r="BD309" s="7"/>
      <c r="BE309" s="7"/>
      <c r="BF309" s="7"/>
      <c r="BG309" s="7"/>
      <c r="BH309" s="7"/>
      <c r="BI309" s="7"/>
      <c r="BJ309" s="7"/>
      <c r="BK309" s="7"/>
      <c r="BL309" s="7"/>
      <c r="BM309" s="7"/>
      <c r="BN309" s="7"/>
      <c r="BO309" s="7"/>
      <c r="BP309" s="7"/>
      <c r="BQ309" s="7"/>
      <c r="BR309" s="7"/>
      <c r="BS309" s="7"/>
      <c r="BT309" s="7"/>
      <c r="BU309" s="7"/>
      <c r="BV309" s="7"/>
      <c r="BW309" s="7"/>
      <c r="BX309" s="7"/>
      <c r="BY309" s="7"/>
      <c r="BZ309" s="7"/>
    </row>
    <row r="310" ht="16.5" customHeight="1">
      <c r="A310" s="3" t="s">
        <v>4376</v>
      </c>
      <c r="B310" s="3" t="s">
        <v>4377</v>
      </c>
      <c r="C310" s="3" t="s">
        <v>4378</v>
      </c>
      <c r="D310" s="3" t="s">
        <v>1641</v>
      </c>
      <c r="E310" s="4" t="s">
        <v>3589</v>
      </c>
      <c r="F310" s="3">
        <v>10284</v>
      </c>
      <c r="H310" s="5" t="str">
        <f t="shared" si="16"/>
        <v>N</v>
      </c>
      <c r="I310" s="4" t="s">
        <v>4379</v>
      </c>
      <c r="J310" s="4" t="s">
        <v>4079</v>
      </c>
      <c r="K310" s="4" t="s">
        <v>4380</v>
      </c>
      <c r="L310" s="4" t="s">
        <v>577</v>
      </c>
      <c r="M310" s="4" t="s">
        <v>4381</v>
      </c>
      <c r="N310" s="4" t="s">
        <v>480</v>
      </c>
      <c r="O310" s="4" t="s">
        <v>4382</v>
      </c>
      <c r="P310" s="4" t="s">
        <v>842</v>
      </c>
      <c r="Q310" s="4" t="s">
        <v>842</v>
      </c>
      <c r="R310" s="4" t="s">
        <v>4383</v>
      </c>
      <c r="S310" s="3" t="s">
        <v>312</v>
      </c>
      <c r="T310" s="5" t="str">
        <f t="shared" si="17"/>
        <v>Y</v>
      </c>
      <c r="W310" s="5" t="str">
        <f t="shared" si="18"/>
        <v>Y</v>
      </c>
      <c r="X310" s="4" t="s">
        <v>51</v>
      </c>
      <c r="Y310" s="3" t="s">
        <v>4384</v>
      </c>
      <c r="Z310" s="3" t="s">
        <v>4385</v>
      </c>
      <c r="AA310" s="4" t="s">
        <v>4386</v>
      </c>
      <c r="AB310" s="4" t="s">
        <v>4387</v>
      </c>
      <c r="AC310" s="5" t="s">
        <v>56</v>
      </c>
      <c r="AH310" s="5" t="str">
        <f t="shared" si="19"/>
        <v>Y</v>
      </c>
      <c r="AI310" s="3" t="s">
        <v>4388</v>
      </c>
      <c r="AJ310" s="3" t="s">
        <v>4389</v>
      </c>
      <c r="AK310" s="3" t="s">
        <v>4390</v>
      </c>
      <c r="AL310" s="3" t="s">
        <v>4391</v>
      </c>
      <c r="AM310" s="4" t="s">
        <v>62</v>
      </c>
      <c r="AP310" s="5">
        <v>1</v>
      </c>
      <c r="AT310" s="7"/>
      <c r="AU310" s="7"/>
      <c r="AV310" s="7"/>
      <c r="AW310" s="7"/>
      <c r="AX310" s="7"/>
      <c r="AY310" s="7"/>
      <c r="AZ310" s="7"/>
      <c r="BA310" s="7"/>
      <c r="BB310" s="7"/>
      <c r="BC310" s="7"/>
      <c r="BD310" s="7"/>
      <c r="BE310" s="7"/>
      <c r="BF310" s="7"/>
      <c r="BG310" s="7"/>
      <c r="BH310" s="7"/>
      <c r="BI310" s="7"/>
      <c r="BJ310" s="7"/>
      <c r="BK310" s="7"/>
      <c r="BL310" s="7"/>
      <c r="BM310" s="7"/>
      <c r="BN310" s="7"/>
      <c r="BO310" s="7"/>
      <c r="BP310" s="7"/>
      <c r="BQ310" s="7"/>
      <c r="BR310" s="7"/>
      <c r="BS310" s="7"/>
      <c r="BT310" s="7"/>
      <c r="BU310" s="7"/>
      <c r="BV310" s="7"/>
      <c r="BW310" s="7"/>
      <c r="BX310" s="7"/>
      <c r="BY310" s="7"/>
      <c r="BZ310" s="7"/>
    </row>
    <row r="311" ht="16.5" customHeight="1">
      <c r="A311" s="3" t="s">
        <v>4392</v>
      </c>
      <c r="B311" s="3" t="s">
        <v>4393</v>
      </c>
      <c r="C311" s="3" t="s">
        <v>4394</v>
      </c>
      <c r="D311" s="3" t="s">
        <v>1641</v>
      </c>
      <c r="E311" s="4" t="s">
        <v>3589</v>
      </c>
      <c r="F311" s="3">
        <v>10286</v>
      </c>
      <c r="H311" s="5" t="str">
        <f t="shared" si="16"/>
        <v>N</v>
      </c>
      <c r="I311" s="4" t="s">
        <v>4395</v>
      </c>
      <c r="J311" s="4" t="s">
        <v>4396</v>
      </c>
      <c r="K311" s="4" t="s">
        <v>4397</v>
      </c>
      <c r="L311" s="4" t="s">
        <v>596</v>
      </c>
      <c r="M311" s="4" t="s">
        <v>4398</v>
      </c>
      <c r="N311" s="4" t="s">
        <v>892</v>
      </c>
      <c r="O311" s="4" t="s">
        <v>4399</v>
      </c>
      <c r="P311" s="4" t="s">
        <v>161</v>
      </c>
      <c r="Q311" s="4" t="s">
        <v>4400</v>
      </c>
      <c r="R311" s="4" t="s">
        <v>4401</v>
      </c>
      <c r="S311" s="3" t="s">
        <v>4402</v>
      </c>
      <c r="T311" s="5" t="str">
        <f t="shared" si="17"/>
        <v>Y</v>
      </c>
      <c r="W311" s="5" t="str">
        <f t="shared" si="18"/>
        <v>Y</v>
      </c>
      <c r="X311" s="4" t="s">
        <v>51</v>
      </c>
      <c r="Y311" s="3" t="s">
        <v>4403</v>
      </c>
      <c r="Z311" s="3" t="s">
        <v>4404</v>
      </c>
      <c r="AA311" s="4" t="s">
        <v>4405</v>
      </c>
      <c r="AB311" s="4" t="s">
        <v>4406</v>
      </c>
      <c r="AC311" s="5" t="s">
        <v>56</v>
      </c>
      <c r="AH311" s="5" t="str">
        <f t="shared" si="19"/>
        <v>Y</v>
      </c>
      <c r="AI311" s="3" t="s">
        <v>4407</v>
      </c>
      <c r="AJ311" s="3" t="s">
        <v>4408</v>
      </c>
      <c r="AK311" s="3" t="s">
        <v>4409</v>
      </c>
      <c r="AL311" s="3" t="s">
        <v>4410</v>
      </c>
      <c r="AM311" s="4" t="s">
        <v>62</v>
      </c>
      <c r="AP311" s="5">
        <v>1</v>
      </c>
      <c r="AT311" s="7"/>
      <c r="AU311" s="7"/>
      <c r="AV311" s="7"/>
      <c r="AW311" s="7"/>
      <c r="AX311" s="7"/>
      <c r="AY311" s="7"/>
      <c r="AZ311" s="7"/>
      <c r="BA311" s="7"/>
      <c r="BB311" s="7"/>
      <c r="BC311" s="7"/>
      <c r="BD311" s="7"/>
      <c r="BE311" s="7"/>
      <c r="BF311" s="7"/>
      <c r="BG311" s="7"/>
      <c r="BH311" s="7"/>
      <c r="BI311" s="7"/>
      <c r="BJ311" s="7"/>
      <c r="BK311" s="7"/>
      <c r="BL311" s="7"/>
      <c r="BM311" s="7"/>
      <c r="BN311" s="7"/>
      <c r="BO311" s="7"/>
      <c r="BP311" s="7"/>
      <c r="BQ311" s="7"/>
      <c r="BR311" s="7"/>
      <c r="BS311" s="7"/>
      <c r="BT311" s="7"/>
      <c r="BU311" s="7"/>
      <c r="BV311" s="7"/>
      <c r="BW311" s="7"/>
      <c r="BX311" s="7"/>
      <c r="BY311" s="7"/>
      <c r="BZ311" s="7"/>
    </row>
    <row r="312" ht="16.5" customHeight="1">
      <c r="A312" s="3" t="s">
        <v>4411</v>
      </c>
      <c r="B312" s="3" t="s">
        <v>4412</v>
      </c>
      <c r="C312" s="3" t="s">
        <v>4411</v>
      </c>
      <c r="D312" s="3" t="s">
        <v>1641</v>
      </c>
      <c r="E312" s="4" t="s">
        <v>1945</v>
      </c>
      <c r="F312" s="3">
        <v>8280</v>
      </c>
      <c r="H312" s="5" t="str">
        <f t="shared" si="16"/>
        <v>N</v>
      </c>
      <c r="I312" s="4" t="s">
        <v>4413</v>
      </c>
      <c r="J312" s="4" t="s">
        <v>4414</v>
      </c>
      <c r="K312" s="4" t="s">
        <v>4415</v>
      </c>
      <c r="L312" s="4" t="s">
        <v>577</v>
      </c>
      <c r="M312" s="4" t="s">
        <v>4416</v>
      </c>
      <c r="N312" s="4" t="s">
        <v>241</v>
      </c>
      <c r="O312" s="4" t="s">
        <v>4417</v>
      </c>
      <c r="P312" s="4" t="s">
        <v>4418</v>
      </c>
      <c r="Q312" s="4" t="s">
        <v>4419</v>
      </c>
      <c r="R312" s="4" t="s">
        <v>4420</v>
      </c>
      <c r="S312" s="3" t="s">
        <v>4421</v>
      </c>
      <c r="T312" s="5" t="str">
        <f t="shared" si="17"/>
        <v>Y</v>
      </c>
      <c r="W312" s="5" t="str">
        <f t="shared" si="18"/>
        <v>Y</v>
      </c>
      <c r="X312" s="4" t="s">
        <v>51</v>
      </c>
      <c r="Y312" s="3" t="s">
        <v>4422</v>
      </c>
      <c r="Z312" s="3" t="s">
        <v>4423</v>
      </c>
      <c r="AA312" s="4" t="s">
        <v>4424</v>
      </c>
      <c r="AB312" s="4" t="s">
        <v>4425</v>
      </c>
      <c r="AC312" s="5" t="s">
        <v>56</v>
      </c>
      <c r="AH312" s="5" t="str">
        <f t="shared" si="19"/>
        <v>Y</v>
      </c>
      <c r="AI312" s="3" t="s">
        <v>4426</v>
      </c>
      <c r="AJ312" s="3" t="s">
        <v>4427</v>
      </c>
      <c r="AK312" s="3" t="s">
        <v>4428</v>
      </c>
      <c r="AL312" s="3" t="s">
        <v>4429</v>
      </c>
      <c r="AM312" s="4" t="s">
        <v>62</v>
      </c>
      <c r="AP312" s="5">
        <v>1</v>
      </c>
      <c r="AT312" s="7"/>
      <c r="AU312" s="7"/>
      <c r="AV312" s="7"/>
      <c r="AW312" s="7"/>
      <c r="AX312" s="7"/>
      <c r="AY312" s="7"/>
      <c r="AZ312" s="7"/>
      <c r="BA312" s="7"/>
      <c r="BB312" s="7"/>
      <c r="BC312" s="7"/>
      <c r="BD312" s="7"/>
      <c r="BE312" s="7"/>
      <c r="BF312" s="7"/>
      <c r="BG312" s="7"/>
      <c r="BH312" s="7"/>
      <c r="BI312" s="7"/>
      <c r="BJ312" s="7"/>
      <c r="BK312" s="7"/>
      <c r="BL312" s="7"/>
      <c r="BM312" s="7"/>
      <c r="BN312" s="7"/>
      <c r="BO312" s="7"/>
      <c r="BP312" s="7"/>
      <c r="BQ312" s="7"/>
      <c r="BR312" s="7"/>
      <c r="BS312" s="7"/>
      <c r="BT312" s="7"/>
      <c r="BU312" s="7"/>
      <c r="BV312" s="7"/>
      <c r="BW312" s="7"/>
      <c r="BX312" s="7"/>
      <c r="BY312" s="7"/>
      <c r="BZ312" s="7"/>
    </row>
    <row r="313" ht="16.5" customHeight="1">
      <c r="A313" s="3" t="s">
        <v>4430</v>
      </c>
      <c r="B313" s="3" t="s">
        <v>4431</v>
      </c>
      <c r="C313" s="3" t="s">
        <v>4430</v>
      </c>
      <c r="D313" s="3" t="s">
        <v>1641</v>
      </c>
      <c r="E313" s="4" t="s">
        <v>1945</v>
      </c>
      <c r="F313" s="3">
        <v>8281</v>
      </c>
      <c r="H313" s="5" t="str">
        <f t="shared" si="16"/>
        <v>N</v>
      </c>
      <c r="I313" s="4" t="s">
        <v>4432</v>
      </c>
      <c r="J313" s="4" t="s">
        <v>4433</v>
      </c>
      <c r="K313" s="4" t="s">
        <v>4434</v>
      </c>
      <c r="L313" s="4" t="s">
        <v>892</v>
      </c>
      <c r="M313" s="4" t="s">
        <v>1966</v>
      </c>
      <c r="N313" s="4" t="s">
        <v>4435</v>
      </c>
      <c r="O313" s="4" t="s">
        <v>4436</v>
      </c>
      <c r="P313" s="4" t="s">
        <v>4437</v>
      </c>
      <c r="Q313" s="4" t="s">
        <v>4438</v>
      </c>
      <c r="R313" s="4" t="s">
        <v>4439</v>
      </c>
      <c r="S313" s="3" t="s">
        <v>4440</v>
      </c>
      <c r="T313" s="5" t="str">
        <f t="shared" si="17"/>
        <v>Y</v>
      </c>
      <c r="W313" s="5" t="str">
        <f t="shared" si="18"/>
        <v>Y</v>
      </c>
      <c r="X313" s="4" t="s">
        <v>51</v>
      </c>
      <c r="Y313" s="3" t="s">
        <v>4441</v>
      </c>
      <c r="Z313" s="3" t="s">
        <v>4442</v>
      </c>
      <c r="AA313" s="4" t="s">
        <v>4443</v>
      </c>
      <c r="AB313" s="4" t="s">
        <v>4444</v>
      </c>
      <c r="AC313" s="5" t="s">
        <v>56</v>
      </c>
      <c r="AH313" s="5" t="str">
        <f t="shared" si="19"/>
        <v>Y</v>
      </c>
      <c r="AI313" s="3" t="s">
        <v>4445</v>
      </c>
      <c r="AJ313" s="3" t="s">
        <v>4446</v>
      </c>
      <c r="AK313" s="3" t="s">
        <v>4447</v>
      </c>
      <c r="AL313" s="3" t="s">
        <v>4448</v>
      </c>
      <c r="AM313" s="4" t="s">
        <v>62</v>
      </c>
      <c r="AP313" s="5">
        <v>1</v>
      </c>
      <c r="AT313" s="7"/>
      <c r="AU313" s="7"/>
      <c r="AV313" s="7"/>
      <c r="AW313" s="7"/>
      <c r="AX313" s="7"/>
      <c r="AY313" s="7"/>
      <c r="AZ313" s="7"/>
      <c r="BA313" s="7"/>
      <c r="BB313" s="7"/>
      <c r="BC313" s="7"/>
      <c r="BD313" s="7"/>
      <c r="BE313" s="7"/>
      <c r="BF313" s="7"/>
      <c r="BG313" s="7"/>
      <c r="BH313" s="7"/>
      <c r="BI313" s="7"/>
      <c r="BJ313" s="7"/>
      <c r="BK313" s="7"/>
      <c r="BL313" s="7"/>
      <c r="BM313" s="7"/>
      <c r="BN313" s="7"/>
      <c r="BO313" s="7"/>
      <c r="BP313" s="7"/>
      <c r="BQ313" s="7"/>
      <c r="BR313" s="7"/>
      <c r="BS313" s="7"/>
      <c r="BT313" s="7"/>
      <c r="BU313" s="7"/>
      <c r="BV313" s="7"/>
      <c r="BW313" s="7"/>
      <c r="BX313" s="7"/>
      <c r="BY313" s="7"/>
      <c r="BZ313" s="7"/>
    </row>
    <row r="314" ht="16.5" customHeight="1">
      <c r="A314" s="3" t="s">
        <v>4449</v>
      </c>
      <c r="B314" s="3" t="s">
        <v>4450</v>
      </c>
      <c r="C314" s="3" t="s">
        <v>4451</v>
      </c>
      <c r="D314" s="3" t="s">
        <v>1641</v>
      </c>
      <c r="E314" s="4" t="s">
        <v>2102</v>
      </c>
      <c r="F314" s="3">
        <v>10340</v>
      </c>
      <c r="H314" s="5" t="str">
        <f t="shared" si="16"/>
        <v>N</v>
      </c>
      <c r="I314" s="4" t="s">
        <v>4452</v>
      </c>
      <c r="J314" s="4" t="s">
        <v>4453</v>
      </c>
      <c r="K314" s="4" t="s">
        <v>4454</v>
      </c>
      <c r="L314" s="4" t="s">
        <v>161</v>
      </c>
      <c r="M314" s="4" t="s">
        <v>4455</v>
      </c>
      <c r="N314" s="4" t="s">
        <v>4456</v>
      </c>
      <c r="O314" s="4" t="s">
        <v>4457</v>
      </c>
      <c r="P314" s="4" t="s">
        <v>480</v>
      </c>
      <c r="Q314" s="4" t="s">
        <v>4458</v>
      </c>
      <c r="R314" s="4" t="s">
        <v>4459</v>
      </c>
      <c r="S314" s="3" t="s">
        <v>2110</v>
      </c>
      <c r="T314" s="5" t="str">
        <f t="shared" si="17"/>
        <v>Y</v>
      </c>
      <c r="W314" s="5" t="str">
        <f t="shared" si="18"/>
        <v>Y</v>
      </c>
      <c r="X314" s="4" t="s">
        <v>51</v>
      </c>
      <c r="Y314" s="3" t="s">
        <v>4460</v>
      </c>
      <c r="Z314" s="3" t="s">
        <v>4461</v>
      </c>
      <c r="AA314" s="4" t="s">
        <v>4462</v>
      </c>
      <c r="AB314" s="4" t="s">
        <v>4463</v>
      </c>
      <c r="AC314" s="5" t="s">
        <v>56</v>
      </c>
      <c r="AH314" s="5" t="str">
        <f t="shared" si="19"/>
        <v>Y</v>
      </c>
      <c r="AI314" s="3" t="s">
        <v>2115</v>
      </c>
      <c r="AJ314" s="3" t="s">
        <v>4464</v>
      </c>
      <c r="AK314" s="3" t="s">
        <v>4465</v>
      </c>
      <c r="AL314" s="3" t="s">
        <v>4466</v>
      </c>
      <c r="AM314" s="4" t="s">
        <v>62</v>
      </c>
      <c r="AP314" s="5">
        <v>1</v>
      </c>
      <c r="AT314" s="7"/>
      <c r="AU314" s="7"/>
      <c r="AV314" s="7"/>
      <c r="AW314" s="7"/>
      <c r="AX314" s="7"/>
      <c r="AY314" s="7"/>
      <c r="AZ314" s="7"/>
      <c r="BA314" s="7"/>
      <c r="BB314" s="7"/>
      <c r="BC314" s="7"/>
      <c r="BD314" s="7"/>
      <c r="BE314" s="7"/>
      <c r="BF314" s="7"/>
      <c r="BG314" s="7"/>
      <c r="BH314" s="7"/>
      <c r="BI314" s="7"/>
      <c r="BJ314" s="7"/>
      <c r="BK314" s="7"/>
      <c r="BL314" s="7"/>
      <c r="BM314" s="7"/>
      <c r="BN314" s="7"/>
      <c r="BO314" s="7"/>
      <c r="BP314" s="7"/>
      <c r="BQ314" s="7"/>
      <c r="BR314" s="7"/>
      <c r="BS314" s="7"/>
      <c r="BT314" s="7"/>
      <c r="BU314" s="7"/>
      <c r="BV314" s="7"/>
      <c r="BW314" s="7"/>
      <c r="BX314" s="7"/>
      <c r="BY314" s="7"/>
      <c r="BZ314" s="7"/>
    </row>
    <row r="315" ht="16.5" customHeight="1">
      <c r="A315" s="3" t="s">
        <v>4467</v>
      </c>
      <c r="B315" s="3" t="s">
        <v>4468</v>
      </c>
      <c r="C315" s="3" t="s">
        <v>4469</v>
      </c>
      <c r="D315" s="3" t="s">
        <v>2141</v>
      </c>
      <c r="E315" s="4" t="s">
        <v>2102</v>
      </c>
      <c r="F315" s="3">
        <v>2027</v>
      </c>
      <c r="H315" s="5" t="str">
        <f t="shared" si="16"/>
        <v>N</v>
      </c>
      <c r="I315" s="4" t="s">
        <v>4470</v>
      </c>
      <c r="J315" s="4" t="s">
        <v>4471</v>
      </c>
      <c r="K315" s="4" t="s">
        <v>4472</v>
      </c>
      <c r="L315" s="4" t="s">
        <v>4473</v>
      </c>
      <c r="M315" s="4" t="s">
        <v>4474</v>
      </c>
      <c r="N315" s="4" t="s">
        <v>163</v>
      </c>
      <c r="O315" s="4" t="s">
        <v>4475</v>
      </c>
      <c r="P315" s="4" t="s">
        <v>241</v>
      </c>
      <c r="Q315" s="4" t="s">
        <v>4476</v>
      </c>
      <c r="R315" s="4" t="s">
        <v>4477</v>
      </c>
      <c r="S315" s="4" t="s">
        <v>312</v>
      </c>
      <c r="T315" s="5" t="str">
        <f t="shared" si="17"/>
        <v>Y</v>
      </c>
      <c r="W315" s="5" t="str">
        <f t="shared" si="18"/>
        <v>Y</v>
      </c>
      <c r="X315" s="4" t="s">
        <v>51</v>
      </c>
      <c r="Y315" s="4" t="s">
        <v>4478</v>
      </c>
      <c r="Z315" s="4" t="s">
        <v>4479</v>
      </c>
      <c r="AA315" s="4" t="s">
        <v>4480</v>
      </c>
      <c r="AB315" s="4" t="s">
        <v>4481</v>
      </c>
      <c r="AC315" s="5" t="s">
        <v>56</v>
      </c>
      <c r="AH315" s="5" t="str">
        <f t="shared" si="19"/>
        <v>Y</v>
      </c>
      <c r="AI315" s="4" t="s">
        <v>4482</v>
      </c>
      <c r="AJ315" s="4" t="s">
        <v>4483</v>
      </c>
      <c r="AK315" s="3" t="s">
        <v>4484</v>
      </c>
      <c r="AL315" s="3" t="s">
        <v>4485</v>
      </c>
      <c r="AM315" s="4" t="s">
        <v>62</v>
      </c>
      <c r="AP315" s="5">
        <v>1</v>
      </c>
      <c r="AT315" s="7"/>
      <c r="AU315" s="7"/>
      <c r="AV315" s="7"/>
      <c r="AW315" s="7"/>
      <c r="AX315" s="7"/>
      <c r="AY315" s="7"/>
      <c r="AZ315" s="7"/>
      <c r="BA315" s="7"/>
      <c r="BB315" s="7"/>
      <c r="BC315" s="7"/>
      <c r="BD315" s="7"/>
      <c r="BE315" s="7"/>
      <c r="BF315" s="7"/>
      <c r="BG315" s="7"/>
      <c r="BH315" s="7"/>
      <c r="BI315" s="7"/>
      <c r="BJ315" s="7"/>
      <c r="BK315" s="7"/>
      <c r="BL315" s="7"/>
      <c r="BM315" s="7"/>
      <c r="BN315" s="7"/>
      <c r="BO315" s="7"/>
      <c r="BP315" s="7"/>
      <c r="BQ315" s="7"/>
      <c r="BR315" s="7"/>
      <c r="BS315" s="7"/>
      <c r="BT315" s="7"/>
      <c r="BU315" s="7"/>
      <c r="BV315" s="7"/>
      <c r="BW315" s="7"/>
      <c r="BX315" s="7"/>
      <c r="BY315" s="7"/>
      <c r="BZ315" s="7"/>
    </row>
    <row r="316" ht="16.5" customHeight="1">
      <c r="A316" s="3" t="s">
        <v>4486</v>
      </c>
      <c r="B316" s="3" t="s">
        <v>4487</v>
      </c>
      <c r="C316" s="3" t="s">
        <v>4488</v>
      </c>
      <c r="D316" s="3" t="s">
        <v>2141</v>
      </c>
      <c r="E316" s="4" t="s">
        <v>4489</v>
      </c>
      <c r="F316" s="3">
        <v>4399</v>
      </c>
      <c r="H316" s="5" t="str">
        <f t="shared" si="16"/>
        <v>N</v>
      </c>
      <c r="I316" s="4" t="s">
        <v>4490</v>
      </c>
      <c r="J316" s="4" t="s">
        <v>4491</v>
      </c>
      <c r="K316" s="4" t="s">
        <v>4492</v>
      </c>
      <c r="L316" s="4" t="s">
        <v>161</v>
      </c>
      <c r="M316" s="4" t="s">
        <v>4493</v>
      </c>
      <c r="N316" s="4" t="s">
        <v>4494</v>
      </c>
      <c r="O316" s="4" t="s">
        <v>4495</v>
      </c>
      <c r="P316" s="4" t="s">
        <v>1185</v>
      </c>
      <c r="Q316" s="4" t="s">
        <v>4496</v>
      </c>
      <c r="R316" s="4" t="s">
        <v>4497</v>
      </c>
      <c r="S316" s="4" t="s">
        <v>203</v>
      </c>
      <c r="T316" s="5" t="str">
        <f t="shared" si="17"/>
        <v>Y</v>
      </c>
      <c r="W316" s="5" t="str">
        <f t="shared" si="18"/>
        <v>Y</v>
      </c>
      <c r="X316" s="4" t="s">
        <v>51</v>
      </c>
      <c r="Y316" s="4" t="s">
        <v>4498</v>
      </c>
      <c r="Z316" s="4" t="s">
        <v>4499</v>
      </c>
      <c r="AA316" s="4" t="s">
        <v>4500</v>
      </c>
      <c r="AB316" s="4" t="s">
        <v>4501</v>
      </c>
      <c r="AC316" s="5" t="s">
        <v>56</v>
      </c>
      <c r="AH316" s="5" t="str">
        <f t="shared" si="19"/>
        <v>Y</v>
      </c>
      <c r="AI316" s="4" t="s">
        <v>4502</v>
      </c>
      <c r="AJ316" s="4" t="s">
        <v>4503</v>
      </c>
      <c r="AK316" s="3" t="s">
        <v>4504</v>
      </c>
      <c r="AL316" s="3" t="s">
        <v>4505</v>
      </c>
      <c r="AM316" s="4" t="s">
        <v>62</v>
      </c>
      <c r="AP316" s="5">
        <v>1</v>
      </c>
      <c r="AT316" s="7"/>
      <c r="AU316" s="7"/>
      <c r="AV316" s="7"/>
      <c r="AW316" s="7"/>
      <c r="AX316" s="7"/>
      <c r="AY316" s="7"/>
      <c r="AZ316" s="7"/>
      <c r="BA316" s="7"/>
      <c r="BB316" s="7"/>
      <c r="BC316" s="7"/>
      <c r="BD316" s="7"/>
      <c r="BE316" s="7"/>
      <c r="BF316" s="7"/>
      <c r="BG316" s="7"/>
      <c r="BH316" s="7"/>
      <c r="BI316" s="7"/>
      <c r="BJ316" s="7"/>
      <c r="BK316" s="7"/>
      <c r="BL316" s="7"/>
      <c r="BM316" s="7"/>
      <c r="BN316" s="7"/>
      <c r="BO316" s="7"/>
      <c r="BP316" s="7"/>
      <c r="BQ316" s="7"/>
      <c r="BR316" s="7"/>
      <c r="BS316" s="7"/>
      <c r="BT316" s="7"/>
      <c r="BU316" s="7"/>
      <c r="BV316" s="7"/>
      <c r="BW316" s="7"/>
      <c r="BX316" s="7"/>
      <c r="BY316" s="7"/>
      <c r="BZ316" s="7"/>
    </row>
    <row r="317" ht="16.5" customHeight="1">
      <c r="A317" s="3" t="s">
        <v>4506</v>
      </c>
      <c r="B317" s="3" t="s">
        <v>4507</v>
      </c>
      <c r="C317" s="3" t="s">
        <v>4508</v>
      </c>
      <c r="D317" s="3" t="s">
        <v>2141</v>
      </c>
      <c r="E317" s="4" t="s">
        <v>2297</v>
      </c>
      <c r="F317" s="3">
        <v>3478</v>
      </c>
      <c r="H317" s="5" t="str">
        <f t="shared" si="16"/>
        <v>N</v>
      </c>
      <c r="I317" s="4" t="s">
        <v>4509</v>
      </c>
      <c r="J317" s="4" t="s">
        <v>2770</v>
      </c>
      <c r="K317" s="4" t="s">
        <v>4510</v>
      </c>
      <c r="L317" s="4" t="s">
        <v>4511</v>
      </c>
      <c r="M317" s="4" t="s">
        <v>4512</v>
      </c>
      <c r="N317" s="4" t="s">
        <v>4513</v>
      </c>
      <c r="O317" s="4" t="s">
        <v>4514</v>
      </c>
      <c r="P317" s="4" t="s">
        <v>4515</v>
      </c>
      <c r="Q317" s="4" t="s">
        <v>4516</v>
      </c>
      <c r="R317" s="4" t="s">
        <v>4517</v>
      </c>
      <c r="S317" s="4" t="s">
        <v>4518</v>
      </c>
      <c r="T317" s="5" t="str">
        <f t="shared" si="17"/>
        <v>Y</v>
      </c>
      <c r="W317" s="5" t="str">
        <f t="shared" si="18"/>
        <v>Y</v>
      </c>
      <c r="X317" s="4" t="s">
        <v>51</v>
      </c>
      <c r="Y317" s="4" t="s">
        <v>4519</v>
      </c>
      <c r="Z317" s="4" t="s">
        <v>4520</v>
      </c>
      <c r="AA317" s="4" t="s">
        <v>4521</v>
      </c>
      <c r="AB317" s="4" t="s">
        <v>4522</v>
      </c>
      <c r="AC317" s="5" t="s">
        <v>56</v>
      </c>
      <c r="AH317" s="5" t="str">
        <f t="shared" si="19"/>
        <v>Y</v>
      </c>
      <c r="AI317" s="4" t="s">
        <v>4523</v>
      </c>
      <c r="AJ317" s="4" t="s">
        <v>4524</v>
      </c>
      <c r="AK317" s="3" t="s">
        <v>4525</v>
      </c>
      <c r="AL317" s="3" t="s">
        <v>4526</v>
      </c>
      <c r="AM317" s="4" t="s">
        <v>62</v>
      </c>
      <c r="AP317" s="5">
        <v>1</v>
      </c>
      <c r="AT317" s="7"/>
      <c r="AU317" s="7"/>
      <c r="AV317" s="7"/>
      <c r="AW317" s="7"/>
      <c r="AX317" s="7"/>
      <c r="AY317" s="7"/>
      <c r="AZ317" s="7"/>
      <c r="BA317" s="7"/>
      <c r="BB317" s="7"/>
      <c r="BC317" s="7"/>
      <c r="BD317" s="7"/>
      <c r="BE317" s="7"/>
      <c r="BF317" s="7"/>
      <c r="BG317" s="7"/>
      <c r="BH317" s="7"/>
      <c r="BI317" s="7"/>
      <c r="BJ317" s="7"/>
      <c r="BK317" s="7"/>
      <c r="BL317" s="7"/>
      <c r="BM317" s="7"/>
      <c r="BN317" s="7"/>
      <c r="BO317" s="7"/>
      <c r="BP317" s="7"/>
      <c r="BQ317" s="7"/>
      <c r="BR317" s="7"/>
      <c r="BS317" s="7"/>
      <c r="BT317" s="7"/>
      <c r="BU317" s="7"/>
      <c r="BV317" s="7"/>
      <c r="BW317" s="7"/>
      <c r="BX317" s="7"/>
      <c r="BY317" s="7"/>
      <c r="BZ317" s="7"/>
    </row>
    <row r="318" ht="16.5" customHeight="1">
      <c r="A318" s="3" t="s">
        <v>4527</v>
      </c>
      <c r="B318" s="3" t="s">
        <v>4528</v>
      </c>
      <c r="C318" s="3">
        <v>0</v>
      </c>
      <c r="D318" s="3" t="s">
        <v>2141</v>
      </c>
      <c r="E318" s="4" t="s">
        <v>793</v>
      </c>
      <c r="F318" s="3">
        <v>2046</v>
      </c>
      <c r="H318" s="5" t="str">
        <f t="shared" si="16"/>
        <v>N</v>
      </c>
      <c r="I318" s="4" t="s">
        <v>4529</v>
      </c>
      <c r="J318" s="4" t="s">
        <v>4530</v>
      </c>
      <c r="K318" s="4" t="s">
        <v>4531</v>
      </c>
      <c r="L318" s="4" t="s">
        <v>4532</v>
      </c>
      <c r="M318" s="4" t="s">
        <v>4533</v>
      </c>
      <c r="N318" s="4" t="s">
        <v>263</v>
      </c>
      <c r="O318" s="4" t="s">
        <v>4534</v>
      </c>
      <c r="P318" s="4" t="s">
        <v>163</v>
      </c>
      <c r="Q318" s="4" t="s">
        <v>4535</v>
      </c>
      <c r="R318" s="4" t="s">
        <v>4536</v>
      </c>
      <c r="S318" s="4" t="s">
        <v>4518</v>
      </c>
      <c r="T318" s="5" t="str">
        <f t="shared" si="17"/>
        <v>Y</v>
      </c>
      <c r="W318" s="5" t="str">
        <f t="shared" si="18"/>
        <v>Y</v>
      </c>
      <c r="X318" s="4" t="s">
        <v>51</v>
      </c>
      <c r="Y318" s="4" t="s">
        <v>4537</v>
      </c>
      <c r="Z318" s="4" t="s">
        <v>4538</v>
      </c>
      <c r="AA318" s="4" t="s">
        <v>4539</v>
      </c>
      <c r="AB318" s="4" t="s">
        <v>4540</v>
      </c>
      <c r="AC318" s="5" t="s">
        <v>56</v>
      </c>
      <c r="AH318" s="5" t="str">
        <f t="shared" si="19"/>
        <v>Y</v>
      </c>
      <c r="AI318" s="4" t="s">
        <v>4541</v>
      </c>
      <c r="AJ318" s="4" t="s">
        <v>4542</v>
      </c>
      <c r="AK318" s="3" t="s">
        <v>4543</v>
      </c>
      <c r="AL318" s="3" t="s">
        <v>4544</v>
      </c>
      <c r="AM318" s="4" t="s">
        <v>62</v>
      </c>
      <c r="AP318" s="5">
        <v>1</v>
      </c>
      <c r="AT318" s="7"/>
      <c r="AU318" s="7"/>
      <c r="AV318" s="7"/>
      <c r="AW318" s="7"/>
      <c r="AX318" s="7"/>
      <c r="AY318" s="7"/>
      <c r="AZ318" s="7"/>
      <c r="BA318" s="7"/>
      <c r="BB318" s="7"/>
      <c r="BC318" s="7"/>
      <c r="BD318" s="7"/>
      <c r="BE318" s="7"/>
      <c r="BF318" s="7"/>
      <c r="BG318" s="7"/>
      <c r="BH318" s="7"/>
      <c r="BI318" s="7"/>
      <c r="BJ318" s="7"/>
      <c r="BK318" s="7"/>
      <c r="BL318" s="7"/>
      <c r="BM318" s="7"/>
      <c r="BN318" s="7"/>
      <c r="BO318" s="7"/>
      <c r="BP318" s="7"/>
      <c r="BQ318" s="7"/>
      <c r="BR318" s="7"/>
      <c r="BS318" s="7"/>
      <c r="BT318" s="7"/>
      <c r="BU318" s="7"/>
      <c r="BV318" s="7"/>
      <c r="BW318" s="7"/>
      <c r="BX318" s="7"/>
      <c r="BY318" s="7"/>
      <c r="BZ318" s="7"/>
    </row>
    <row r="319" ht="16.5" customHeight="1">
      <c r="A319" s="3" t="s">
        <v>4545</v>
      </c>
      <c r="B319" s="3" t="s">
        <v>4546</v>
      </c>
      <c r="C319" s="3" t="s">
        <v>4547</v>
      </c>
      <c r="D319" s="3" t="s">
        <v>2141</v>
      </c>
      <c r="E319" s="4" t="s">
        <v>513</v>
      </c>
      <c r="F319" s="3">
        <v>2039</v>
      </c>
      <c r="H319" s="5" t="str">
        <f t="shared" si="16"/>
        <v>N</v>
      </c>
      <c r="I319" s="4" t="s">
        <v>4548</v>
      </c>
      <c r="J319" s="4" t="s">
        <v>4530</v>
      </c>
      <c r="K319" s="4" t="s">
        <v>4549</v>
      </c>
      <c r="L319" s="4" t="s">
        <v>4550</v>
      </c>
      <c r="M319" s="4" t="s">
        <v>4551</v>
      </c>
      <c r="N319" s="4" t="s">
        <v>4552</v>
      </c>
      <c r="O319" s="4" t="s">
        <v>4553</v>
      </c>
      <c r="P319" s="4" t="s">
        <v>4554</v>
      </c>
      <c r="Q319" s="4" t="s">
        <v>4555</v>
      </c>
      <c r="R319" s="4" t="s">
        <v>4556</v>
      </c>
      <c r="S319" s="4" t="s">
        <v>4518</v>
      </c>
      <c r="T319" s="5" t="str">
        <f t="shared" si="17"/>
        <v>Y</v>
      </c>
      <c r="W319" s="5" t="str">
        <f t="shared" si="18"/>
        <v>Y</v>
      </c>
      <c r="X319" s="4" t="s">
        <v>51</v>
      </c>
      <c r="Y319" s="4" t="s">
        <v>4557</v>
      </c>
      <c r="Z319" s="4" t="s">
        <v>4558</v>
      </c>
      <c r="AA319" s="4" t="s">
        <v>4559</v>
      </c>
      <c r="AB319" s="4" t="s">
        <v>4560</v>
      </c>
      <c r="AC319" s="5" t="s">
        <v>56</v>
      </c>
      <c r="AH319" s="5" t="str">
        <f t="shared" si="19"/>
        <v>Y</v>
      </c>
      <c r="AI319" s="4" t="s">
        <v>4561</v>
      </c>
      <c r="AJ319" s="4" t="s">
        <v>4562</v>
      </c>
      <c r="AK319" s="3" t="s">
        <v>4563</v>
      </c>
      <c r="AL319" s="3" t="s">
        <v>4564</v>
      </c>
      <c r="AM319" s="4" t="s">
        <v>62</v>
      </c>
      <c r="AP319" s="5">
        <v>1</v>
      </c>
      <c r="AT319" s="7"/>
      <c r="AU319" s="7"/>
      <c r="AV319" s="7"/>
      <c r="AW319" s="7"/>
      <c r="AX319" s="7"/>
      <c r="AY319" s="7"/>
      <c r="AZ319" s="7"/>
      <c r="BA319" s="7"/>
      <c r="BB319" s="7"/>
      <c r="BC319" s="7"/>
      <c r="BD319" s="7"/>
      <c r="BE319" s="7"/>
      <c r="BF319" s="7"/>
      <c r="BG319" s="7"/>
      <c r="BH319" s="7"/>
      <c r="BI319" s="7"/>
      <c r="BJ319" s="7"/>
      <c r="BK319" s="7"/>
      <c r="BL319" s="7"/>
      <c r="BM319" s="7"/>
      <c r="BN319" s="7"/>
      <c r="BO319" s="7"/>
      <c r="BP319" s="7"/>
      <c r="BQ319" s="7"/>
      <c r="BR319" s="7"/>
      <c r="BS319" s="7"/>
      <c r="BT319" s="7"/>
      <c r="BU319" s="7"/>
      <c r="BV319" s="7"/>
      <c r="BW319" s="7"/>
      <c r="BX319" s="7"/>
      <c r="BY319" s="7"/>
      <c r="BZ319" s="7"/>
    </row>
    <row r="320" ht="16.5" customHeight="1">
      <c r="A320" s="3" t="s">
        <v>4565</v>
      </c>
      <c r="B320" s="3" t="s">
        <v>4566</v>
      </c>
      <c r="C320" s="3" t="s">
        <v>4567</v>
      </c>
      <c r="D320" s="3" t="s">
        <v>2141</v>
      </c>
      <c r="E320" s="4" t="s">
        <v>793</v>
      </c>
      <c r="F320" s="3">
        <v>4251</v>
      </c>
      <c r="H320" s="5" t="str">
        <f t="shared" si="16"/>
        <v>N</v>
      </c>
      <c r="I320" s="4" t="s">
        <v>4568</v>
      </c>
      <c r="J320" s="4" t="s">
        <v>4569</v>
      </c>
      <c r="K320" s="4" t="s">
        <v>4570</v>
      </c>
      <c r="L320" s="4" t="s">
        <v>1569</v>
      </c>
      <c r="M320" s="4" t="s">
        <v>4571</v>
      </c>
      <c r="N320" s="4" t="s">
        <v>4572</v>
      </c>
      <c r="O320" s="4" t="s">
        <v>4573</v>
      </c>
      <c r="P320" s="4" t="s">
        <v>4271</v>
      </c>
      <c r="Q320" s="4" t="s">
        <v>4574</v>
      </c>
      <c r="R320" s="4" t="s">
        <v>4575</v>
      </c>
      <c r="S320" s="4" t="s">
        <v>4518</v>
      </c>
      <c r="T320" s="5" t="str">
        <f t="shared" si="17"/>
        <v>Y</v>
      </c>
      <c r="W320" s="5" t="str">
        <f t="shared" si="18"/>
        <v>Y</v>
      </c>
      <c r="X320" s="4" t="s">
        <v>51</v>
      </c>
      <c r="Y320" s="4" t="s">
        <v>4576</v>
      </c>
      <c r="Z320" s="4" t="s">
        <v>4577</v>
      </c>
      <c r="AA320" s="4" t="s">
        <v>4578</v>
      </c>
      <c r="AB320" s="4" t="s">
        <v>4579</v>
      </c>
      <c r="AC320" s="5" t="s">
        <v>56</v>
      </c>
      <c r="AH320" s="5" t="str">
        <f t="shared" si="19"/>
        <v>Y</v>
      </c>
      <c r="AI320" s="4" t="s">
        <v>4580</v>
      </c>
      <c r="AJ320" s="4" t="s">
        <v>4581</v>
      </c>
      <c r="AK320" s="3" t="s">
        <v>4582</v>
      </c>
      <c r="AL320" s="3" t="s">
        <v>4583</v>
      </c>
      <c r="AM320" s="4" t="s">
        <v>62</v>
      </c>
      <c r="AP320" s="5">
        <v>1</v>
      </c>
      <c r="AT320" s="7"/>
      <c r="AU320" s="7"/>
      <c r="AV320" s="7"/>
      <c r="AW320" s="7"/>
      <c r="AX320" s="7"/>
      <c r="AY320" s="7"/>
      <c r="AZ320" s="7"/>
      <c r="BA320" s="7"/>
      <c r="BB320" s="7"/>
      <c r="BC320" s="7"/>
      <c r="BD320" s="7"/>
      <c r="BE320" s="7"/>
      <c r="BF320" s="7"/>
      <c r="BG320" s="7"/>
      <c r="BH320" s="7"/>
      <c r="BI320" s="7"/>
      <c r="BJ320" s="7"/>
      <c r="BK320" s="7"/>
      <c r="BL320" s="7"/>
      <c r="BM320" s="7"/>
      <c r="BN320" s="7"/>
      <c r="BO320" s="7"/>
      <c r="BP320" s="7"/>
      <c r="BQ320" s="7"/>
      <c r="BR320" s="7"/>
      <c r="BS320" s="7"/>
      <c r="BT320" s="7"/>
      <c r="BU320" s="7"/>
      <c r="BV320" s="7"/>
      <c r="BW320" s="7"/>
      <c r="BX320" s="7"/>
      <c r="BY320" s="7"/>
      <c r="BZ320" s="7"/>
    </row>
    <row r="321" ht="16.5" customHeight="1">
      <c r="A321" s="3" t="s">
        <v>4584</v>
      </c>
      <c r="B321" s="3" t="s">
        <v>4585</v>
      </c>
      <c r="C321" s="3" t="s">
        <v>4586</v>
      </c>
      <c r="D321" s="3" t="s">
        <v>2141</v>
      </c>
      <c r="E321" s="4" t="s">
        <v>793</v>
      </c>
      <c r="F321" s="3">
        <v>2048</v>
      </c>
      <c r="H321" s="5" t="str">
        <f t="shared" si="16"/>
        <v>N</v>
      </c>
      <c r="I321" s="4" t="s">
        <v>4587</v>
      </c>
      <c r="J321" s="4" t="s">
        <v>4267</v>
      </c>
      <c r="K321" s="4" t="s">
        <v>4588</v>
      </c>
      <c r="L321" s="4" t="s">
        <v>4589</v>
      </c>
      <c r="M321" s="4" t="s">
        <v>4590</v>
      </c>
      <c r="N321" s="4" t="s">
        <v>1569</v>
      </c>
      <c r="O321" s="4" t="s">
        <v>4591</v>
      </c>
      <c r="P321" s="4" t="s">
        <v>4592</v>
      </c>
      <c r="Q321" s="4" t="s">
        <v>4593</v>
      </c>
      <c r="R321" s="4" t="s">
        <v>4594</v>
      </c>
      <c r="S321" s="4" t="s">
        <v>4518</v>
      </c>
      <c r="T321" s="5" t="str">
        <f t="shared" si="17"/>
        <v>Y</v>
      </c>
      <c r="W321" s="5" t="str">
        <f t="shared" si="18"/>
        <v>Y</v>
      </c>
      <c r="X321" s="4" t="s">
        <v>51</v>
      </c>
      <c r="Y321" s="4" t="s">
        <v>4595</v>
      </c>
      <c r="Z321" s="4" t="s">
        <v>4596</v>
      </c>
      <c r="AA321" s="4" t="s">
        <v>4597</v>
      </c>
      <c r="AB321" s="4" t="s">
        <v>4598</v>
      </c>
      <c r="AC321" s="5" t="s">
        <v>56</v>
      </c>
      <c r="AH321" s="5" t="str">
        <f t="shared" si="19"/>
        <v>Y</v>
      </c>
      <c r="AI321" s="4" t="s">
        <v>4599</v>
      </c>
      <c r="AJ321" s="4" t="s">
        <v>4600</v>
      </c>
      <c r="AK321" s="3" t="s">
        <v>4601</v>
      </c>
      <c r="AL321" s="3" t="s">
        <v>4602</v>
      </c>
      <c r="AM321" s="4" t="s">
        <v>62</v>
      </c>
      <c r="AP321" s="5">
        <v>1</v>
      </c>
      <c r="AT321" s="7"/>
      <c r="AU321" s="7"/>
      <c r="AV321" s="7"/>
      <c r="AW321" s="7"/>
      <c r="AX321" s="7"/>
      <c r="AY321" s="7"/>
      <c r="AZ321" s="7"/>
      <c r="BA321" s="7"/>
      <c r="BB321" s="7"/>
      <c r="BC321" s="7"/>
      <c r="BD321" s="7"/>
      <c r="BE321" s="7"/>
      <c r="BF321" s="7"/>
      <c r="BG321" s="7"/>
      <c r="BH321" s="7"/>
      <c r="BI321" s="7"/>
      <c r="BJ321" s="7"/>
      <c r="BK321" s="7"/>
      <c r="BL321" s="7"/>
      <c r="BM321" s="7"/>
      <c r="BN321" s="7"/>
      <c r="BO321" s="7"/>
      <c r="BP321" s="7"/>
      <c r="BQ321" s="7"/>
      <c r="BR321" s="7"/>
      <c r="BS321" s="7"/>
      <c r="BT321" s="7"/>
      <c r="BU321" s="7"/>
      <c r="BV321" s="7"/>
      <c r="BW321" s="7"/>
      <c r="BX321" s="7"/>
      <c r="BY321" s="7"/>
      <c r="BZ321" s="7"/>
    </row>
    <row r="322" ht="16.5" customHeight="1">
      <c r="A322" s="3" t="s">
        <v>4603</v>
      </c>
      <c r="B322" s="3" t="s">
        <v>4604</v>
      </c>
      <c r="C322" s="3" t="s">
        <v>4605</v>
      </c>
      <c r="D322" s="3" t="s">
        <v>2141</v>
      </c>
      <c r="E322" s="4" t="s">
        <v>793</v>
      </c>
      <c r="F322" s="3">
        <v>2035</v>
      </c>
      <c r="H322" s="5" t="str">
        <f t="shared" ref="H322:H331" si="20">IF(OR(AU322="Yes",AV322="Yes"),"Y","N")</f>
        <v>N</v>
      </c>
      <c r="I322" s="4" t="s">
        <v>4606</v>
      </c>
      <c r="J322" s="4" t="s">
        <v>2274</v>
      </c>
      <c r="K322" s="4" t="s">
        <v>4607</v>
      </c>
      <c r="L322" s="4" t="s">
        <v>4608</v>
      </c>
      <c r="M322" s="4" t="s">
        <v>4609</v>
      </c>
      <c r="N322" s="4" t="s">
        <v>4610</v>
      </c>
      <c r="O322" s="4" t="s">
        <v>4611</v>
      </c>
      <c r="P322" s="4" t="s">
        <v>4612</v>
      </c>
      <c r="Q322" s="4" t="s">
        <v>4613</v>
      </c>
      <c r="R322" s="4" t="s">
        <v>4614</v>
      </c>
      <c r="S322" s="4" t="s">
        <v>4518</v>
      </c>
      <c r="T322" s="5" t="str">
        <f t="shared" ref="T322:T331" si="21">IF(OR(AY322&lt;&gt;"Not Found",BA322&lt;&gt;"Not Found"),"Y","N")</f>
        <v>Y</v>
      </c>
      <c r="W322" s="5" t="str">
        <f t="shared" ref="W322:W331" si="22">IF(BC322&lt;&gt;"Not Found","Y","N")</f>
        <v>Y</v>
      </c>
      <c r="X322" s="4" t="s">
        <v>51</v>
      </c>
      <c r="Y322" s="4" t="s">
        <v>4615</v>
      </c>
      <c r="Z322" s="4" t="s">
        <v>4616</v>
      </c>
      <c r="AA322" s="4" t="s">
        <v>4617</v>
      </c>
      <c r="AB322" s="4" t="s">
        <v>4618</v>
      </c>
      <c r="AC322" s="5" t="s">
        <v>56</v>
      </c>
      <c r="AH322" s="5" t="str">
        <f t="shared" ref="AH322:AH331" si="23">IF(BD322&lt;&gt;"Not Found","Y","N")</f>
        <v>Y</v>
      </c>
      <c r="AI322" s="4" t="s">
        <v>4619</v>
      </c>
      <c r="AJ322" s="4" t="s">
        <v>4620</v>
      </c>
      <c r="AK322" s="3" t="s">
        <v>4621</v>
      </c>
      <c r="AL322" s="3" t="s">
        <v>4622</v>
      </c>
      <c r="AM322" s="4" t="s">
        <v>62</v>
      </c>
      <c r="AP322" s="5">
        <v>1</v>
      </c>
      <c r="AT322" s="7"/>
      <c r="AU322" s="7"/>
      <c r="AV322" s="7"/>
      <c r="AW322" s="7"/>
      <c r="AX322" s="7"/>
      <c r="AY322" s="7"/>
      <c r="AZ322" s="7"/>
      <c r="BA322" s="7"/>
      <c r="BB322" s="7"/>
      <c r="BC322" s="7"/>
      <c r="BD322" s="7"/>
      <c r="BE322" s="7"/>
      <c r="BF322" s="7"/>
      <c r="BG322" s="7"/>
      <c r="BH322" s="7"/>
      <c r="BI322" s="7"/>
      <c r="BJ322" s="7"/>
      <c r="BK322" s="7"/>
      <c r="BL322" s="7"/>
      <c r="BM322" s="7"/>
      <c r="BN322" s="7"/>
      <c r="BO322" s="7"/>
      <c r="BP322" s="7"/>
      <c r="BQ322" s="7"/>
      <c r="BR322" s="7"/>
      <c r="BS322" s="7"/>
      <c r="BT322" s="7"/>
      <c r="BU322" s="7"/>
      <c r="BV322" s="7"/>
      <c r="BW322" s="7"/>
      <c r="BX322" s="7"/>
      <c r="BY322" s="7"/>
      <c r="BZ322" s="7"/>
    </row>
    <row r="323" ht="16.5" customHeight="1">
      <c r="A323" s="3" t="s">
        <v>4623</v>
      </c>
      <c r="B323" s="3" t="s">
        <v>4624</v>
      </c>
      <c r="C323" s="3">
        <v>0</v>
      </c>
      <c r="D323" s="3" t="s">
        <v>2141</v>
      </c>
      <c r="E323" s="4" t="s">
        <v>793</v>
      </c>
      <c r="F323" s="3">
        <v>2031</v>
      </c>
      <c r="H323" s="5" t="str">
        <f t="shared" si="20"/>
        <v>N</v>
      </c>
      <c r="I323" s="4" t="s">
        <v>4625</v>
      </c>
      <c r="J323" s="4" t="s">
        <v>4267</v>
      </c>
      <c r="K323" s="4" t="s">
        <v>4626</v>
      </c>
      <c r="L323" s="4" t="s">
        <v>4627</v>
      </c>
      <c r="M323" s="4" t="s">
        <v>4628</v>
      </c>
      <c r="N323" s="4" t="s">
        <v>1569</v>
      </c>
      <c r="O323" s="4" t="s">
        <v>4629</v>
      </c>
      <c r="P323" s="4" t="s">
        <v>4630</v>
      </c>
      <c r="Q323" s="4" t="s">
        <v>4631</v>
      </c>
      <c r="R323" s="4" t="s">
        <v>4632</v>
      </c>
      <c r="S323" s="4" t="s">
        <v>4518</v>
      </c>
      <c r="T323" s="5" t="str">
        <f t="shared" si="21"/>
        <v>Y</v>
      </c>
      <c r="W323" s="5" t="str">
        <f t="shared" si="22"/>
        <v>Y</v>
      </c>
      <c r="X323" s="4" t="s">
        <v>51</v>
      </c>
      <c r="Y323" s="4" t="s">
        <v>4633</v>
      </c>
      <c r="Z323" s="4" t="s">
        <v>4634</v>
      </c>
      <c r="AA323" s="4" t="s">
        <v>4635</v>
      </c>
      <c r="AB323" s="4" t="s">
        <v>4636</v>
      </c>
      <c r="AC323" s="5" t="s">
        <v>56</v>
      </c>
      <c r="AH323" s="5" t="str">
        <f t="shared" si="23"/>
        <v>Y</v>
      </c>
      <c r="AI323" s="4" t="s">
        <v>4637</v>
      </c>
      <c r="AJ323" s="4" t="s">
        <v>4638</v>
      </c>
      <c r="AK323" s="3" t="s">
        <v>4639</v>
      </c>
      <c r="AL323" s="3" t="s">
        <v>4640</v>
      </c>
      <c r="AM323" s="4" t="s">
        <v>62</v>
      </c>
      <c r="AP323" s="5">
        <v>1</v>
      </c>
      <c r="AT323" s="7"/>
      <c r="AU323" s="7"/>
      <c r="AV323" s="7"/>
      <c r="AW323" s="7"/>
      <c r="AX323" s="7"/>
      <c r="AY323" s="7"/>
      <c r="AZ323" s="7"/>
      <c r="BA323" s="7"/>
      <c r="BB323" s="7"/>
      <c r="BC323" s="7"/>
      <c r="BD323" s="7"/>
      <c r="BE323" s="7"/>
      <c r="BF323" s="7"/>
      <c r="BG323" s="7"/>
      <c r="BH323" s="7"/>
      <c r="BI323" s="7"/>
      <c r="BJ323" s="7"/>
      <c r="BK323" s="7"/>
      <c r="BL323" s="7"/>
      <c r="BM323" s="7"/>
      <c r="BN323" s="7"/>
      <c r="BO323" s="7"/>
      <c r="BP323" s="7"/>
      <c r="BQ323" s="7"/>
      <c r="BR323" s="7"/>
      <c r="BS323" s="7"/>
      <c r="BT323" s="7"/>
      <c r="BU323" s="7"/>
      <c r="BV323" s="7"/>
      <c r="BW323" s="7"/>
      <c r="BX323" s="7"/>
      <c r="BY323" s="7"/>
      <c r="BZ323" s="7"/>
    </row>
    <row r="324" ht="16.5" customHeight="1">
      <c r="A324" s="3" t="s">
        <v>4641</v>
      </c>
      <c r="B324" s="3" t="s">
        <v>4642</v>
      </c>
      <c r="C324" s="3">
        <v>0</v>
      </c>
      <c r="D324" s="3" t="s">
        <v>2200</v>
      </c>
      <c r="E324" s="4" t="s">
        <v>2201</v>
      </c>
      <c r="F324" s="3">
        <v>5179</v>
      </c>
      <c r="H324" s="5" t="str">
        <f t="shared" si="20"/>
        <v>N</v>
      </c>
      <c r="I324" s="4" t="s">
        <v>4643</v>
      </c>
      <c r="J324" s="4" t="s">
        <v>4644</v>
      </c>
      <c r="K324" s="4" t="s">
        <v>4645</v>
      </c>
      <c r="L324" s="4" t="s">
        <v>4646</v>
      </c>
      <c r="M324" s="4" t="s">
        <v>4647</v>
      </c>
      <c r="N324" s="4" t="s">
        <v>4648</v>
      </c>
      <c r="O324" s="4" t="s">
        <v>4649</v>
      </c>
      <c r="P324" s="4" t="s">
        <v>4650</v>
      </c>
      <c r="Q324" s="4" t="s">
        <v>4651</v>
      </c>
      <c r="R324" s="4" t="s">
        <v>4652</v>
      </c>
      <c r="S324" s="4" t="s">
        <v>312</v>
      </c>
      <c r="T324" s="5" t="str">
        <f t="shared" si="21"/>
        <v>Y</v>
      </c>
      <c r="W324" s="5" t="str">
        <f t="shared" si="22"/>
        <v>Y</v>
      </c>
      <c r="X324" s="4" t="s">
        <v>51</v>
      </c>
      <c r="Y324" s="4" t="s">
        <v>4653</v>
      </c>
      <c r="Z324" s="4" t="s">
        <v>4654</v>
      </c>
      <c r="AA324" s="4" t="s">
        <v>4655</v>
      </c>
      <c r="AB324" s="4" t="s">
        <v>4656</v>
      </c>
      <c r="AC324" s="5" t="s">
        <v>56</v>
      </c>
      <c r="AH324" s="5" t="str">
        <f t="shared" si="23"/>
        <v>Y</v>
      </c>
      <c r="AI324" s="4" t="s">
        <v>4657</v>
      </c>
      <c r="AJ324" s="4" t="s">
        <v>4658</v>
      </c>
      <c r="AK324" s="3" t="s">
        <v>4659</v>
      </c>
      <c r="AL324" s="3" t="s">
        <v>4660</v>
      </c>
      <c r="AM324" s="4" t="s">
        <v>62</v>
      </c>
      <c r="AP324" s="5">
        <v>1</v>
      </c>
      <c r="AT324" s="7"/>
      <c r="AU324" s="7"/>
      <c r="AV324" s="7"/>
      <c r="AW324" s="7"/>
      <c r="AX324" s="7"/>
      <c r="AY324" s="7"/>
      <c r="AZ324" s="7"/>
      <c r="BA324" s="7"/>
      <c r="BB324" s="7"/>
      <c r="BC324" s="7"/>
      <c r="BD324" s="7"/>
      <c r="BE324" s="7"/>
      <c r="BF324" s="7"/>
      <c r="BG324" s="7"/>
      <c r="BH324" s="7"/>
      <c r="BI324" s="7"/>
      <c r="BJ324" s="7"/>
      <c r="BK324" s="7"/>
      <c r="BL324" s="7"/>
      <c r="BM324" s="7"/>
      <c r="BN324" s="7"/>
      <c r="BO324" s="7"/>
      <c r="BP324" s="7"/>
      <c r="BQ324" s="7"/>
      <c r="BR324" s="7"/>
      <c r="BS324" s="7"/>
      <c r="BT324" s="7"/>
      <c r="BU324" s="7"/>
      <c r="BV324" s="7"/>
      <c r="BW324" s="7"/>
      <c r="BX324" s="7"/>
      <c r="BY324" s="7"/>
      <c r="BZ324" s="7"/>
    </row>
    <row r="325" ht="16.5" customHeight="1">
      <c r="A325" s="3" t="s">
        <v>4661</v>
      </c>
      <c r="B325" s="3" t="s">
        <v>4662</v>
      </c>
      <c r="C325" s="3" t="s">
        <v>4663</v>
      </c>
      <c r="D325" s="3" t="s">
        <v>2200</v>
      </c>
      <c r="E325" s="4" t="s">
        <v>4664</v>
      </c>
      <c r="F325" s="3">
        <v>7499</v>
      </c>
      <c r="H325" s="5" t="str">
        <f t="shared" si="20"/>
        <v>N</v>
      </c>
      <c r="I325" s="4" t="s">
        <v>4665</v>
      </c>
      <c r="J325" s="4" t="s">
        <v>4666</v>
      </c>
      <c r="K325" s="4" t="s">
        <v>4667</v>
      </c>
      <c r="L325" s="4" t="s">
        <v>4668</v>
      </c>
      <c r="M325" s="4" t="s">
        <v>4669</v>
      </c>
      <c r="N325" s="4" t="s">
        <v>4670</v>
      </c>
      <c r="O325" s="4" t="s">
        <v>4671</v>
      </c>
      <c r="P325" s="4" t="s">
        <v>3633</v>
      </c>
      <c r="Q325" s="4" t="s">
        <v>4672</v>
      </c>
      <c r="R325" s="4" t="s">
        <v>4673</v>
      </c>
      <c r="S325" s="4" t="s">
        <v>182</v>
      </c>
      <c r="T325" s="5" t="str">
        <f t="shared" si="21"/>
        <v>Y</v>
      </c>
      <c r="W325" s="5" t="str">
        <f t="shared" si="22"/>
        <v>Y</v>
      </c>
      <c r="X325" s="4" t="s">
        <v>51</v>
      </c>
      <c r="Y325" s="4" t="s">
        <v>4674</v>
      </c>
      <c r="Z325" s="4" t="s">
        <v>4675</v>
      </c>
      <c r="AA325" s="4" t="s">
        <v>4676</v>
      </c>
      <c r="AB325" s="4" t="s">
        <v>4677</v>
      </c>
      <c r="AC325" s="5" t="s">
        <v>56</v>
      </c>
      <c r="AH325" s="5" t="str">
        <f t="shared" si="23"/>
        <v>Y</v>
      </c>
      <c r="AI325" s="4" t="s">
        <v>4678</v>
      </c>
      <c r="AJ325" s="4" t="s">
        <v>4679</v>
      </c>
      <c r="AK325" s="3" t="s">
        <v>4680</v>
      </c>
      <c r="AL325" s="3" t="s">
        <v>4681</v>
      </c>
      <c r="AM325" s="4" t="s">
        <v>62</v>
      </c>
      <c r="AP325" s="5">
        <v>1</v>
      </c>
      <c r="AT325" s="7"/>
      <c r="AU325" s="7"/>
      <c r="AV325" s="7"/>
      <c r="AW325" s="7"/>
      <c r="AX325" s="7"/>
      <c r="AY325" s="7"/>
      <c r="AZ325" s="7"/>
      <c r="BA325" s="7"/>
      <c r="BB325" s="7"/>
      <c r="BC325" s="7"/>
      <c r="BD325" s="7"/>
      <c r="BE325" s="7"/>
      <c r="BF325" s="7"/>
      <c r="BG325" s="7"/>
      <c r="BH325" s="7"/>
      <c r="BI325" s="7"/>
      <c r="BJ325" s="7"/>
      <c r="BK325" s="7"/>
      <c r="BL325" s="7"/>
      <c r="BM325" s="7"/>
      <c r="BN325" s="7"/>
      <c r="BO325" s="7"/>
      <c r="BP325" s="7"/>
      <c r="BQ325" s="7"/>
      <c r="BR325" s="7"/>
      <c r="BS325" s="7"/>
      <c r="BT325" s="7"/>
      <c r="BU325" s="7"/>
      <c r="BV325" s="7"/>
      <c r="BW325" s="7"/>
      <c r="BX325" s="7"/>
      <c r="BY325" s="7"/>
      <c r="BZ325" s="7"/>
    </row>
    <row r="326" ht="16.5" customHeight="1">
      <c r="A326" s="3" t="s">
        <v>4682</v>
      </c>
      <c r="B326" s="3" t="s">
        <v>4662</v>
      </c>
      <c r="C326" s="3" t="s">
        <v>4663</v>
      </c>
      <c r="D326" s="3" t="s">
        <v>2200</v>
      </c>
      <c r="E326" s="4" t="s">
        <v>4664</v>
      </c>
      <c r="F326" s="3">
        <v>7501</v>
      </c>
      <c r="H326" s="5" t="str">
        <f t="shared" si="20"/>
        <v>N</v>
      </c>
      <c r="I326" s="4" t="s">
        <v>4665</v>
      </c>
      <c r="J326" s="4" t="s">
        <v>4683</v>
      </c>
      <c r="K326" s="4" t="s">
        <v>4684</v>
      </c>
      <c r="L326" s="4" t="s">
        <v>4685</v>
      </c>
      <c r="M326" s="4" t="s">
        <v>4686</v>
      </c>
      <c r="N326" s="4" t="s">
        <v>4687</v>
      </c>
      <c r="O326" s="4" t="s">
        <v>4688</v>
      </c>
      <c r="P326" s="4" t="s">
        <v>4689</v>
      </c>
      <c r="Q326" s="4" t="s">
        <v>4690</v>
      </c>
      <c r="R326" s="4" t="s">
        <v>4691</v>
      </c>
      <c r="S326" s="4" t="s">
        <v>182</v>
      </c>
      <c r="T326" s="5" t="str">
        <f t="shared" si="21"/>
        <v>Y</v>
      </c>
      <c r="W326" s="5" t="str">
        <f t="shared" si="22"/>
        <v>Y</v>
      </c>
      <c r="X326" s="4" t="s">
        <v>51</v>
      </c>
      <c r="Y326" s="4" t="s">
        <v>4674</v>
      </c>
      <c r="Z326" s="4" t="s">
        <v>4692</v>
      </c>
      <c r="AA326" s="4" t="s">
        <v>4676</v>
      </c>
      <c r="AB326" s="4" t="s">
        <v>4677</v>
      </c>
      <c r="AC326" s="5" t="s">
        <v>56</v>
      </c>
      <c r="AH326" s="5" t="str">
        <f t="shared" si="23"/>
        <v>Y</v>
      </c>
      <c r="AI326" s="4" t="s">
        <v>4678</v>
      </c>
      <c r="AJ326" s="4" t="s">
        <v>4693</v>
      </c>
      <c r="AK326" s="3" t="s">
        <v>4694</v>
      </c>
      <c r="AL326" s="3" t="s">
        <v>4695</v>
      </c>
      <c r="AM326" s="4" t="s">
        <v>62</v>
      </c>
      <c r="AP326" s="5">
        <v>1</v>
      </c>
      <c r="AT326" s="7"/>
      <c r="AU326" s="7"/>
      <c r="AV326" s="7"/>
      <c r="AW326" s="7"/>
      <c r="AX326" s="7"/>
      <c r="AY326" s="7"/>
      <c r="AZ326" s="7"/>
      <c r="BA326" s="7"/>
      <c r="BB326" s="7"/>
      <c r="BC326" s="7"/>
      <c r="BD326" s="7"/>
      <c r="BE326" s="7"/>
      <c r="BF326" s="7"/>
      <c r="BG326" s="7"/>
      <c r="BH326" s="7"/>
      <c r="BI326" s="7"/>
      <c r="BJ326" s="7"/>
      <c r="BK326" s="7"/>
      <c r="BL326" s="7"/>
      <c r="BM326" s="7"/>
      <c r="BN326" s="7"/>
      <c r="BO326" s="7"/>
      <c r="BP326" s="7"/>
      <c r="BQ326" s="7"/>
      <c r="BR326" s="7"/>
      <c r="BS326" s="7"/>
      <c r="BT326" s="7"/>
      <c r="BU326" s="7"/>
      <c r="BV326" s="7"/>
      <c r="BW326" s="7"/>
      <c r="BX326" s="7"/>
      <c r="BY326" s="7"/>
      <c r="BZ326" s="7"/>
    </row>
    <row r="327" ht="16.5" customHeight="1">
      <c r="A327" s="3" t="s">
        <v>4696</v>
      </c>
      <c r="B327" s="3" t="s">
        <v>4697</v>
      </c>
      <c r="C327" s="3" t="s">
        <v>4698</v>
      </c>
      <c r="D327" s="3" t="s">
        <v>2200</v>
      </c>
      <c r="E327" s="4" t="s">
        <v>2201</v>
      </c>
      <c r="F327" s="3">
        <v>3246</v>
      </c>
      <c r="H327" s="5" t="str">
        <f t="shared" si="20"/>
        <v>N</v>
      </c>
      <c r="I327" s="4" t="s">
        <v>4699</v>
      </c>
      <c r="J327" s="4" t="s">
        <v>4120</v>
      </c>
      <c r="K327" s="4" t="s">
        <v>4700</v>
      </c>
      <c r="L327" s="4" t="s">
        <v>4701</v>
      </c>
      <c r="M327" s="4" t="s">
        <v>4702</v>
      </c>
      <c r="N327" s="4" t="s">
        <v>4687</v>
      </c>
      <c r="O327" s="4" t="s">
        <v>4703</v>
      </c>
      <c r="P327" s="4" t="s">
        <v>4704</v>
      </c>
      <c r="Q327" s="4" t="s">
        <v>4705</v>
      </c>
      <c r="R327" s="4" t="s">
        <v>4706</v>
      </c>
      <c r="S327" s="4" t="s">
        <v>312</v>
      </c>
      <c r="T327" s="5" t="str">
        <f t="shared" si="21"/>
        <v>Y</v>
      </c>
      <c r="W327" s="5" t="str">
        <f t="shared" si="22"/>
        <v>Y</v>
      </c>
      <c r="X327" s="4" t="s">
        <v>51</v>
      </c>
      <c r="Y327" s="4" t="s">
        <v>4707</v>
      </c>
      <c r="Z327" s="4" t="s">
        <v>4708</v>
      </c>
      <c r="AA327" s="4" t="s">
        <v>4709</v>
      </c>
      <c r="AB327" s="4" t="s">
        <v>4710</v>
      </c>
      <c r="AC327" s="5" t="s">
        <v>56</v>
      </c>
      <c r="AH327" s="5" t="str">
        <f t="shared" si="23"/>
        <v>Y</v>
      </c>
      <c r="AI327" s="4" t="s">
        <v>4711</v>
      </c>
      <c r="AJ327" s="4" t="s">
        <v>4712</v>
      </c>
      <c r="AK327" s="3" t="s">
        <v>4713</v>
      </c>
      <c r="AL327" s="3" t="s">
        <v>4714</v>
      </c>
      <c r="AM327" s="4" t="s">
        <v>62</v>
      </c>
      <c r="AP327" s="5">
        <v>1</v>
      </c>
      <c r="AT327" s="7"/>
      <c r="AU327" s="7"/>
      <c r="AV327" s="7"/>
      <c r="AW327" s="7"/>
      <c r="AX327" s="7"/>
      <c r="AY327" s="7"/>
      <c r="AZ327" s="7"/>
      <c r="BA327" s="7"/>
      <c r="BB327" s="7"/>
      <c r="BC327" s="7"/>
      <c r="BD327" s="7"/>
      <c r="BE327" s="7"/>
      <c r="BF327" s="7"/>
      <c r="BG327" s="7"/>
      <c r="BH327" s="7"/>
      <c r="BI327" s="7"/>
      <c r="BJ327" s="7"/>
      <c r="BK327" s="7"/>
      <c r="BL327" s="7"/>
      <c r="BM327" s="7"/>
      <c r="BN327" s="7"/>
      <c r="BO327" s="7"/>
      <c r="BP327" s="7"/>
      <c r="BQ327" s="7"/>
      <c r="BR327" s="7"/>
      <c r="BS327" s="7"/>
      <c r="BT327" s="7"/>
      <c r="BU327" s="7"/>
      <c r="BV327" s="7"/>
      <c r="BW327" s="7"/>
      <c r="BX327" s="7"/>
      <c r="BY327" s="7"/>
      <c r="BZ327" s="7"/>
    </row>
    <row r="328" ht="16.5" customHeight="1">
      <c r="A328" s="3" t="s">
        <v>4715</v>
      </c>
      <c r="B328" s="3" t="s">
        <v>4716</v>
      </c>
      <c r="C328" s="3" t="s">
        <v>4717</v>
      </c>
      <c r="D328" s="3" t="s">
        <v>2200</v>
      </c>
      <c r="E328" s="4" t="s">
        <v>2297</v>
      </c>
      <c r="F328" s="3">
        <v>1785</v>
      </c>
      <c r="H328" s="5" t="str">
        <f t="shared" si="20"/>
        <v>N</v>
      </c>
      <c r="I328" s="4" t="s">
        <v>4718</v>
      </c>
      <c r="J328" s="4" t="s">
        <v>4267</v>
      </c>
      <c r="K328" s="4" t="s">
        <v>4719</v>
      </c>
      <c r="L328" s="4" t="s">
        <v>4720</v>
      </c>
      <c r="M328" s="4" t="s">
        <v>4721</v>
      </c>
      <c r="N328" s="4" t="s">
        <v>263</v>
      </c>
      <c r="O328" s="4" t="s">
        <v>4722</v>
      </c>
      <c r="P328" s="4" t="s">
        <v>4723</v>
      </c>
      <c r="Q328" s="4" t="s">
        <v>4724</v>
      </c>
      <c r="R328" s="4" t="s">
        <v>4725</v>
      </c>
      <c r="S328" s="4" t="s">
        <v>4518</v>
      </c>
      <c r="T328" s="5" t="str">
        <f t="shared" si="21"/>
        <v>Y</v>
      </c>
      <c r="W328" s="5" t="str">
        <f t="shared" si="22"/>
        <v>Y</v>
      </c>
      <c r="X328" s="4" t="s">
        <v>51</v>
      </c>
      <c r="Y328" s="4" t="s">
        <v>4726</v>
      </c>
      <c r="Z328" s="4" t="s">
        <v>4727</v>
      </c>
      <c r="AA328" s="4" t="s">
        <v>4728</v>
      </c>
      <c r="AB328" s="4" t="s">
        <v>4729</v>
      </c>
      <c r="AC328" s="5" t="s">
        <v>56</v>
      </c>
      <c r="AH328" s="5" t="str">
        <f t="shared" si="23"/>
        <v>Y</v>
      </c>
      <c r="AI328" s="4" t="s">
        <v>4730</v>
      </c>
      <c r="AJ328" s="4" t="s">
        <v>4731</v>
      </c>
      <c r="AK328" s="3" t="s">
        <v>4732</v>
      </c>
      <c r="AL328" s="3" t="s">
        <v>4733</v>
      </c>
      <c r="AM328" s="4" t="s">
        <v>62</v>
      </c>
      <c r="AP328" s="5">
        <v>1</v>
      </c>
      <c r="AT328" s="7"/>
      <c r="AU328" s="7"/>
      <c r="AV328" s="7"/>
      <c r="AW328" s="7"/>
      <c r="AX328" s="7"/>
      <c r="AY328" s="7"/>
      <c r="AZ328" s="7"/>
      <c r="BA328" s="7"/>
      <c r="BB328" s="7"/>
      <c r="BC328" s="7"/>
      <c r="BD328" s="7"/>
      <c r="BE328" s="7"/>
      <c r="BF328" s="7"/>
      <c r="BG328" s="7"/>
      <c r="BH328" s="7"/>
      <c r="BI328" s="7"/>
      <c r="BJ328" s="7"/>
      <c r="BK328" s="7"/>
      <c r="BL328" s="7"/>
      <c r="BM328" s="7"/>
      <c r="BN328" s="7"/>
      <c r="BO328" s="7"/>
      <c r="BP328" s="7"/>
      <c r="BQ328" s="7"/>
      <c r="BR328" s="7"/>
      <c r="BS328" s="7"/>
      <c r="BT328" s="7"/>
      <c r="BU328" s="7"/>
      <c r="BV328" s="7"/>
      <c r="BW328" s="7"/>
      <c r="BX328" s="7"/>
      <c r="BY328" s="7"/>
      <c r="BZ328" s="7"/>
    </row>
    <row r="329" ht="16.5" customHeight="1">
      <c r="A329" s="3" t="s">
        <v>4734</v>
      </c>
      <c r="B329" s="3" t="s">
        <v>4735</v>
      </c>
      <c r="C329" s="3" t="s">
        <v>4736</v>
      </c>
      <c r="D329" s="3" t="s">
        <v>2200</v>
      </c>
      <c r="E329" s="4" t="s">
        <v>2297</v>
      </c>
      <c r="F329" s="3">
        <v>1770</v>
      </c>
      <c r="H329" s="5" t="str">
        <f t="shared" si="20"/>
        <v>N</v>
      </c>
      <c r="I329" s="4" t="s">
        <v>4737</v>
      </c>
      <c r="J329" s="4" t="s">
        <v>2274</v>
      </c>
      <c r="K329" s="4" t="s">
        <v>4738</v>
      </c>
      <c r="L329" s="4" t="s">
        <v>4739</v>
      </c>
      <c r="M329" s="4" t="s">
        <v>4740</v>
      </c>
      <c r="N329" s="4" t="s">
        <v>4741</v>
      </c>
      <c r="O329" s="4" t="s">
        <v>4742</v>
      </c>
      <c r="P329" s="4" t="s">
        <v>2237</v>
      </c>
      <c r="Q329" s="4" t="s">
        <v>4743</v>
      </c>
      <c r="R329" s="4" t="s">
        <v>4744</v>
      </c>
      <c r="S329" s="4" t="s">
        <v>4518</v>
      </c>
      <c r="T329" s="5" t="str">
        <f t="shared" si="21"/>
        <v>Y</v>
      </c>
      <c r="W329" s="5" t="str">
        <f t="shared" si="22"/>
        <v>Y</v>
      </c>
      <c r="X329" s="4" t="s">
        <v>51</v>
      </c>
      <c r="Y329" s="4" t="s">
        <v>4745</v>
      </c>
      <c r="Z329" s="4" t="s">
        <v>4746</v>
      </c>
      <c r="AA329" s="4" t="s">
        <v>4747</v>
      </c>
      <c r="AB329" s="4" t="s">
        <v>4748</v>
      </c>
      <c r="AC329" s="5" t="s">
        <v>56</v>
      </c>
      <c r="AH329" s="5" t="str">
        <f t="shared" si="23"/>
        <v>Y</v>
      </c>
      <c r="AI329" s="4" t="s">
        <v>4749</v>
      </c>
      <c r="AJ329" s="4" t="s">
        <v>4750</v>
      </c>
      <c r="AK329" s="3" t="s">
        <v>4751</v>
      </c>
      <c r="AL329" s="3" t="s">
        <v>4752</v>
      </c>
      <c r="AM329" s="4" t="s">
        <v>62</v>
      </c>
      <c r="AP329" s="5">
        <v>1</v>
      </c>
      <c r="AT329" s="7"/>
      <c r="AU329" s="7"/>
      <c r="AV329" s="7"/>
      <c r="AW329" s="7"/>
      <c r="AX329" s="7"/>
      <c r="AY329" s="7"/>
      <c r="AZ329" s="7"/>
      <c r="BA329" s="7"/>
      <c r="BB329" s="7"/>
      <c r="BC329" s="7"/>
      <c r="BD329" s="7"/>
      <c r="BE329" s="7"/>
      <c r="BF329" s="7"/>
      <c r="BG329" s="7"/>
      <c r="BH329" s="7"/>
      <c r="BI329" s="7"/>
      <c r="BJ329" s="7"/>
      <c r="BK329" s="7"/>
      <c r="BL329" s="7"/>
      <c r="BM329" s="7"/>
      <c r="BN329" s="7"/>
      <c r="BO329" s="7"/>
      <c r="BP329" s="7"/>
      <c r="BQ329" s="7"/>
      <c r="BR329" s="7"/>
      <c r="BS329" s="7"/>
      <c r="BT329" s="7"/>
      <c r="BU329" s="7"/>
      <c r="BV329" s="7"/>
      <c r="BW329" s="7"/>
      <c r="BX329" s="7"/>
      <c r="BY329" s="7"/>
      <c r="BZ329" s="7"/>
    </row>
    <row r="330" ht="16.5" customHeight="1">
      <c r="A330" s="3" t="s">
        <v>4753</v>
      </c>
      <c r="B330" s="3" t="s">
        <v>4754</v>
      </c>
      <c r="C330" s="3" t="s">
        <v>4755</v>
      </c>
      <c r="D330" s="3" t="s">
        <v>2200</v>
      </c>
      <c r="E330" s="4" t="s">
        <v>2297</v>
      </c>
      <c r="F330" s="3">
        <v>1760</v>
      </c>
      <c r="H330" s="5" t="str">
        <f t="shared" si="20"/>
        <v>N</v>
      </c>
      <c r="I330" s="4" t="s">
        <v>4756</v>
      </c>
      <c r="J330" s="4" t="s">
        <v>4757</v>
      </c>
      <c r="K330" s="4" t="s">
        <v>4758</v>
      </c>
      <c r="L330" s="4" t="s">
        <v>4759</v>
      </c>
      <c r="M330" s="4" t="s">
        <v>4760</v>
      </c>
      <c r="N330" s="4" t="s">
        <v>4761</v>
      </c>
      <c r="O330" s="4" t="s">
        <v>4762</v>
      </c>
      <c r="P330" s="4" t="s">
        <v>4515</v>
      </c>
      <c r="Q330" s="4" t="s">
        <v>4763</v>
      </c>
      <c r="R330" s="4" t="s">
        <v>4764</v>
      </c>
      <c r="S330" s="4" t="s">
        <v>4518</v>
      </c>
      <c r="T330" s="5" t="str">
        <f t="shared" si="21"/>
        <v>Y</v>
      </c>
      <c r="W330" s="5" t="str">
        <f t="shared" si="22"/>
        <v>Y</v>
      </c>
      <c r="X330" s="4" t="s">
        <v>51</v>
      </c>
      <c r="Y330" s="4" t="s">
        <v>4765</v>
      </c>
      <c r="Z330" s="4" t="s">
        <v>4766</v>
      </c>
      <c r="AA330" s="4" t="s">
        <v>4767</v>
      </c>
      <c r="AB330" s="4" t="s">
        <v>4768</v>
      </c>
      <c r="AC330" s="5" t="s">
        <v>56</v>
      </c>
      <c r="AH330" s="5" t="str">
        <f t="shared" si="23"/>
        <v>Y</v>
      </c>
      <c r="AI330" s="4" t="s">
        <v>4769</v>
      </c>
      <c r="AJ330" s="4" t="s">
        <v>4770</v>
      </c>
      <c r="AK330" s="3" t="s">
        <v>4771</v>
      </c>
      <c r="AL330" s="3" t="s">
        <v>4772</v>
      </c>
      <c r="AM330" s="4" t="s">
        <v>62</v>
      </c>
      <c r="AP330" s="5">
        <v>1</v>
      </c>
      <c r="AT330" s="7"/>
      <c r="AU330" s="7"/>
      <c r="AV330" s="7"/>
      <c r="AW330" s="7"/>
      <c r="AX330" s="7"/>
      <c r="AY330" s="7"/>
      <c r="AZ330" s="7"/>
      <c r="BA330" s="7"/>
      <c r="BB330" s="7"/>
      <c r="BC330" s="7"/>
      <c r="BD330" s="7"/>
      <c r="BE330" s="7"/>
      <c r="BF330" s="7"/>
      <c r="BG330" s="7"/>
      <c r="BH330" s="7"/>
      <c r="BI330" s="7"/>
      <c r="BJ330" s="7"/>
      <c r="BK330" s="7"/>
      <c r="BL330" s="7"/>
      <c r="BM330" s="7"/>
      <c r="BN330" s="7"/>
      <c r="BO330" s="7"/>
      <c r="BP330" s="7"/>
      <c r="BQ330" s="7"/>
      <c r="BR330" s="7"/>
      <c r="BS330" s="7"/>
      <c r="BT330" s="7"/>
      <c r="BU330" s="7"/>
      <c r="BV330" s="7"/>
      <c r="BW330" s="7"/>
      <c r="BX330" s="7"/>
      <c r="BY330" s="7"/>
      <c r="BZ330" s="7"/>
    </row>
    <row r="331" ht="16.5" customHeight="1">
      <c r="A331" s="3" t="s">
        <v>4773</v>
      </c>
      <c r="B331" s="3" t="s">
        <v>4774</v>
      </c>
      <c r="C331" s="3" t="s">
        <v>4773</v>
      </c>
      <c r="D331" s="3" t="s">
        <v>2200</v>
      </c>
      <c r="E331" s="4" t="s">
        <v>4775</v>
      </c>
      <c r="F331" s="3">
        <v>10345</v>
      </c>
      <c r="H331" s="5" t="str">
        <f t="shared" si="20"/>
        <v>N</v>
      </c>
      <c r="I331" s="4" t="s">
        <v>4776</v>
      </c>
      <c r="J331" s="4" t="s">
        <v>4777</v>
      </c>
      <c r="K331" s="4" t="s">
        <v>4778</v>
      </c>
      <c r="L331" s="4" t="s">
        <v>4779</v>
      </c>
      <c r="M331" s="4" t="s">
        <v>4780</v>
      </c>
      <c r="N331" s="4" t="s">
        <v>4739</v>
      </c>
      <c r="O331" s="4" t="s">
        <v>4781</v>
      </c>
      <c r="P331" s="4" t="s">
        <v>4782</v>
      </c>
      <c r="Q331" s="4" t="s">
        <v>4783</v>
      </c>
      <c r="R331" s="4" t="s">
        <v>4784</v>
      </c>
      <c r="S331" s="4" t="s">
        <v>312</v>
      </c>
      <c r="T331" s="5" t="str">
        <f t="shared" si="21"/>
        <v>Y</v>
      </c>
      <c r="W331" s="5" t="str">
        <f t="shared" si="22"/>
        <v>Y</v>
      </c>
      <c r="X331" s="4" t="s">
        <v>51</v>
      </c>
      <c r="Y331" s="4" t="s">
        <v>4785</v>
      </c>
      <c r="Z331" s="4" t="s">
        <v>4786</v>
      </c>
      <c r="AA331" s="4" t="s">
        <v>4787</v>
      </c>
      <c r="AB331" s="4" t="s">
        <v>4788</v>
      </c>
      <c r="AC331" s="5" t="s">
        <v>56</v>
      </c>
      <c r="AH331" s="5" t="str">
        <f t="shared" si="23"/>
        <v>Y</v>
      </c>
      <c r="AI331" s="4" t="s">
        <v>4789</v>
      </c>
      <c r="AJ331" s="4" t="s">
        <v>4790</v>
      </c>
      <c r="AK331" s="3" t="s">
        <v>4791</v>
      </c>
      <c r="AL331" s="3" t="s">
        <v>4792</v>
      </c>
      <c r="AM331" s="4" t="s">
        <v>62</v>
      </c>
      <c r="AP331" s="5">
        <v>1</v>
      </c>
      <c r="AT331" s="7"/>
      <c r="AU331" s="7"/>
      <c r="AV331" s="7"/>
      <c r="AW331" s="7"/>
      <c r="AX331" s="7"/>
      <c r="AY331" s="7"/>
      <c r="AZ331" s="7"/>
      <c r="BA331" s="7"/>
      <c r="BB331" s="7"/>
      <c r="BC331" s="7"/>
      <c r="BD331" s="7"/>
      <c r="BE331" s="7"/>
      <c r="BF331" s="7"/>
      <c r="BG331" s="7"/>
      <c r="BH331" s="7"/>
      <c r="BI331" s="7"/>
      <c r="BJ331" s="7"/>
      <c r="BK331" s="7"/>
      <c r="BL331" s="7"/>
      <c r="BM331" s="7"/>
      <c r="BN331" s="7"/>
      <c r="BO331" s="7"/>
      <c r="BP331" s="7"/>
      <c r="BQ331" s="7"/>
      <c r="BR331" s="7"/>
      <c r="BS331" s="7"/>
      <c r="BT331" s="7"/>
      <c r="BU331" s="7"/>
      <c r="BV331" s="7"/>
      <c r="BW331" s="7"/>
      <c r="BX331" s="7"/>
      <c r="BY331" s="7"/>
      <c r="BZ331" s="7"/>
    </row>
    <row r="332" ht="16.5" customHeight="1">
      <c r="AT332" s="7"/>
      <c r="AU332" s="7"/>
      <c r="AV332" s="7"/>
      <c r="AW332" s="7"/>
      <c r="AX332" s="7"/>
      <c r="AY332" s="7"/>
      <c r="AZ332" s="7"/>
      <c r="BA332" s="7"/>
      <c r="BB332" s="7"/>
      <c r="BC332" s="7"/>
      <c r="BD332" s="7"/>
      <c r="BE332" s="7"/>
      <c r="BF332" s="7"/>
      <c r="BG332" s="7"/>
      <c r="BH332" s="7"/>
      <c r="BI332" s="7"/>
      <c r="BJ332" s="7"/>
      <c r="BK332" s="7"/>
      <c r="BL332" s="7"/>
      <c r="BM332" s="7"/>
      <c r="BN332" s="7"/>
      <c r="BO332" s="7"/>
      <c r="BP332" s="7"/>
      <c r="BQ332" s="7"/>
      <c r="BR332" s="7"/>
      <c r="BS332" s="7"/>
      <c r="BT332" s="7"/>
      <c r="BU332" s="7"/>
      <c r="BV332" s="7"/>
      <c r="BW332" s="7"/>
      <c r="BX332" s="7"/>
      <c r="BY332" s="7"/>
      <c r="BZ332" s="7"/>
    </row>
    <row r="333" ht="16.5" customHeight="1">
      <c r="AT333" s="7"/>
      <c r="AU333" s="7"/>
      <c r="AV333" s="7"/>
      <c r="AW333" s="7"/>
      <c r="AX333" s="7"/>
      <c r="AY333" s="7"/>
      <c r="AZ333" s="7"/>
      <c r="BA333" s="7"/>
      <c r="BB333" s="7"/>
      <c r="BC333" s="7"/>
      <c r="BD333" s="7"/>
      <c r="BE333" s="7"/>
      <c r="BF333" s="7"/>
      <c r="BG333" s="7"/>
      <c r="BH333" s="7"/>
      <c r="BI333" s="7"/>
      <c r="BJ333" s="7"/>
      <c r="BK333" s="7"/>
      <c r="BL333" s="7"/>
      <c r="BM333" s="7"/>
      <c r="BN333" s="7"/>
      <c r="BO333" s="7"/>
      <c r="BP333" s="7"/>
      <c r="BQ333" s="7"/>
      <c r="BR333" s="7"/>
      <c r="BS333" s="7"/>
      <c r="BT333" s="7"/>
      <c r="BU333" s="7"/>
      <c r="BV333" s="7"/>
      <c r="BW333" s="7"/>
      <c r="BX333" s="7"/>
      <c r="BY333" s="7"/>
      <c r="BZ333" s="7"/>
    </row>
    <row r="334" ht="16.5" customHeight="1">
      <c r="AT334" s="7"/>
      <c r="AU334" s="7"/>
      <c r="AV334" s="7"/>
      <c r="AW334" s="7"/>
      <c r="AX334" s="7"/>
      <c r="AY334" s="7"/>
      <c r="AZ334" s="7"/>
      <c r="BA334" s="7"/>
      <c r="BB334" s="7"/>
      <c r="BC334" s="7"/>
      <c r="BD334" s="7"/>
      <c r="BE334" s="7"/>
      <c r="BF334" s="7"/>
      <c r="BG334" s="7"/>
      <c r="BH334" s="7"/>
      <c r="BI334" s="7"/>
      <c r="BJ334" s="7"/>
      <c r="BK334" s="7"/>
      <c r="BL334" s="7"/>
      <c r="BM334" s="7"/>
      <c r="BN334" s="7"/>
      <c r="BO334" s="7"/>
      <c r="BP334" s="7"/>
      <c r="BQ334" s="7"/>
      <c r="BR334" s="7"/>
      <c r="BS334" s="7"/>
      <c r="BT334" s="7"/>
      <c r="BU334" s="7"/>
      <c r="BV334" s="7"/>
      <c r="BW334" s="7"/>
      <c r="BX334" s="7"/>
      <c r="BY334" s="7"/>
      <c r="BZ334" s="7"/>
    </row>
    <row r="335" ht="16.5" customHeight="1">
      <c r="AT335" s="7"/>
      <c r="AU335" s="7"/>
      <c r="AV335" s="7"/>
      <c r="AW335" s="7"/>
      <c r="AX335" s="7"/>
      <c r="AY335" s="7"/>
      <c r="AZ335" s="7"/>
      <c r="BA335" s="7"/>
      <c r="BB335" s="7"/>
      <c r="BC335" s="7"/>
      <c r="BD335" s="7"/>
      <c r="BE335" s="7"/>
      <c r="BF335" s="7"/>
      <c r="BG335" s="7"/>
      <c r="BH335" s="7"/>
      <c r="BI335" s="7"/>
      <c r="BJ335" s="7"/>
      <c r="BK335" s="7"/>
      <c r="BL335" s="7"/>
      <c r="BM335" s="7"/>
      <c r="BN335" s="7"/>
      <c r="BO335" s="7"/>
      <c r="BP335" s="7"/>
      <c r="BQ335" s="7"/>
      <c r="BR335" s="7"/>
      <c r="BS335" s="7"/>
      <c r="BT335" s="7"/>
      <c r="BU335" s="7"/>
      <c r="BV335" s="7"/>
      <c r="BW335" s="7"/>
      <c r="BX335" s="7"/>
      <c r="BY335" s="7"/>
      <c r="BZ335" s="7"/>
    </row>
    <row r="336" ht="16.5" customHeight="1">
      <c r="AT336" s="7"/>
      <c r="AU336" s="7"/>
      <c r="AV336" s="7"/>
      <c r="AW336" s="7"/>
      <c r="AX336" s="7"/>
      <c r="AY336" s="7"/>
      <c r="AZ336" s="7"/>
      <c r="BA336" s="7"/>
      <c r="BB336" s="7"/>
      <c r="BC336" s="7"/>
      <c r="BD336" s="7"/>
      <c r="BE336" s="7"/>
      <c r="BF336" s="7"/>
      <c r="BG336" s="7"/>
      <c r="BH336" s="7"/>
      <c r="BI336" s="7"/>
      <c r="BJ336" s="7"/>
      <c r="BK336" s="7"/>
      <c r="BL336" s="7"/>
      <c r="BM336" s="7"/>
      <c r="BN336" s="7"/>
      <c r="BO336" s="7"/>
      <c r="BP336" s="7"/>
      <c r="BQ336" s="7"/>
      <c r="BR336" s="7"/>
      <c r="BS336" s="7"/>
      <c r="BT336" s="7"/>
      <c r="BU336" s="7"/>
      <c r="BV336" s="7"/>
      <c r="BW336" s="7"/>
      <c r="BX336" s="7"/>
      <c r="BY336" s="7"/>
      <c r="BZ336" s="7"/>
    </row>
    <row r="337" ht="16.5" customHeight="1">
      <c r="AT337" s="7"/>
      <c r="AU337" s="7"/>
      <c r="AV337" s="7"/>
      <c r="AW337" s="7"/>
      <c r="AX337" s="7"/>
      <c r="AY337" s="7"/>
      <c r="AZ337" s="7"/>
      <c r="BA337" s="7"/>
      <c r="BB337" s="7"/>
      <c r="BC337" s="7"/>
      <c r="BD337" s="7"/>
      <c r="BE337" s="7"/>
      <c r="BF337" s="7"/>
      <c r="BG337" s="7"/>
      <c r="BH337" s="7"/>
      <c r="BI337" s="7"/>
      <c r="BJ337" s="7"/>
      <c r="BK337" s="7"/>
      <c r="BL337" s="7"/>
      <c r="BM337" s="7"/>
      <c r="BN337" s="7"/>
      <c r="BO337" s="7"/>
      <c r="BP337" s="7"/>
      <c r="BQ337" s="7"/>
      <c r="BR337" s="7"/>
      <c r="BS337" s="7"/>
      <c r="BT337" s="7"/>
      <c r="BU337" s="7"/>
      <c r="BV337" s="7"/>
      <c r="BW337" s="7"/>
      <c r="BX337" s="7"/>
      <c r="BY337" s="7"/>
      <c r="BZ337" s="7"/>
    </row>
    <row r="338" ht="16.5" customHeight="1">
      <c r="AT338" s="7"/>
      <c r="AU338" s="7"/>
      <c r="AV338" s="7"/>
      <c r="AW338" s="7"/>
      <c r="AX338" s="7"/>
      <c r="AY338" s="7"/>
      <c r="AZ338" s="7"/>
      <c r="BA338" s="7"/>
      <c r="BB338" s="7"/>
      <c r="BC338" s="7"/>
      <c r="BD338" s="7"/>
      <c r="BE338" s="7"/>
      <c r="BF338" s="7"/>
      <c r="BG338" s="7"/>
      <c r="BH338" s="7"/>
      <c r="BI338" s="7"/>
      <c r="BJ338" s="7"/>
      <c r="BK338" s="7"/>
      <c r="BL338" s="7"/>
      <c r="BM338" s="7"/>
      <c r="BN338" s="7"/>
      <c r="BO338" s="7"/>
      <c r="BP338" s="7"/>
      <c r="BQ338" s="7"/>
      <c r="BR338" s="7"/>
      <c r="BS338" s="7"/>
      <c r="BT338" s="7"/>
      <c r="BU338" s="7"/>
      <c r="BV338" s="7"/>
      <c r="BW338" s="7"/>
      <c r="BX338" s="7"/>
      <c r="BY338" s="7"/>
      <c r="BZ338" s="7"/>
    </row>
    <row r="339" ht="16.5" customHeight="1">
      <c r="AT339" s="7"/>
      <c r="AU339" s="7"/>
      <c r="AV339" s="7"/>
      <c r="AW339" s="7"/>
      <c r="AX339" s="7"/>
      <c r="AY339" s="7"/>
      <c r="AZ339" s="7"/>
      <c r="BA339" s="7"/>
      <c r="BB339" s="7"/>
      <c r="BC339" s="7"/>
      <c r="BD339" s="7"/>
      <c r="BE339" s="7"/>
      <c r="BF339" s="7"/>
      <c r="BG339" s="7"/>
      <c r="BH339" s="7"/>
      <c r="BI339" s="7"/>
      <c r="BJ339" s="7"/>
      <c r="BK339" s="7"/>
      <c r="BL339" s="7"/>
      <c r="BM339" s="7"/>
      <c r="BN339" s="7"/>
      <c r="BO339" s="7"/>
      <c r="BP339" s="7"/>
      <c r="BQ339" s="7"/>
      <c r="BR339" s="7"/>
      <c r="BS339" s="7"/>
      <c r="BT339" s="7"/>
      <c r="BU339" s="7"/>
      <c r="BV339" s="7"/>
      <c r="BW339" s="7"/>
      <c r="BX339" s="7"/>
      <c r="BY339" s="7"/>
      <c r="BZ339" s="7"/>
    </row>
    <row r="340" ht="16.5" customHeight="1">
      <c r="AT340" s="7"/>
      <c r="AU340" s="7"/>
      <c r="AV340" s="7"/>
      <c r="AW340" s="7"/>
      <c r="AX340" s="7"/>
      <c r="AY340" s="7"/>
      <c r="AZ340" s="7"/>
      <c r="BA340" s="7"/>
      <c r="BB340" s="7"/>
      <c r="BC340" s="7"/>
      <c r="BD340" s="7"/>
      <c r="BE340" s="7"/>
      <c r="BF340" s="7"/>
      <c r="BG340" s="7"/>
      <c r="BH340" s="7"/>
      <c r="BI340" s="7"/>
      <c r="BJ340" s="7"/>
      <c r="BK340" s="7"/>
      <c r="BL340" s="7"/>
      <c r="BM340" s="7"/>
      <c r="BN340" s="7"/>
      <c r="BO340" s="7"/>
      <c r="BP340" s="7"/>
      <c r="BQ340" s="7"/>
      <c r="BR340" s="7"/>
      <c r="BS340" s="7"/>
      <c r="BT340" s="7"/>
      <c r="BU340" s="7"/>
      <c r="BV340" s="7"/>
      <c r="BW340" s="7"/>
      <c r="BX340" s="7"/>
      <c r="BY340" s="7"/>
      <c r="BZ340" s="7"/>
    </row>
    <row r="341" ht="16.5" customHeight="1">
      <c r="AT341" s="7"/>
      <c r="AU341" s="7"/>
      <c r="AV341" s="7"/>
      <c r="AW341" s="7"/>
      <c r="AX341" s="7"/>
      <c r="AY341" s="7"/>
      <c r="AZ341" s="7"/>
      <c r="BA341" s="7"/>
      <c r="BB341" s="7"/>
      <c r="BC341" s="7"/>
      <c r="BD341" s="7"/>
      <c r="BE341" s="7"/>
      <c r="BF341" s="7"/>
      <c r="BG341" s="7"/>
      <c r="BH341" s="7"/>
      <c r="BI341" s="7"/>
      <c r="BJ341" s="7"/>
      <c r="BK341" s="7"/>
      <c r="BL341" s="7"/>
      <c r="BM341" s="7"/>
      <c r="BN341" s="7"/>
      <c r="BO341" s="7"/>
      <c r="BP341" s="7"/>
      <c r="BQ341" s="7"/>
      <c r="BR341" s="7"/>
      <c r="BS341" s="7"/>
      <c r="BT341" s="7"/>
      <c r="BU341" s="7"/>
      <c r="BV341" s="7"/>
      <c r="BW341" s="7"/>
      <c r="BX341" s="7"/>
      <c r="BY341" s="7"/>
      <c r="BZ341" s="7"/>
    </row>
    <row r="342" ht="16.5" customHeight="1">
      <c r="AT342" s="7"/>
      <c r="AU342" s="7"/>
      <c r="AV342" s="7"/>
      <c r="AW342" s="7"/>
      <c r="AX342" s="7"/>
      <c r="AY342" s="7"/>
      <c r="AZ342" s="7"/>
      <c r="BA342" s="7"/>
      <c r="BB342" s="7"/>
      <c r="BC342" s="7"/>
      <c r="BD342" s="7"/>
      <c r="BE342" s="7"/>
      <c r="BF342" s="7"/>
      <c r="BG342" s="7"/>
      <c r="BH342" s="7"/>
      <c r="BI342" s="7"/>
      <c r="BJ342" s="7"/>
      <c r="BK342" s="7"/>
      <c r="BL342" s="7"/>
      <c r="BM342" s="7"/>
      <c r="BN342" s="7"/>
      <c r="BO342" s="7"/>
      <c r="BP342" s="7"/>
      <c r="BQ342" s="7"/>
      <c r="BR342" s="7"/>
      <c r="BS342" s="7"/>
      <c r="BT342" s="7"/>
      <c r="BU342" s="7"/>
      <c r="BV342" s="7"/>
      <c r="BW342" s="7"/>
      <c r="BX342" s="7"/>
      <c r="BY342" s="7"/>
      <c r="BZ342" s="7"/>
    </row>
    <row r="343" ht="16.5" customHeight="1">
      <c r="AT343" s="7"/>
      <c r="AU343" s="7"/>
      <c r="AV343" s="7"/>
      <c r="AW343" s="7"/>
      <c r="AX343" s="7"/>
      <c r="AY343" s="7"/>
      <c r="AZ343" s="7"/>
      <c r="BA343" s="7"/>
      <c r="BB343" s="7"/>
      <c r="BC343" s="7"/>
      <c r="BD343" s="7"/>
      <c r="BE343" s="7"/>
      <c r="BF343" s="7"/>
      <c r="BG343" s="7"/>
      <c r="BH343" s="7"/>
      <c r="BI343" s="7"/>
      <c r="BJ343" s="7"/>
      <c r="BK343" s="7"/>
      <c r="BL343" s="7"/>
      <c r="BM343" s="7"/>
      <c r="BN343" s="7"/>
      <c r="BO343" s="7"/>
      <c r="BP343" s="7"/>
      <c r="BQ343" s="7"/>
      <c r="BR343" s="7"/>
      <c r="BS343" s="7"/>
      <c r="BT343" s="7"/>
      <c r="BU343" s="7"/>
      <c r="BV343" s="7"/>
      <c r="BW343" s="7"/>
      <c r="BX343" s="7"/>
      <c r="BY343" s="7"/>
      <c r="BZ343" s="7"/>
    </row>
    <row r="344" ht="16.5" customHeight="1">
      <c r="AT344" s="7"/>
      <c r="AU344" s="7"/>
      <c r="AV344" s="7"/>
      <c r="AW344" s="7"/>
      <c r="AX344" s="7"/>
      <c r="AY344" s="7"/>
      <c r="AZ344" s="7"/>
      <c r="BA344" s="7"/>
      <c r="BB344" s="7"/>
      <c r="BC344" s="7"/>
      <c r="BD344" s="7"/>
      <c r="BE344" s="7"/>
      <c r="BF344" s="7"/>
      <c r="BG344" s="7"/>
      <c r="BH344" s="7"/>
      <c r="BI344" s="7"/>
      <c r="BJ344" s="7"/>
      <c r="BK344" s="7"/>
      <c r="BL344" s="7"/>
      <c r="BM344" s="7"/>
      <c r="BN344" s="7"/>
      <c r="BO344" s="7"/>
      <c r="BP344" s="7"/>
      <c r="BQ344" s="7"/>
      <c r="BR344" s="7"/>
      <c r="BS344" s="7"/>
      <c r="BT344" s="7"/>
      <c r="BU344" s="7"/>
      <c r="BV344" s="7"/>
      <c r="BW344" s="7"/>
      <c r="BX344" s="7"/>
      <c r="BY344" s="7"/>
      <c r="BZ344" s="7"/>
    </row>
    <row r="345" ht="16.5" customHeight="1">
      <c r="AT345" s="7"/>
      <c r="AU345" s="7"/>
      <c r="AV345" s="7"/>
      <c r="AW345" s="7"/>
      <c r="AX345" s="7"/>
      <c r="AY345" s="7"/>
      <c r="AZ345" s="7"/>
      <c r="BA345" s="7"/>
      <c r="BB345" s="7"/>
      <c r="BC345" s="7"/>
      <c r="BD345" s="7"/>
      <c r="BE345" s="7"/>
      <c r="BF345" s="7"/>
      <c r="BG345" s="7"/>
      <c r="BH345" s="7"/>
      <c r="BI345" s="7"/>
      <c r="BJ345" s="7"/>
      <c r="BK345" s="7"/>
      <c r="BL345" s="7"/>
      <c r="BM345" s="7"/>
      <c r="BN345" s="7"/>
      <c r="BO345" s="7"/>
      <c r="BP345" s="7"/>
      <c r="BQ345" s="7"/>
      <c r="BR345" s="7"/>
      <c r="BS345" s="7"/>
      <c r="BT345" s="7"/>
      <c r="BU345" s="7"/>
      <c r="BV345" s="7"/>
      <c r="BW345" s="7"/>
      <c r="BX345" s="7"/>
      <c r="BY345" s="7"/>
      <c r="BZ345" s="7"/>
    </row>
    <row r="346" ht="16.5" customHeight="1">
      <c r="AT346" s="7"/>
      <c r="AU346" s="7"/>
      <c r="AV346" s="7"/>
      <c r="AW346" s="7"/>
      <c r="AX346" s="7"/>
      <c r="AY346" s="7"/>
      <c r="AZ346" s="7"/>
      <c r="BA346" s="7"/>
      <c r="BB346" s="7"/>
      <c r="BC346" s="7"/>
      <c r="BD346" s="7"/>
      <c r="BE346" s="7"/>
      <c r="BF346" s="7"/>
      <c r="BG346" s="7"/>
      <c r="BH346" s="7"/>
      <c r="BI346" s="7"/>
      <c r="BJ346" s="7"/>
      <c r="BK346" s="7"/>
      <c r="BL346" s="7"/>
      <c r="BM346" s="7"/>
      <c r="BN346" s="7"/>
      <c r="BO346" s="7"/>
      <c r="BP346" s="7"/>
      <c r="BQ346" s="7"/>
      <c r="BR346" s="7"/>
      <c r="BS346" s="7"/>
      <c r="BT346" s="7"/>
      <c r="BU346" s="7"/>
      <c r="BV346" s="7"/>
      <c r="BW346" s="7"/>
      <c r="BX346" s="7"/>
      <c r="BY346" s="7"/>
      <c r="BZ346" s="7"/>
    </row>
    <row r="347" ht="16.5" customHeight="1">
      <c r="AT347" s="7"/>
      <c r="AU347" s="7"/>
      <c r="AV347" s="7"/>
      <c r="AW347" s="7"/>
      <c r="AX347" s="7"/>
      <c r="AY347" s="7"/>
      <c r="AZ347" s="7"/>
      <c r="BA347" s="7"/>
      <c r="BB347" s="7"/>
      <c r="BC347" s="7"/>
      <c r="BD347" s="7"/>
      <c r="BE347" s="7"/>
      <c r="BF347" s="7"/>
      <c r="BG347" s="7"/>
      <c r="BH347" s="7"/>
      <c r="BI347" s="7"/>
      <c r="BJ347" s="7"/>
      <c r="BK347" s="7"/>
      <c r="BL347" s="7"/>
      <c r="BM347" s="7"/>
      <c r="BN347" s="7"/>
      <c r="BO347" s="7"/>
      <c r="BP347" s="7"/>
      <c r="BQ347" s="7"/>
      <c r="BR347" s="7"/>
      <c r="BS347" s="7"/>
      <c r="BT347" s="7"/>
      <c r="BU347" s="7"/>
      <c r="BV347" s="7"/>
      <c r="BW347" s="7"/>
      <c r="BX347" s="7"/>
      <c r="BY347" s="7"/>
      <c r="BZ347" s="7"/>
    </row>
    <row r="348" ht="16.5" customHeight="1">
      <c r="AT348" s="7"/>
      <c r="AU348" s="7"/>
      <c r="AV348" s="7"/>
      <c r="AW348" s="7"/>
      <c r="AX348" s="7"/>
      <c r="AY348" s="7"/>
      <c r="AZ348" s="7"/>
      <c r="BA348" s="7"/>
      <c r="BB348" s="7"/>
      <c r="BC348" s="7"/>
      <c r="BD348" s="7"/>
      <c r="BE348" s="7"/>
      <c r="BF348" s="7"/>
      <c r="BG348" s="7"/>
      <c r="BH348" s="7"/>
      <c r="BI348" s="7"/>
      <c r="BJ348" s="7"/>
      <c r="BK348" s="7"/>
      <c r="BL348" s="7"/>
      <c r="BM348" s="7"/>
      <c r="BN348" s="7"/>
      <c r="BO348" s="7"/>
      <c r="BP348" s="7"/>
      <c r="BQ348" s="7"/>
      <c r="BR348" s="7"/>
      <c r="BS348" s="7"/>
      <c r="BT348" s="7"/>
      <c r="BU348" s="7"/>
      <c r="BV348" s="7"/>
      <c r="BW348" s="7"/>
      <c r="BX348" s="7"/>
      <c r="BY348" s="7"/>
      <c r="BZ348" s="7"/>
    </row>
    <row r="349" ht="16.5" customHeight="1">
      <c r="AT349" s="7"/>
      <c r="AU349" s="7"/>
      <c r="AV349" s="7"/>
      <c r="AW349" s="7"/>
      <c r="AX349" s="7"/>
      <c r="AY349" s="7"/>
      <c r="AZ349" s="7"/>
      <c r="BA349" s="7"/>
      <c r="BB349" s="7"/>
      <c r="BC349" s="7"/>
      <c r="BD349" s="7"/>
      <c r="BE349" s="7"/>
      <c r="BF349" s="7"/>
      <c r="BG349" s="7"/>
      <c r="BH349" s="7"/>
      <c r="BI349" s="7"/>
      <c r="BJ349" s="7"/>
      <c r="BK349" s="7"/>
      <c r="BL349" s="7"/>
      <c r="BM349" s="7"/>
      <c r="BN349" s="7"/>
      <c r="BO349" s="7"/>
      <c r="BP349" s="7"/>
      <c r="BQ349" s="7"/>
      <c r="BR349" s="7"/>
      <c r="BS349" s="7"/>
      <c r="BT349" s="7"/>
      <c r="BU349" s="7"/>
      <c r="BV349" s="7"/>
      <c r="BW349" s="7"/>
      <c r="BX349" s="7"/>
      <c r="BY349" s="7"/>
      <c r="BZ349" s="7"/>
    </row>
    <row r="350" ht="16.5" customHeight="1">
      <c r="AT350" s="7"/>
      <c r="AU350" s="7"/>
      <c r="AV350" s="7"/>
      <c r="AW350" s="7"/>
      <c r="AX350" s="7"/>
      <c r="AY350" s="7"/>
      <c r="AZ350" s="7"/>
      <c r="BA350" s="7"/>
      <c r="BB350" s="7"/>
      <c r="BC350" s="7"/>
      <c r="BD350" s="7"/>
      <c r="BE350" s="7"/>
      <c r="BF350" s="7"/>
      <c r="BG350" s="7"/>
      <c r="BH350" s="7"/>
      <c r="BI350" s="7"/>
      <c r="BJ350" s="7"/>
      <c r="BK350" s="7"/>
      <c r="BL350" s="7"/>
      <c r="BM350" s="7"/>
      <c r="BN350" s="7"/>
      <c r="BO350" s="7"/>
      <c r="BP350" s="7"/>
      <c r="BQ350" s="7"/>
      <c r="BR350" s="7"/>
      <c r="BS350" s="7"/>
      <c r="BT350" s="7"/>
      <c r="BU350" s="7"/>
      <c r="BV350" s="7"/>
      <c r="BW350" s="7"/>
      <c r="BX350" s="7"/>
      <c r="BY350" s="7"/>
      <c r="BZ350" s="7"/>
    </row>
    <row r="351" ht="16.5" customHeight="1">
      <c r="AT351" s="7"/>
      <c r="AU351" s="7"/>
      <c r="AV351" s="7"/>
      <c r="AW351" s="7"/>
      <c r="AX351" s="7"/>
      <c r="AY351" s="7"/>
      <c r="AZ351" s="7"/>
      <c r="BA351" s="7"/>
      <c r="BB351" s="7"/>
      <c r="BC351" s="7"/>
      <c r="BD351" s="7"/>
      <c r="BE351" s="7"/>
      <c r="BF351" s="7"/>
      <c r="BG351" s="7"/>
      <c r="BH351" s="7"/>
      <c r="BI351" s="7"/>
      <c r="BJ351" s="7"/>
      <c r="BK351" s="7"/>
      <c r="BL351" s="7"/>
      <c r="BM351" s="7"/>
      <c r="BN351" s="7"/>
      <c r="BO351" s="7"/>
      <c r="BP351" s="7"/>
      <c r="BQ351" s="7"/>
      <c r="BR351" s="7"/>
      <c r="BS351" s="7"/>
      <c r="BT351" s="7"/>
      <c r="BU351" s="7"/>
      <c r="BV351" s="7"/>
      <c r="BW351" s="7"/>
      <c r="BX351" s="7"/>
      <c r="BY351" s="7"/>
      <c r="BZ351" s="7"/>
    </row>
    <row r="352" ht="16.5" customHeight="1">
      <c r="AT352" s="7"/>
      <c r="AU352" s="7"/>
      <c r="AV352" s="7"/>
      <c r="AW352" s="7"/>
      <c r="AX352" s="7"/>
      <c r="AY352" s="7"/>
      <c r="AZ352" s="7"/>
      <c r="BA352" s="7"/>
      <c r="BB352" s="7"/>
      <c r="BC352" s="7"/>
      <c r="BD352" s="7"/>
      <c r="BE352" s="7"/>
      <c r="BF352" s="7"/>
      <c r="BG352" s="7"/>
      <c r="BH352" s="7"/>
      <c r="BI352" s="7"/>
      <c r="BJ352" s="7"/>
      <c r="BK352" s="7"/>
      <c r="BL352" s="7"/>
      <c r="BM352" s="7"/>
      <c r="BN352" s="7"/>
      <c r="BO352" s="7"/>
      <c r="BP352" s="7"/>
      <c r="BQ352" s="7"/>
      <c r="BR352" s="7"/>
      <c r="BS352" s="7"/>
      <c r="BT352" s="7"/>
      <c r="BU352" s="7"/>
      <c r="BV352" s="7"/>
      <c r="BW352" s="7"/>
      <c r="BX352" s="7"/>
      <c r="BY352" s="7"/>
      <c r="BZ352" s="7"/>
    </row>
    <row r="353" ht="16.5" customHeight="1">
      <c r="AT353" s="7"/>
      <c r="AU353" s="7"/>
      <c r="AV353" s="7"/>
      <c r="AW353" s="7"/>
      <c r="AX353" s="7"/>
      <c r="AY353" s="7"/>
      <c r="AZ353" s="7"/>
      <c r="BA353" s="7"/>
      <c r="BB353" s="7"/>
      <c r="BC353" s="7"/>
      <c r="BD353" s="7"/>
      <c r="BE353" s="7"/>
      <c r="BF353" s="7"/>
      <c r="BG353" s="7"/>
      <c r="BH353" s="7"/>
      <c r="BI353" s="7"/>
      <c r="BJ353" s="7"/>
      <c r="BK353" s="7"/>
      <c r="BL353" s="7"/>
      <c r="BM353" s="7"/>
      <c r="BN353" s="7"/>
      <c r="BO353" s="7"/>
      <c r="BP353" s="7"/>
      <c r="BQ353" s="7"/>
      <c r="BR353" s="7"/>
      <c r="BS353" s="7"/>
      <c r="BT353" s="7"/>
      <c r="BU353" s="7"/>
      <c r="BV353" s="7"/>
      <c r="BW353" s="7"/>
      <c r="BX353" s="7"/>
      <c r="BY353" s="7"/>
      <c r="BZ353" s="7"/>
    </row>
    <row r="354" ht="16.5" customHeight="1">
      <c r="AT354" s="7"/>
      <c r="AU354" s="7"/>
      <c r="AV354" s="7"/>
      <c r="AW354" s="7"/>
      <c r="AX354" s="7"/>
      <c r="AY354" s="7"/>
      <c r="AZ354" s="7"/>
      <c r="BA354" s="7"/>
      <c r="BB354" s="7"/>
      <c r="BC354" s="7"/>
      <c r="BD354" s="7"/>
      <c r="BE354" s="7"/>
      <c r="BF354" s="7"/>
      <c r="BG354" s="7"/>
      <c r="BH354" s="7"/>
      <c r="BI354" s="7"/>
      <c r="BJ354" s="7"/>
      <c r="BK354" s="7"/>
      <c r="BL354" s="7"/>
      <c r="BM354" s="7"/>
      <c r="BN354" s="7"/>
      <c r="BO354" s="7"/>
      <c r="BP354" s="7"/>
      <c r="BQ354" s="7"/>
      <c r="BR354" s="7"/>
      <c r="BS354" s="7"/>
      <c r="BT354" s="7"/>
      <c r="BU354" s="7"/>
      <c r="BV354" s="7"/>
      <c r="BW354" s="7"/>
      <c r="BX354" s="7"/>
      <c r="BY354" s="7"/>
      <c r="BZ354" s="7"/>
    </row>
    <row r="355" ht="16.5" customHeight="1">
      <c r="AT355" s="7"/>
      <c r="AU355" s="7"/>
      <c r="AV355" s="7"/>
      <c r="AW355" s="7"/>
      <c r="AX355" s="7"/>
      <c r="AY355" s="7"/>
      <c r="AZ355" s="7"/>
      <c r="BA355" s="7"/>
      <c r="BB355" s="7"/>
      <c r="BC355" s="7"/>
      <c r="BD355" s="7"/>
      <c r="BE355" s="7"/>
      <c r="BF355" s="7"/>
      <c r="BG355" s="7"/>
      <c r="BH355" s="7"/>
      <c r="BI355" s="7"/>
      <c r="BJ355" s="7"/>
      <c r="BK355" s="7"/>
      <c r="BL355" s="7"/>
      <c r="BM355" s="7"/>
      <c r="BN355" s="7"/>
      <c r="BO355" s="7"/>
      <c r="BP355" s="7"/>
      <c r="BQ355" s="7"/>
      <c r="BR355" s="7"/>
      <c r="BS355" s="7"/>
      <c r="BT355" s="7"/>
      <c r="BU355" s="7"/>
      <c r="BV355" s="7"/>
      <c r="BW355" s="7"/>
      <c r="BX355" s="7"/>
      <c r="BY355" s="7"/>
      <c r="BZ355" s="7"/>
    </row>
    <row r="356" ht="16.5" customHeight="1">
      <c r="AT356" s="7"/>
      <c r="AU356" s="7"/>
      <c r="AV356" s="7"/>
      <c r="AW356" s="7"/>
      <c r="AX356" s="7"/>
      <c r="AY356" s="7"/>
      <c r="AZ356" s="7"/>
      <c r="BA356" s="7"/>
      <c r="BB356" s="7"/>
      <c r="BC356" s="7"/>
      <c r="BD356" s="7"/>
      <c r="BE356" s="7"/>
      <c r="BF356" s="7"/>
      <c r="BG356" s="7"/>
      <c r="BH356" s="7"/>
      <c r="BI356" s="7"/>
      <c r="BJ356" s="7"/>
      <c r="BK356" s="7"/>
      <c r="BL356" s="7"/>
      <c r="BM356" s="7"/>
      <c r="BN356" s="7"/>
      <c r="BO356" s="7"/>
      <c r="BP356" s="7"/>
      <c r="BQ356" s="7"/>
      <c r="BR356" s="7"/>
      <c r="BS356" s="7"/>
      <c r="BT356" s="7"/>
      <c r="BU356" s="7"/>
      <c r="BV356" s="7"/>
      <c r="BW356" s="7"/>
      <c r="BX356" s="7"/>
      <c r="BY356" s="7"/>
      <c r="BZ356" s="7"/>
    </row>
    <row r="357" ht="16.5" customHeight="1">
      <c r="AT357" s="7"/>
      <c r="AU357" s="7"/>
      <c r="AV357" s="7"/>
      <c r="AW357" s="7"/>
      <c r="AX357" s="7"/>
      <c r="AY357" s="7"/>
      <c r="AZ357" s="7"/>
      <c r="BA357" s="7"/>
      <c r="BB357" s="7"/>
      <c r="BC357" s="7"/>
      <c r="BD357" s="7"/>
      <c r="BE357" s="7"/>
      <c r="BF357" s="7"/>
      <c r="BG357" s="7"/>
      <c r="BH357" s="7"/>
      <c r="BI357" s="7"/>
      <c r="BJ357" s="7"/>
      <c r="BK357" s="7"/>
      <c r="BL357" s="7"/>
      <c r="BM357" s="7"/>
      <c r="BN357" s="7"/>
      <c r="BO357" s="7"/>
      <c r="BP357" s="7"/>
      <c r="BQ357" s="7"/>
      <c r="BR357" s="7"/>
      <c r="BS357" s="7"/>
      <c r="BT357" s="7"/>
      <c r="BU357" s="7"/>
      <c r="BV357" s="7"/>
      <c r="BW357" s="7"/>
      <c r="BX357" s="7"/>
      <c r="BY357" s="7"/>
      <c r="BZ357" s="7"/>
    </row>
    <row r="358" ht="16.5" customHeight="1">
      <c r="AT358" s="7"/>
      <c r="AU358" s="7"/>
      <c r="AV358" s="7"/>
      <c r="AW358" s="7"/>
      <c r="AX358" s="7"/>
      <c r="AY358" s="7"/>
      <c r="AZ358" s="7"/>
      <c r="BA358" s="7"/>
      <c r="BB358" s="7"/>
      <c r="BC358" s="7"/>
      <c r="BD358" s="7"/>
      <c r="BE358" s="7"/>
      <c r="BF358" s="7"/>
      <c r="BG358" s="7"/>
      <c r="BH358" s="7"/>
      <c r="BI358" s="7"/>
      <c r="BJ358" s="7"/>
      <c r="BK358" s="7"/>
      <c r="BL358" s="7"/>
      <c r="BM358" s="7"/>
      <c r="BN358" s="7"/>
      <c r="BO358" s="7"/>
      <c r="BP358" s="7"/>
      <c r="BQ358" s="7"/>
      <c r="BR358" s="7"/>
      <c r="BS358" s="7"/>
      <c r="BT358" s="7"/>
      <c r="BU358" s="7"/>
      <c r="BV358" s="7"/>
      <c r="BW358" s="7"/>
      <c r="BX358" s="7"/>
      <c r="BY358" s="7"/>
      <c r="BZ358" s="7"/>
    </row>
    <row r="359" ht="16.5" customHeight="1">
      <c r="AT359" s="7"/>
      <c r="AU359" s="7"/>
      <c r="AV359" s="7"/>
      <c r="AW359" s="7"/>
      <c r="AX359" s="7"/>
      <c r="AY359" s="7"/>
      <c r="AZ359" s="7"/>
      <c r="BA359" s="7"/>
      <c r="BB359" s="7"/>
      <c r="BC359" s="7"/>
      <c r="BD359" s="7"/>
      <c r="BE359" s="7"/>
      <c r="BF359" s="7"/>
      <c r="BG359" s="7"/>
      <c r="BH359" s="7"/>
      <c r="BI359" s="7"/>
      <c r="BJ359" s="7"/>
      <c r="BK359" s="7"/>
      <c r="BL359" s="7"/>
      <c r="BM359" s="7"/>
      <c r="BN359" s="7"/>
      <c r="BO359" s="7"/>
      <c r="BP359" s="7"/>
      <c r="BQ359" s="7"/>
      <c r="BR359" s="7"/>
      <c r="BS359" s="7"/>
      <c r="BT359" s="7"/>
      <c r="BU359" s="7"/>
      <c r="BV359" s="7"/>
      <c r="BW359" s="7"/>
      <c r="BX359" s="7"/>
      <c r="BY359" s="7"/>
      <c r="BZ359" s="7"/>
    </row>
    <row r="360" ht="16.5" customHeight="1">
      <c r="AT360" s="7"/>
      <c r="AU360" s="7"/>
      <c r="AV360" s="7"/>
      <c r="AW360" s="7"/>
      <c r="AX360" s="7"/>
      <c r="AY360" s="7"/>
      <c r="AZ360" s="7"/>
      <c r="BA360" s="7"/>
      <c r="BB360" s="7"/>
      <c r="BC360" s="7"/>
      <c r="BD360" s="7"/>
      <c r="BE360" s="7"/>
      <c r="BF360" s="7"/>
      <c r="BG360" s="7"/>
      <c r="BH360" s="7"/>
      <c r="BI360" s="7"/>
      <c r="BJ360" s="7"/>
      <c r="BK360" s="7"/>
      <c r="BL360" s="7"/>
      <c r="BM360" s="7"/>
      <c r="BN360" s="7"/>
      <c r="BO360" s="7"/>
      <c r="BP360" s="7"/>
      <c r="BQ360" s="7"/>
      <c r="BR360" s="7"/>
      <c r="BS360" s="7"/>
      <c r="BT360" s="7"/>
      <c r="BU360" s="7"/>
      <c r="BV360" s="7"/>
      <c r="BW360" s="7"/>
      <c r="BX360" s="7"/>
      <c r="BY360" s="7"/>
      <c r="BZ360" s="7"/>
    </row>
    <row r="361" ht="16.5" customHeight="1">
      <c r="AT361" s="7"/>
      <c r="AU361" s="7"/>
      <c r="AV361" s="7"/>
      <c r="AW361" s="7"/>
      <c r="AX361" s="7"/>
      <c r="AY361" s="7"/>
      <c r="AZ361" s="7"/>
      <c r="BA361" s="7"/>
      <c r="BB361" s="7"/>
      <c r="BC361" s="7"/>
      <c r="BD361" s="7"/>
      <c r="BE361" s="7"/>
      <c r="BF361" s="7"/>
      <c r="BG361" s="7"/>
      <c r="BH361" s="7"/>
      <c r="BI361" s="7"/>
      <c r="BJ361" s="7"/>
      <c r="BK361" s="7"/>
      <c r="BL361" s="7"/>
      <c r="BM361" s="7"/>
      <c r="BN361" s="7"/>
      <c r="BO361" s="7"/>
      <c r="BP361" s="7"/>
      <c r="BQ361" s="7"/>
      <c r="BR361" s="7"/>
      <c r="BS361" s="7"/>
      <c r="BT361" s="7"/>
      <c r="BU361" s="7"/>
      <c r="BV361" s="7"/>
      <c r="BW361" s="7"/>
      <c r="BX361" s="7"/>
      <c r="BY361" s="7"/>
      <c r="BZ361" s="7"/>
    </row>
    <row r="362" ht="16.5" customHeight="1">
      <c r="AT362" s="7"/>
      <c r="AU362" s="7"/>
      <c r="AV362" s="7"/>
      <c r="AW362" s="7"/>
      <c r="AX362" s="7"/>
      <c r="AY362" s="7"/>
      <c r="AZ362" s="7"/>
      <c r="BA362" s="7"/>
      <c r="BB362" s="7"/>
      <c r="BC362" s="7"/>
      <c r="BD362" s="7"/>
      <c r="BE362" s="7"/>
      <c r="BF362" s="7"/>
      <c r="BG362" s="7"/>
      <c r="BH362" s="7"/>
      <c r="BI362" s="7"/>
      <c r="BJ362" s="7"/>
      <c r="BK362" s="7"/>
      <c r="BL362" s="7"/>
      <c r="BM362" s="7"/>
      <c r="BN362" s="7"/>
      <c r="BO362" s="7"/>
      <c r="BP362" s="7"/>
      <c r="BQ362" s="7"/>
      <c r="BR362" s="7"/>
      <c r="BS362" s="7"/>
      <c r="BT362" s="7"/>
      <c r="BU362" s="7"/>
      <c r="BV362" s="7"/>
      <c r="BW362" s="7"/>
      <c r="BX362" s="7"/>
      <c r="BY362" s="7"/>
      <c r="BZ362" s="7"/>
    </row>
    <row r="363" ht="16.5" customHeight="1">
      <c r="AT363" s="7"/>
      <c r="AU363" s="7"/>
      <c r="AV363" s="7"/>
      <c r="AW363" s="7"/>
      <c r="AX363" s="7"/>
      <c r="AY363" s="7"/>
      <c r="AZ363" s="7"/>
      <c r="BA363" s="7"/>
      <c r="BB363" s="7"/>
      <c r="BC363" s="7"/>
      <c r="BD363" s="7"/>
      <c r="BE363" s="7"/>
      <c r="BF363" s="7"/>
      <c r="BG363" s="7"/>
      <c r="BH363" s="7"/>
      <c r="BI363" s="7"/>
      <c r="BJ363" s="7"/>
      <c r="BK363" s="7"/>
      <c r="BL363" s="7"/>
      <c r="BM363" s="7"/>
      <c r="BN363" s="7"/>
      <c r="BO363" s="7"/>
      <c r="BP363" s="7"/>
      <c r="BQ363" s="7"/>
      <c r="BR363" s="7"/>
      <c r="BS363" s="7"/>
      <c r="BT363" s="7"/>
      <c r="BU363" s="7"/>
      <c r="BV363" s="7"/>
      <c r="BW363" s="7"/>
      <c r="BX363" s="7"/>
      <c r="BY363" s="7"/>
      <c r="BZ363" s="7"/>
    </row>
    <row r="364" ht="16.5" customHeight="1">
      <c r="AT364" s="7"/>
      <c r="AU364" s="7"/>
      <c r="AV364" s="7"/>
      <c r="AW364" s="7"/>
      <c r="AX364" s="7"/>
      <c r="AY364" s="7"/>
      <c r="AZ364" s="7"/>
      <c r="BA364" s="7"/>
      <c r="BB364" s="7"/>
      <c r="BC364" s="7"/>
      <c r="BD364" s="7"/>
      <c r="BE364" s="7"/>
      <c r="BF364" s="7"/>
      <c r="BG364" s="7"/>
      <c r="BH364" s="7"/>
      <c r="BI364" s="7"/>
      <c r="BJ364" s="7"/>
      <c r="BK364" s="7"/>
      <c r="BL364" s="7"/>
      <c r="BM364" s="7"/>
      <c r="BN364" s="7"/>
      <c r="BO364" s="7"/>
      <c r="BP364" s="7"/>
      <c r="BQ364" s="7"/>
      <c r="BR364" s="7"/>
      <c r="BS364" s="7"/>
      <c r="BT364" s="7"/>
      <c r="BU364" s="7"/>
      <c r="BV364" s="7"/>
      <c r="BW364" s="7"/>
      <c r="BX364" s="7"/>
      <c r="BY364" s="7"/>
      <c r="BZ364" s="7"/>
    </row>
    <row r="365" ht="16.5" customHeight="1">
      <c r="AT365" s="7"/>
      <c r="AU365" s="7"/>
      <c r="AV365" s="7"/>
      <c r="AW365" s="7"/>
      <c r="AX365" s="7"/>
      <c r="AY365" s="7"/>
      <c r="AZ365" s="7"/>
      <c r="BA365" s="7"/>
      <c r="BB365" s="7"/>
      <c r="BC365" s="7"/>
      <c r="BD365" s="7"/>
      <c r="BE365" s="7"/>
      <c r="BF365" s="7"/>
      <c r="BG365" s="7"/>
      <c r="BH365" s="7"/>
      <c r="BI365" s="7"/>
      <c r="BJ365" s="7"/>
      <c r="BK365" s="7"/>
      <c r="BL365" s="7"/>
      <c r="BM365" s="7"/>
      <c r="BN365" s="7"/>
      <c r="BO365" s="7"/>
      <c r="BP365" s="7"/>
      <c r="BQ365" s="7"/>
      <c r="BR365" s="7"/>
      <c r="BS365" s="7"/>
      <c r="BT365" s="7"/>
      <c r="BU365" s="7"/>
      <c r="BV365" s="7"/>
      <c r="BW365" s="7"/>
      <c r="BX365" s="7"/>
      <c r="BY365" s="7"/>
      <c r="BZ365" s="7"/>
    </row>
    <row r="366" ht="16.5" customHeight="1">
      <c r="AT366" s="7"/>
      <c r="AU366" s="7"/>
      <c r="AV366" s="7"/>
      <c r="AW366" s="7"/>
      <c r="AX366" s="7"/>
      <c r="AY366" s="7"/>
      <c r="AZ366" s="7"/>
      <c r="BA366" s="7"/>
      <c r="BB366" s="7"/>
      <c r="BC366" s="7"/>
      <c r="BD366" s="7"/>
      <c r="BE366" s="7"/>
      <c r="BF366" s="7"/>
      <c r="BG366" s="7"/>
      <c r="BH366" s="7"/>
      <c r="BI366" s="7"/>
      <c r="BJ366" s="7"/>
      <c r="BK366" s="7"/>
      <c r="BL366" s="7"/>
      <c r="BM366" s="7"/>
      <c r="BN366" s="7"/>
      <c r="BO366" s="7"/>
      <c r="BP366" s="7"/>
      <c r="BQ366" s="7"/>
      <c r="BR366" s="7"/>
      <c r="BS366" s="7"/>
      <c r="BT366" s="7"/>
      <c r="BU366" s="7"/>
      <c r="BV366" s="7"/>
      <c r="BW366" s="7"/>
      <c r="BX366" s="7"/>
      <c r="BY366" s="7"/>
      <c r="BZ366" s="7"/>
    </row>
    <row r="367" ht="16.5" customHeight="1">
      <c r="AT367" s="7"/>
      <c r="AU367" s="7"/>
      <c r="AV367" s="7"/>
      <c r="AW367" s="7"/>
      <c r="AX367" s="7"/>
      <c r="AY367" s="7"/>
      <c r="AZ367" s="7"/>
      <c r="BA367" s="7"/>
      <c r="BB367" s="7"/>
      <c r="BC367" s="7"/>
      <c r="BD367" s="7"/>
      <c r="BE367" s="7"/>
      <c r="BF367" s="7"/>
      <c r="BG367" s="7"/>
      <c r="BH367" s="7"/>
      <c r="BI367" s="7"/>
      <c r="BJ367" s="7"/>
      <c r="BK367" s="7"/>
      <c r="BL367" s="7"/>
      <c r="BM367" s="7"/>
      <c r="BN367" s="7"/>
      <c r="BO367" s="7"/>
      <c r="BP367" s="7"/>
      <c r="BQ367" s="7"/>
      <c r="BR367" s="7"/>
      <c r="BS367" s="7"/>
      <c r="BT367" s="7"/>
      <c r="BU367" s="7"/>
      <c r="BV367" s="7"/>
      <c r="BW367" s="7"/>
      <c r="BX367" s="7"/>
      <c r="BY367" s="7"/>
      <c r="BZ367" s="7"/>
    </row>
    <row r="368" ht="16.5" customHeight="1">
      <c r="AT368" s="7"/>
      <c r="AU368" s="7"/>
      <c r="AV368" s="7"/>
      <c r="AW368" s="7"/>
      <c r="AX368" s="7"/>
      <c r="AY368" s="7"/>
      <c r="AZ368" s="7"/>
      <c r="BA368" s="7"/>
      <c r="BB368" s="7"/>
      <c r="BC368" s="7"/>
      <c r="BD368" s="7"/>
      <c r="BE368" s="7"/>
      <c r="BF368" s="7"/>
      <c r="BG368" s="7"/>
      <c r="BH368" s="7"/>
      <c r="BI368" s="7"/>
      <c r="BJ368" s="7"/>
      <c r="BK368" s="7"/>
      <c r="BL368" s="7"/>
      <c r="BM368" s="7"/>
      <c r="BN368" s="7"/>
      <c r="BO368" s="7"/>
      <c r="BP368" s="7"/>
      <c r="BQ368" s="7"/>
      <c r="BR368" s="7"/>
      <c r="BS368" s="7"/>
      <c r="BT368" s="7"/>
      <c r="BU368" s="7"/>
      <c r="BV368" s="7"/>
      <c r="BW368" s="7"/>
      <c r="BX368" s="7"/>
      <c r="BY368" s="7"/>
      <c r="BZ368" s="7"/>
    </row>
    <row r="369" ht="16.5" customHeight="1">
      <c r="AT369" s="7"/>
      <c r="AU369" s="7"/>
      <c r="AV369" s="7"/>
      <c r="AW369" s="7"/>
      <c r="AX369" s="7"/>
      <c r="AY369" s="7"/>
      <c r="AZ369" s="7"/>
      <c r="BA369" s="7"/>
      <c r="BB369" s="7"/>
      <c r="BC369" s="7"/>
      <c r="BD369" s="7"/>
      <c r="BE369" s="7"/>
      <c r="BF369" s="7"/>
      <c r="BG369" s="7"/>
      <c r="BH369" s="7"/>
      <c r="BI369" s="7"/>
      <c r="BJ369" s="7"/>
      <c r="BK369" s="7"/>
      <c r="BL369" s="7"/>
      <c r="BM369" s="7"/>
      <c r="BN369" s="7"/>
      <c r="BO369" s="7"/>
      <c r="BP369" s="7"/>
      <c r="BQ369" s="7"/>
      <c r="BR369" s="7"/>
      <c r="BS369" s="7"/>
      <c r="BT369" s="7"/>
      <c r="BU369" s="7"/>
      <c r="BV369" s="7"/>
      <c r="BW369" s="7"/>
      <c r="BX369" s="7"/>
      <c r="BY369" s="7"/>
      <c r="BZ369" s="7"/>
    </row>
    <row r="370" ht="16.5" customHeight="1">
      <c r="AT370" s="7"/>
      <c r="AU370" s="7"/>
      <c r="AV370" s="7"/>
      <c r="AW370" s="7"/>
      <c r="AX370" s="7"/>
      <c r="AY370" s="7"/>
      <c r="AZ370" s="7"/>
      <c r="BA370" s="7"/>
      <c r="BB370" s="7"/>
      <c r="BC370" s="7"/>
      <c r="BD370" s="7"/>
      <c r="BE370" s="7"/>
      <c r="BF370" s="7"/>
      <c r="BG370" s="7"/>
      <c r="BH370" s="7"/>
      <c r="BI370" s="7"/>
      <c r="BJ370" s="7"/>
      <c r="BK370" s="7"/>
      <c r="BL370" s="7"/>
      <c r="BM370" s="7"/>
      <c r="BN370" s="7"/>
      <c r="BO370" s="7"/>
      <c r="BP370" s="7"/>
      <c r="BQ370" s="7"/>
      <c r="BR370" s="7"/>
      <c r="BS370" s="7"/>
      <c r="BT370" s="7"/>
      <c r="BU370" s="7"/>
      <c r="BV370" s="7"/>
      <c r="BW370" s="7"/>
      <c r="BX370" s="7"/>
      <c r="BY370" s="7"/>
      <c r="BZ370" s="7"/>
    </row>
    <row r="371" ht="16.5" customHeight="1">
      <c r="AT371" s="7"/>
      <c r="AU371" s="7"/>
      <c r="AV371" s="7"/>
      <c r="AW371" s="7"/>
      <c r="AX371" s="7"/>
      <c r="AY371" s="7"/>
      <c r="AZ371" s="7"/>
      <c r="BA371" s="7"/>
      <c r="BB371" s="7"/>
      <c r="BC371" s="7"/>
      <c r="BD371" s="7"/>
      <c r="BE371" s="7"/>
      <c r="BF371" s="7"/>
      <c r="BG371" s="7"/>
      <c r="BH371" s="7"/>
      <c r="BI371" s="7"/>
      <c r="BJ371" s="7"/>
      <c r="BK371" s="7"/>
      <c r="BL371" s="7"/>
      <c r="BM371" s="7"/>
      <c r="BN371" s="7"/>
      <c r="BO371" s="7"/>
      <c r="BP371" s="7"/>
      <c r="BQ371" s="7"/>
      <c r="BR371" s="7"/>
      <c r="BS371" s="7"/>
      <c r="BT371" s="7"/>
      <c r="BU371" s="7"/>
      <c r="BV371" s="7"/>
      <c r="BW371" s="7"/>
      <c r="BX371" s="7"/>
      <c r="BY371" s="7"/>
      <c r="BZ371" s="7"/>
    </row>
    <row r="372" ht="16.5" customHeight="1">
      <c r="AT372" s="7"/>
      <c r="AU372" s="7"/>
      <c r="AV372" s="7"/>
      <c r="AW372" s="7"/>
      <c r="AX372" s="7"/>
      <c r="AY372" s="7"/>
      <c r="AZ372" s="7"/>
      <c r="BA372" s="7"/>
      <c r="BB372" s="7"/>
      <c r="BC372" s="7"/>
      <c r="BD372" s="7"/>
      <c r="BE372" s="7"/>
      <c r="BF372" s="7"/>
      <c r="BG372" s="7"/>
      <c r="BH372" s="7"/>
      <c r="BI372" s="7"/>
      <c r="BJ372" s="7"/>
      <c r="BK372" s="7"/>
      <c r="BL372" s="7"/>
      <c r="BM372" s="7"/>
      <c r="BN372" s="7"/>
      <c r="BO372" s="7"/>
      <c r="BP372" s="7"/>
      <c r="BQ372" s="7"/>
      <c r="BR372" s="7"/>
      <c r="BS372" s="7"/>
      <c r="BT372" s="7"/>
      <c r="BU372" s="7"/>
      <c r="BV372" s="7"/>
      <c r="BW372" s="7"/>
      <c r="BX372" s="7"/>
      <c r="BY372" s="7"/>
      <c r="BZ372" s="7"/>
    </row>
    <row r="373" ht="16.5" customHeight="1">
      <c r="AT373" s="7"/>
      <c r="AU373" s="7"/>
      <c r="AV373" s="7"/>
      <c r="AW373" s="7"/>
      <c r="AX373" s="7"/>
      <c r="AY373" s="7"/>
      <c r="AZ373" s="7"/>
      <c r="BA373" s="7"/>
      <c r="BB373" s="7"/>
      <c r="BC373" s="7"/>
      <c r="BD373" s="7"/>
      <c r="BE373" s="7"/>
      <c r="BF373" s="7"/>
      <c r="BG373" s="7"/>
      <c r="BH373" s="7"/>
      <c r="BI373" s="7"/>
      <c r="BJ373" s="7"/>
      <c r="BK373" s="7"/>
      <c r="BL373" s="7"/>
      <c r="BM373" s="7"/>
      <c r="BN373" s="7"/>
      <c r="BO373" s="7"/>
      <c r="BP373" s="7"/>
      <c r="BQ373" s="7"/>
      <c r="BR373" s="7"/>
      <c r="BS373" s="7"/>
      <c r="BT373" s="7"/>
      <c r="BU373" s="7"/>
      <c r="BV373" s="7"/>
      <c r="BW373" s="7"/>
      <c r="BX373" s="7"/>
      <c r="BY373" s="7"/>
      <c r="BZ373" s="7"/>
    </row>
    <row r="374" ht="16.5" customHeight="1">
      <c r="AT374" s="7"/>
      <c r="AU374" s="7"/>
      <c r="AV374" s="7"/>
      <c r="AW374" s="7"/>
      <c r="AX374" s="7"/>
      <c r="AY374" s="7"/>
      <c r="AZ374" s="7"/>
      <c r="BA374" s="7"/>
      <c r="BB374" s="7"/>
      <c r="BC374" s="7"/>
      <c r="BD374" s="7"/>
      <c r="BE374" s="7"/>
      <c r="BF374" s="7"/>
      <c r="BG374" s="7"/>
      <c r="BH374" s="7"/>
      <c r="BI374" s="7"/>
      <c r="BJ374" s="7"/>
      <c r="BK374" s="7"/>
      <c r="BL374" s="7"/>
      <c r="BM374" s="7"/>
      <c r="BN374" s="7"/>
      <c r="BO374" s="7"/>
      <c r="BP374" s="7"/>
      <c r="BQ374" s="7"/>
      <c r="BR374" s="7"/>
      <c r="BS374" s="7"/>
      <c r="BT374" s="7"/>
      <c r="BU374" s="7"/>
      <c r="BV374" s="7"/>
      <c r="BW374" s="7"/>
      <c r="BX374" s="7"/>
      <c r="BY374" s="7"/>
      <c r="BZ374" s="7"/>
    </row>
    <row r="375" ht="16.5" customHeight="1">
      <c r="AT375" s="7"/>
      <c r="AU375" s="7"/>
      <c r="AV375" s="7"/>
      <c r="AW375" s="7"/>
      <c r="AX375" s="7"/>
      <c r="AY375" s="7"/>
      <c r="AZ375" s="7"/>
      <c r="BA375" s="7"/>
      <c r="BB375" s="7"/>
      <c r="BC375" s="7"/>
      <c r="BD375" s="7"/>
      <c r="BE375" s="7"/>
      <c r="BF375" s="7"/>
      <c r="BG375" s="7"/>
      <c r="BH375" s="7"/>
      <c r="BI375" s="7"/>
      <c r="BJ375" s="7"/>
      <c r="BK375" s="7"/>
      <c r="BL375" s="7"/>
      <c r="BM375" s="7"/>
      <c r="BN375" s="7"/>
      <c r="BO375" s="7"/>
      <c r="BP375" s="7"/>
      <c r="BQ375" s="7"/>
      <c r="BR375" s="7"/>
      <c r="BS375" s="7"/>
      <c r="BT375" s="7"/>
      <c r="BU375" s="7"/>
      <c r="BV375" s="7"/>
      <c r="BW375" s="7"/>
      <c r="BX375" s="7"/>
      <c r="BY375" s="7"/>
      <c r="BZ375" s="7"/>
    </row>
    <row r="376" ht="16.5" customHeight="1">
      <c r="AT376" s="7"/>
      <c r="AU376" s="7"/>
      <c r="AV376" s="7"/>
      <c r="AW376" s="7"/>
      <c r="AX376" s="7"/>
      <c r="AY376" s="7"/>
      <c r="AZ376" s="7"/>
      <c r="BA376" s="7"/>
      <c r="BB376" s="7"/>
      <c r="BC376" s="7"/>
      <c r="BD376" s="7"/>
      <c r="BE376" s="7"/>
      <c r="BF376" s="7"/>
      <c r="BG376" s="7"/>
      <c r="BH376" s="7"/>
      <c r="BI376" s="7"/>
      <c r="BJ376" s="7"/>
      <c r="BK376" s="7"/>
      <c r="BL376" s="7"/>
      <c r="BM376" s="7"/>
      <c r="BN376" s="7"/>
      <c r="BO376" s="7"/>
      <c r="BP376" s="7"/>
      <c r="BQ376" s="7"/>
      <c r="BR376" s="7"/>
      <c r="BS376" s="7"/>
      <c r="BT376" s="7"/>
      <c r="BU376" s="7"/>
      <c r="BV376" s="7"/>
      <c r="BW376" s="7"/>
      <c r="BX376" s="7"/>
      <c r="BY376" s="7"/>
      <c r="BZ376" s="7"/>
    </row>
    <row r="377" ht="16.5" customHeight="1">
      <c r="AT377" s="7"/>
      <c r="AU377" s="7"/>
      <c r="AV377" s="7"/>
      <c r="AW377" s="7"/>
      <c r="AX377" s="7"/>
      <c r="AY377" s="7"/>
      <c r="AZ377" s="7"/>
      <c r="BA377" s="7"/>
      <c r="BB377" s="7"/>
      <c r="BC377" s="7"/>
      <c r="BD377" s="7"/>
      <c r="BE377" s="7"/>
      <c r="BF377" s="7"/>
      <c r="BG377" s="7"/>
      <c r="BH377" s="7"/>
      <c r="BI377" s="7"/>
      <c r="BJ377" s="7"/>
      <c r="BK377" s="7"/>
      <c r="BL377" s="7"/>
      <c r="BM377" s="7"/>
      <c r="BN377" s="7"/>
      <c r="BO377" s="7"/>
      <c r="BP377" s="7"/>
      <c r="BQ377" s="7"/>
      <c r="BR377" s="7"/>
      <c r="BS377" s="7"/>
      <c r="BT377" s="7"/>
      <c r="BU377" s="7"/>
      <c r="BV377" s="7"/>
      <c r="BW377" s="7"/>
      <c r="BX377" s="7"/>
      <c r="BY377" s="7"/>
      <c r="BZ377" s="7"/>
    </row>
    <row r="378" ht="16.5" customHeight="1">
      <c r="AT378" s="7"/>
      <c r="AU378" s="7"/>
      <c r="AV378" s="7"/>
      <c r="AW378" s="7"/>
      <c r="AX378" s="7"/>
      <c r="AY378" s="7"/>
      <c r="AZ378" s="7"/>
      <c r="BA378" s="7"/>
      <c r="BB378" s="7"/>
      <c r="BC378" s="7"/>
      <c r="BD378" s="7"/>
      <c r="BE378" s="7"/>
      <c r="BF378" s="7"/>
      <c r="BG378" s="7"/>
      <c r="BH378" s="7"/>
      <c r="BI378" s="7"/>
      <c r="BJ378" s="7"/>
      <c r="BK378" s="7"/>
      <c r="BL378" s="7"/>
      <c r="BM378" s="7"/>
      <c r="BN378" s="7"/>
      <c r="BO378" s="7"/>
      <c r="BP378" s="7"/>
      <c r="BQ378" s="7"/>
      <c r="BR378" s="7"/>
      <c r="BS378" s="7"/>
      <c r="BT378" s="7"/>
      <c r="BU378" s="7"/>
      <c r="BV378" s="7"/>
      <c r="BW378" s="7"/>
      <c r="BX378" s="7"/>
      <c r="BY378" s="7"/>
      <c r="BZ378" s="7"/>
    </row>
    <row r="379" ht="16.5" customHeight="1">
      <c r="AT379" s="7"/>
      <c r="AU379" s="7"/>
      <c r="AV379" s="7"/>
      <c r="AW379" s="7"/>
      <c r="AX379" s="7"/>
      <c r="AY379" s="7"/>
      <c r="AZ379" s="7"/>
      <c r="BA379" s="7"/>
      <c r="BB379" s="7"/>
      <c r="BC379" s="7"/>
      <c r="BD379" s="7"/>
      <c r="BE379" s="7"/>
      <c r="BF379" s="7"/>
      <c r="BG379" s="7"/>
      <c r="BH379" s="7"/>
      <c r="BI379" s="7"/>
      <c r="BJ379" s="7"/>
      <c r="BK379" s="7"/>
      <c r="BL379" s="7"/>
      <c r="BM379" s="7"/>
      <c r="BN379" s="7"/>
      <c r="BO379" s="7"/>
      <c r="BP379" s="7"/>
      <c r="BQ379" s="7"/>
      <c r="BR379" s="7"/>
      <c r="BS379" s="7"/>
      <c r="BT379" s="7"/>
      <c r="BU379" s="7"/>
      <c r="BV379" s="7"/>
      <c r="BW379" s="7"/>
      <c r="BX379" s="7"/>
      <c r="BY379" s="7"/>
      <c r="BZ379" s="7"/>
    </row>
    <row r="380" ht="16.5" customHeight="1">
      <c r="AT380" s="7"/>
      <c r="AU380" s="7"/>
      <c r="AV380" s="7"/>
      <c r="AW380" s="7"/>
      <c r="AX380" s="7"/>
      <c r="AY380" s="7"/>
      <c r="AZ380" s="7"/>
      <c r="BA380" s="7"/>
      <c r="BB380" s="7"/>
      <c r="BC380" s="7"/>
      <c r="BD380" s="7"/>
      <c r="BE380" s="7"/>
      <c r="BF380" s="7"/>
      <c r="BG380" s="7"/>
      <c r="BH380" s="7"/>
      <c r="BI380" s="7"/>
      <c r="BJ380" s="7"/>
      <c r="BK380" s="7"/>
      <c r="BL380" s="7"/>
      <c r="BM380" s="7"/>
      <c r="BN380" s="7"/>
      <c r="BO380" s="7"/>
      <c r="BP380" s="7"/>
      <c r="BQ380" s="7"/>
      <c r="BR380" s="7"/>
      <c r="BS380" s="7"/>
      <c r="BT380" s="7"/>
      <c r="BU380" s="7"/>
      <c r="BV380" s="7"/>
      <c r="BW380" s="7"/>
      <c r="BX380" s="7"/>
      <c r="BY380" s="7"/>
      <c r="BZ380" s="7"/>
    </row>
    <row r="381" ht="16.5" customHeight="1">
      <c r="AT381" s="7"/>
      <c r="AU381" s="7"/>
      <c r="AV381" s="7"/>
      <c r="AW381" s="7"/>
      <c r="AX381" s="7"/>
      <c r="AY381" s="7"/>
      <c r="AZ381" s="7"/>
      <c r="BA381" s="7"/>
      <c r="BB381" s="7"/>
      <c r="BC381" s="7"/>
      <c r="BD381" s="7"/>
      <c r="BE381" s="7"/>
      <c r="BF381" s="7"/>
      <c r="BG381" s="7"/>
      <c r="BH381" s="7"/>
      <c r="BI381" s="7"/>
      <c r="BJ381" s="7"/>
      <c r="BK381" s="7"/>
      <c r="BL381" s="7"/>
      <c r="BM381" s="7"/>
      <c r="BN381" s="7"/>
      <c r="BO381" s="7"/>
      <c r="BP381" s="7"/>
      <c r="BQ381" s="7"/>
      <c r="BR381" s="7"/>
      <c r="BS381" s="7"/>
      <c r="BT381" s="7"/>
      <c r="BU381" s="7"/>
      <c r="BV381" s="7"/>
      <c r="BW381" s="7"/>
      <c r="BX381" s="7"/>
      <c r="BY381" s="7"/>
      <c r="BZ381" s="7"/>
    </row>
    <row r="382" ht="16.5" customHeight="1">
      <c r="AT382" s="7"/>
      <c r="AU382" s="7"/>
      <c r="AV382" s="7"/>
      <c r="AW382" s="7"/>
      <c r="AX382" s="7"/>
      <c r="AY382" s="7"/>
      <c r="AZ382" s="7"/>
      <c r="BA382" s="7"/>
      <c r="BB382" s="7"/>
      <c r="BC382" s="7"/>
      <c r="BD382" s="7"/>
      <c r="BE382" s="7"/>
      <c r="BF382" s="7"/>
      <c r="BG382" s="7"/>
      <c r="BH382" s="7"/>
      <c r="BI382" s="7"/>
      <c r="BJ382" s="7"/>
      <c r="BK382" s="7"/>
      <c r="BL382" s="7"/>
      <c r="BM382" s="7"/>
      <c r="BN382" s="7"/>
      <c r="BO382" s="7"/>
      <c r="BP382" s="7"/>
      <c r="BQ382" s="7"/>
      <c r="BR382" s="7"/>
      <c r="BS382" s="7"/>
      <c r="BT382" s="7"/>
      <c r="BU382" s="7"/>
      <c r="BV382" s="7"/>
      <c r="BW382" s="7"/>
      <c r="BX382" s="7"/>
      <c r="BY382" s="7"/>
      <c r="BZ382" s="7"/>
    </row>
    <row r="383" ht="16.5" customHeight="1">
      <c r="AT383" s="7"/>
      <c r="AU383" s="7"/>
      <c r="AV383" s="7"/>
      <c r="AW383" s="7"/>
      <c r="AX383" s="7"/>
      <c r="AY383" s="7"/>
      <c r="AZ383" s="7"/>
      <c r="BA383" s="7"/>
      <c r="BB383" s="7"/>
      <c r="BC383" s="7"/>
      <c r="BD383" s="7"/>
      <c r="BE383" s="7"/>
      <c r="BF383" s="7"/>
      <c r="BG383" s="7"/>
      <c r="BH383" s="7"/>
      <c r="BI383" s="7"/>
      <c r="BJ383" s="7"/>
      <c r="BK383" s="7"/>
      <c r="BL383" s="7"/>
      <c r="BM383" s="7"/>
      <c r="BN383" s="7"/>
      <c r="BO383" s="7"/>
      <c r="BP383" s="7"/>
      <c r="BQ383" s="7"/>
      <c r="BR383" s="7"/>
      <c r="BS383" s="7"/>
      <c r="BT383" s="7"/>
      <c r="BU383" s="7"/>
      <c r="BV383" s="7"/>
      <c r="BW383" s="7"/>
      <c r="BX383" s="7"/>
      <c r="BY383" s="7"/>
      <c r="BZ383" s="7"/>
    </row>
    <row r="384" ht="16.5" customHeight="1">
      <c r="AT384" s="7"/>
      <c r="AU384" s="7"/>
      <c r="AV384" s="7"/>
      <c r="AW384" s="7"/>
      <c r="AX384" s="7"/>
      <c r="AY384" s="7"/>
      <c r="AZ384" s="7"/>
      <c r="BA384" s="7"/>
      <c r="BB384" s="7"/>
      <c r="BC384" s="7"/>
      <c r="BD384" s="7"/>
      <c r="BE384" s="7"/>
      <c r="BF384" s="7"/>
      <c r="BG384" s="7"/>
      <c r="BH384" s="7"/>
      <c r="BI384" s="7"/>
      <c r="BJ384" s="7"/>
      <c r="BK384" s="7"/>
      <c r="BL384" s="7"/>
      <c r="BM384" s="7"/>
      <c r="BN384" s="7"/>
      <c r="BO384" s="7"/>
      <c r="BP384" s="7"/>
      <c r="BQ384" s="7"/>
      <c r="BR384" s="7"/>
      <c r="BS384" s="7"/>
      <c r="BT384" s="7"/>
      <c r="BU384" s="7"/>
      <c r="BV384" s="7"/>
      <c r="BW384" s="7"/>
      <c r="BX384" s="7"/>
      <c r="BY384" s="7"/>
      <c r="BZ384" s="7"/>
    </row>
    <row r="385" ht="16.5" customHeight="1">
      <c r="AT385" s="7"/>
      <c r="AU385" s="7"/>
      <c r="AV385" s="7"/>
      <c r="AW385" s="7"/>
      <c r="AX385" s="7"/>
      <c r="AY385" s="7"/>
      <c r="AZ385" s="7"/>
      <c r="BA385" s="7"/>
      <c r="BB385" s="7"/>
      <c r="BC385" s="7"/>
      <c r="BD385" s="7"/>
      <c r="BE385" s="7"/>
      <c r="BF385" s="7"/>
      <c r="BG385" s="7"/>
      <c r="BH385" s="7"/>
      <c r="BI385" s="7"/>
      <c r="BJ385" s="7"/>
      <c r="BK385" s="7"/>
      <c r="BL385" s="7"/>
      <c r="BM385" s="7"/>
      <c r="BN385" s="7"/>
      <c r="BO385" s="7"/>
      <c r="BP385" s="7"/>
      <c r="BQ385" s="7"/>
      <c r="BR385" s="7"/>
      <c r="BS385" s="7"/>
      <c r="BT385" s="7"/>
      <c r="BU385" s="7"/>
      <c r="BV385" s="7"/>
      <c r="BW385" s="7"/>
      <c r="BX385" s="7"/>
      <c r="BY385" s="7"/>
      <c r="BZ385" s="7"/>
    </row>
    <row r="386" ht="16.5" customHeight="1">
      <c r="AT386" s="7"/>
      <c r="AU386" s="7"/>
      <c r="AV386" s="7"/>
      <c r="AW386" s="7"/>
      <c r="AX386" s="7"/>
      <c r="AY386" s="7"/>
      <c r="AZ386" s="7"/>
      <c r="BA386" s="7"/>
      <c r="BB386" s="7"/>
      <c r="BC386" s="7"/>
      <c r="BD386" s="7"/>
      <c r="BE386" s="7"/>
      <c r="BF386" s="7"/>
      <c r="BG386" s="7"/>
      <c r="BH386" s="7"/>
      <c r="BI386" s="7"/>
      <c r="BJ386" s="7"/>
      <c r="BK386" s="7"/>
      <c r="BL386" s="7"/>
      <c r="BM386" s="7"/>
      <c r="BN386" s="7"/>
      <c r="BO386" s="7"/>
      <c r="BP386" s="7"/>
      <c r="BQ386" s="7"/>
      <c r="BR386" s="7"/>
      <c r="BS386" s="7"/>
      <c r="BT386" s="7"/>
      <c r="BU386" s="7"/>
      <c r="BV386" s="7"/>
      <c r="BW386" s="7"/>
      <c r="BX386" s="7"/>
      <c r="BY386" s="7"/>
      <c r="BZ386" s="7"/>
    </row>
    <row r="387" ht="16.5" customHeight="1">
      <c r="AT387" s="7"/>
      <c r="AU387" s="7"/>
      <c r="AV387" s="7"/>
      <c r="AW387" s="7"/>
      <c r="AX387" s="7"/>
      <c r="AY387" s="7"/>
      <c r="AZ387" s="7"/>
      <c r="BA387" s="7"/>
      <c r="BB387" s="7"/>
      <c r="BC387" s="7"/>
      <c r="BD387" s="7"/>
      <c r="BE387" s="7"/>
      <c r="BF387" s="7"/>
      <c r="BG387" s="7"/>
      <c r="BH387" s="7"/>
      <c r="BI387" s="7"/>
      <c r="BJ387" s="7"/>
      <c r="BK387" s="7"/>
      <c r="BL387" s="7"/>
      <c r="BM387" s="7"/>
      <c r="BN387" s="7"/>
      <c r="BO387" s="7"/>
      <c r="BP387" s="7"/>
      <c r="BQ387" s="7"/>
      <c r="BR387" s="7"/>
      <c r="BS387" s="7"/>
      <c r="BT387" s="7"/>
      <c r="BU387" s="7"/>
      <c r="BV387" s="7"/>
      <c r="BW387" s="7"/>
      <c r="BX387" s="7"/>
      <c r="BY387" s="7"/>
      <c r="BZ387" s="7"/>
    </row>
    <row r="388" ht="16.5" customHeight="1">
      <c r="AT388" s="7"/>
      <c r="AU388" s="7"/>
      <c r="AV388" s="7"/>
      <c r="AW388" s="7"/>
      <c r="AX388" s="7"/>
      <c r="AY388" s="7"/>
      <c r="AZ388" s="7"/>
      <c r="BA388" s="7"/>
      <c r="BB388" s="7"/>
      <c r="BC388" s="7"/>
      <c r="BD388" s="7"/>
      <c r="BE388" s="7"/>
      <c r="BF388" s="7"/>
      <c r="BG388" s="7"/>
      <c r="BH388" s="7"/>
      <c r="BI388" s="7"/>
      <c r="BJ388" s="7"/>
      <c r="BK388" s="7"/>
      <c r="BL388" s="7"/>
      <c r="BM388" s="7"/>
      <c r="BN388" s="7"/>
      <c r="BO388" s="7"/>
      <c r="BP388" s="7"/>
      <c r="BQ388" s="7"/>
      <c r="BR388" s="7"/>
      <c r="BS388" s="7"/>
      <c r="BT388" s="7"/>
      <c r="BU388" s="7"/>
      <c r="BV388" s="7"/>
      <c r="BW388" s="7"/>
      <c r="BX388" s="7"/>
      <c r="BY388" s="7"/>
      <c r="BZ388" s="7"/>
    </row>
    <row r="389" ht="16.5" customHeight="1">
      <c r="AT389" s="7"/>
      <c r="AU389" s="7"/>
      <c r="AV389" s="7"/>
      <c r="AW389" s="7"/>
      <c r="AX389" s="7"/>
      <c r="AY389" s="7"/>
      <c r="AZ389" s="7"/>
      <c r="BA389" s="7"/>
      <c r="BB389" s="7"/>
      <c r="BC389" s="7"/>
      <c r="BD389" s="7"/>
      <c r="BE389" s="7"/>
      <c r="BF389" s="7"/>
      <c r="BG389" s="7"/>
      <c r="BH389" s="7"/>
      <c r="BI389" s="7"/>
      <c r="BJ389" s="7"/>
      <c r="BK389" s="7"/>
      <c r="BL389" s="7"/>
      <c r="BM389" s="7"/>
      <c r="BN389" s="7"/>
      <c r="BO389" s="7"/>
      <c r="BP389" s="7"/>
      <c r="BQ389" s="7"/>
      <c r="BR389" s="7"/>
      <c r="BS389" s="7"/>
      <c r="BT389" s="7"/>
      <c r="BU389" s="7"/>
      <c r="BV389" s="7"/>
      <c r="BW389" s="7"/>
      <c r="BX389" s="7"/>
      <c r="BY389" s="7"/>
      <c r="BZ389" s="7"/>
    </row>
    <row r="390" ht="16.5" customHeight="1">
      <c r="AT390" s="7"/>
      <c r="AU390" s="7"/>
      <c r="AV390" s="7"/>
      <c r="AW390" s="7"/>
      <c r="AX390" s="7"/>
      <c r="AY390" s="7"/>
      <c r="AZ390" s="7"/>
      <c r="BA390" s="7"/>
      <c r="BB390" s="7"/>
      <c r="BC390" s="7"/>
      <c r="BD390" s="7"/>
      <c r="BE390" s="7"/>
      <c r="BF390" s="7"/>
      <c r="BG390" s="7"/>
      <c r="BH390" s="7"/>
      <c r="BI390" s="7"/>
      <c r="BJ390" s="7"/>
      <c r="BK390" s="7"/>
      <c r="BL390" s="7"/>
      <c r="BM390" s="7"/>
      <c r="BN390" s="7"/>
      <c r="BO390" s="7"/>
      <c r="BP390" s="7"/>
      <c r="BQ390" s="7"/>
      <c r="BR390" s="7"/>
      <c r="BS390" s="7"/>
      <c r="BT390" s="7"/>
      <c r="BU390" s="7"/>
      <c r="BV390" s="7"/>
      <c r="BW390" s="7"/>
      <c r="BX390" s="7"/>
      <c r="BY390" s="7"/>
      <c r="BZ390" s="7"/>
    </row>
    <row r="391" ht="16.5" customHeight="1">
      <c r="AT391" s="7"/>
      <c r="AU391" s="7"/>
      <c r="AV391" s="7"/>
      <c r="AW391" s="7"/>
      <c r="AX391" s="7"/>
      <c r="AY391" s="7"/>
      <c r="AZ391" s="7"/>
      <c r="BA391" s="7"/>
      <c r="BB391" s="7"/>
      <c r="BC391" s="7"/>
      <c r="BD391" s="7"/>
      <c r="BE391" s="7"/>
      <c r="BF391" s="7"/>
      <c r="BG391" s="7"/>
      <c r="BH391" s="7"/>
      <c r="BI391" s="7"/>
      <c r="BJ391" s="7"/>
      <c r="BK391" s="7"/>
      <c r="BL391" s="7"/>
      <c r="BM391" s="7"/>
      <c r="BN391" s="7"/>
      <c r="BO391" s="7"/>
      <c r="BP391" s="7"/>
      <c r="BQ391" s="7"/>
      <c r="BR391" s="7"/>
      <c r="BS391" s="7"/>
      <c r="BT391" s="7"/>
      <c r="BU391" s="7"/>
      <c r="BV391" s="7"/>
      <c r="BW391" s="7"/>
      <c r="BX391" s="7"/>
      <c r="BY391" s="7"/>
      <c r="BZ391" s="7"/>
    </row>
    <row r="392" ht="16.5" customHeight="1">
      <c r="AT392" s="7"/>
      <c r="AU392" s="7"/>
      <c r="AV392" s="7"/>
      <c r="AW392" s="7"/>
      <c r="AX392" s="7"/>
      <c r="AY392" s="7"/>
      <c r="AZ392" s="7"/>
      <c r="BA392" s="7"/>
      <c r="BB392" s="7"/>
      <c r="BC392" s="7"/>
      <c r="BD392" s="7"/>
      <c r="BE392" s="7"/>
      <c r="BF392" s="7"/>
      <c r="BG392" s="7"/>
      <c r="BH392" s="7"/>
      <c r="BI392" s="7"/>
      <c r="BJ392" s="7"/>
      <c r="BK392" s="7"/>
      <c r="BL392" s="7"/>
      <c r="BM392" s="7"/>
      <c r="BN392" s="7"/>
      <c r="BO392" s="7"/>
      <c r="BP392" s="7"/>
      <c r="BQ392" s="7"/>
      <c r="BR392" s="7"/>
      <c r="BS392" s="7"/>
      <c r="BT392" s="7"/>
      <c r="BU392" s="7"/>
      <c r="BV392" s="7"/>
      <c r="BW392" s="7"/>
      <c r="BX392" s="7"/>
      <c r="BY392" s="7"/>
      <c r="BZ392" s="7"/>
    </row>
    <row r="393" ht="16.5" customHeight="1">
      <c r="AT393" s="7"/>
      <c r="AU393" s="7"/>
      <c r="AV393" s="7"/>
      <c r="AW393" s="7"/>
      <c r="AX393" s="7"/>
      <c r="AY393" s="7"/>
      <c r="AZ393" s="7"/>
      <c r="BA393" s="7"/>
      <c r="BB393" s="7"/>
      <c r="BC393" s="7"/>
      <c r="BD393" s="7"/>
      <c r="BE393" s="7"/>
      <c r="BF393" s="7"/>
      <c r="BG393" s="7"/>
      <c r="BH393" s="7"/>
      <c r="BI393" s="7"/>
      <c r="BJ393" s="7"/>
      <c r="BK393" s="7"/>
      <c r="BL393" s="7"/>
      <c r="BM393" s="7"/>
      <c r="BN393" s="7"/>
      <c r="BO393" s="7"/>
      <c r="BP393" s="7"/>
      <c r="BQ393" s="7"/>
      <c r="BR393" s="7"/>
      <c r="BS393" s="7"/>
      <c r="BT393" s="7"/>
      <c r="BU393" s="7"/>
      <c r="BV393" s="7"/>
      <c r="BW393" s="7"/>
      <c r="BX393" s="7"/>
      <c r="BY393" s="7"/>
      <c r="BZ393" s="7"/>
    </row>
    <row r="394" ht="16.5" customHeight="1">
      <c r="AT394" s="7"/>
      <c r="AU394" s="7"/>
      <c r="AV394" s="7"/>
      <c r="AW394" s="7"/>
      <c r="AX394" s="7"/>
      <c r="AY394" s="7"/>
      <c r="AZ394" s="7"/>
      <c r="BA394" s="7"/>
      <c r="BB394" s="7"/>
      <c r="BC394" s="7"/>
      <c r="BD394" s="7"/>
      <c r="BE394" s="7"/>
      <c r="BF394" s="7"/>
      <c r="BG394" s="7"/>
      <c r="BH394" s="7"/>
      <c r="BI394" s="7"/>
      <c r="BJ394" s="7"/>
      <c r="BK394" s="7"/>
      <c r="BL394" s="7"/>
      <c r="BM394" s="7"/>
      <c r="BN394" s="7"/>
      <c r="BO394" s="7"/>
      <c r="BP394" s="7"/>
      <c r="BQ394" s="7"/>
      <c r="BR394" s="7"/>
      <c r="BS394" s="7"/>
      <c r="BT394" s="7"/>
      <c r="BU394" s="7"/>
      <c r="BV394" s="7"/>
      <c r="BW394" s="7"/>
      <c r="BX394" s="7"/>
      <c r="BY394" s="7"/>
      <c r="BZ394" s="7"/>
    </row>
    <row r="395" ht="16.5" customHeight="1">
      <c r="AT395" s="7"/>
      <c r="AU395" s="7"/>
      <c r="AV395" s="7"/>
      <c r="AW395" s="7"/>
      <c r="AX395" s="7"/>
      <c r="AY395" s="7"/>
      <c r="AZ395" s="7"/>
      <c r="BA395" s="7"/>
      <c r="BB395" s="7"/>
      <c r="BC395" s="7"/>
      <c r="BD395" s="7"/>
      <c r="BE395" s="7"/>
      <c r="BF395" s="7"/>
      <c r="BG395" s="7"/>
      <c r="BH395" s="7"/>
      <c r="BI395" s="7"/>
      <c r="BJ395" s="7"/>
      <c r="BK395" s="7"/>
      <c r="BL395" s="7"/>
      <c r="BM395" s="7"/>
      <c r="BN395" s="7"/>
      <c r="BO395" s="7"/>
      <c r="BP395" s="7"/>
      <c r="BQ395" s="7"/>
      <c r="BR395" s="7"/>
      <c r="BS395" s="7"/>
      <c r="BT395" s="7"/>
      <c r="BU395" s="7"/>
      <c r="BV395" s="7"/>
      <c r="BW395" s="7"/>
      <c r="BX395" s="7"/>
      <c r="BY395" s="7"/>
      <c r="BZ395" s="7"/>
    </row>
    <row r="396" ht="16.5" customHeight="1">
      <c r="AT396" s="7"/>
      <c r="AU396" s="7"/>
      <c r="AV396" s="7"/>
      <c r="AW396" s="7"/>
      <c r="AX396" s="7"/>
      <c r="AY396" s="7"/>
      <c r="AZ396" s="7"/>
      <c r="BA396" s="7"/>
      <c r="BB396" s="7"/>
      <c r="BC396" s="7"/>
      <c r="BD396" s="7"/>
      <c r="BE396" s="7"/>
      <c r="BF396" s="7"/>
      <c r="BG396" s="7"/>
      <c r="BH396" s="7"/>
      <c r="BI396" s="7"/>
      <c r="BJ396" s="7"/>
      <c r="BK396" s="7"/>
      <c r="BL396" s="7"/>
      <c r="BM396" s="7"/>
      <c r="BN396" s="7"/>
      <c r="BO396" s="7"/>
      <c r="BP396" s="7"/>
      <c r="BQ396" s="7"/>
      <c r="BR396" s="7"/>
      <c r="BS396" s="7"/>
      <c r="BT396" s="7"/>
      <c r="BU396" s="7"/>
      <c r="BV396" s="7"/>
      <c r="BW396" s="7"/>
      <c r="BX396" s="7"/>
      <c r="BY396" s="7"/>
      <c r="BZ396" s="7"/>
    </row>
    <row r="397" ht="16.5" customHeight="1">
      <c r="AT397" s="7"/>
      <c r="AU397" s="7"/>
      <c r="AV397" s="7"/>
      <c r="AW397" s="7"/>
      <c r="AX397" s="7"/>
      <c r="AY397" s="7"/>
      <c r="AZ397" s="7"/>
      <c r="BA397" s="7"/>
      <c r="BB397" s="7"/>
      <c r="BC397" s="7"/>
      <c r="BD397" s="7"/>
      <c r="BE397" s="7"/>
      <c r="BF397" s="7"/>
      <c r="BG397" s="7"/>
      <c r="BH397" s="7"/>
      <c r="BI397" s="7"/>
      <c r="BJ397" s="7"/>
      <c r="BK397" s="7"/>
      <c r="BL397" s="7"/>
      <c r="BM397" s="7"/>
      <c r="BN397" s="7"/>
      <c r="BO397" s="7"/>
      <c r="BP397" s="7"/>
      <c r="BQ397" s="7"/>
      <c r="BR397" s="7"/>
      <c r="BS397" s="7"/>
      <c r="BT397" s="7"/>
      <c r="BU397" s="7"/>
      <c r="BV397" s="7"/>
      <c r="BW397" s="7"/>
      <c r="BX397" s="7"/>
      <c r="BY397" s="7"/>
      <c r="BZ397" s="7"/>
    </row>
    <row r="398" ht="16.5" customHeight="1">
      <c r="AT398" s="7"/>
      <c r="AU398" s="7"/>
      <c r="AV398" s="7"/>
      <c r="AW398" s="7"/>
      <c r="AX398" s="7"/>
      <c r="AY398" s="7"/>
      <c r="AZ398" s="7"/>
      <c r="BA398" s="7"/>
      <c r="BB398" s="7"/>
      <c r="BC398" s="7"/>
      <c r="BD398" s="7"/>
      <c r="BE398" s="7"/>
      <c r="BF398" s="7"/>
      <c r="BG398" s="7"/>
      <c r="BH398" s="7"/>
      <c r="BI398" s="7"/>
      <c r="BJ398" s="7"/>
      <c r="BK398" s="7"/>
      <c r="BL398" s="7"/>
      <c r="BM398" s="7"/>
      <c r="BN398" s="7"/>
      <c r="BO398" s="7"/>
      <c r="BP398" s="7"/>
      <c r="BQ398" s="7"/>
      <c r="BR398" s="7"/>
      <c r="BS398" s="7"/>
      <c r="BT398" s="7"/>
      <c r="BU398" s="7"/>
      <c r="BV398" s="7"/>
      <c r="BW398" s="7"/>
      <c r="BX398" s="7"/>
      <c r="BY398" s="7"/>
      <c r="BZ398" s="7"/>
    </row>
    <row r="399" ht="16.5" customHeight="1">
      <c r="AT399" s="7"/>
      <c r="AU399" s="7"/>
      <c r="AV399" s="7"/>
      <c r="AW399" s="7"/>
      <c r="AX399" s="7"/>
      <c r="AY399" s="7"/>
      <c r="AZ399" s="7"/>
      <c r="BA399" s="7"/>
      <c r="BB399" s="7"/>
      <c r="BC399" s="7"/>
      <c r="BD399" s="7"/>
      <c r="BE399" s="7"/>
      <c r="BF399" s="7"/>
      <c r="BG399" s="7"/>
      <c r="BH399" s="7"/>
      <c r="BI399" s="7"/>
      <c r="BJ399" s="7"/>
      <c r="BK399" s="7"/>
      <c r="BL399" s="7"/>
      <c r="BM399" s="7"/>
      <c r="BN399" s="7"/>
      <c r="BO399" s="7"/>
      <c r="BP399" s="7"/>
      <c r="BQ399" s="7"/>
      <c r="BR399" s="7"/>
      <c r="BS399" s="7"/>
      <c r="BT399" s="7"/>
      <c r="BU399" s="7"/>
      <c r="BV399" s="7"/>
      <c r="BW399" s="7"/>
      <c r="BX399" s="7"/>
      <c r="BY399" s="7"/>
      <c r="BZ399" s="7"/>
    </row>
    <row r="400" ht="16.5" customHeight="1">
      <c r="AT400" s="7"/>
      <c r="AU400" s="7"/>
      <c r="AV400" s="7"/>
      <c r="AW400" s="7"/>
      <c r="AX400" s="7"/>
      <c r="AY400" s="7"/>
      <c r="AZ400" s="7"/>
      <c r="BA400" s="7"/>
      <c r="BB400" s="7"/>
      <c r="BC400" s="7"/>
      <c r="BD400" s="7"/>
      <c r="BE400" s="7"/>
      <c r="BF400" s="7"/>
      <c r="BG400" s="7"/>
      <c r="BH400" s="7"/>
      <c r="BI400" s="7"/>
      <c r="BJ400" s="7"/>
      <c r="BK400" s="7"/>
      <c r="BL400" s="7"/>
      <c r="BM400" s="7"/>
      <c r="BN400" s="7"/>
      <c r="BO400" s="7"/>
      <c r="BP400" s="7"/>
      <c r="BQ400" s="7"/>
      <c r="BR400" s="7"/>
      <c r="BS400" s="7"/>
      <c r="BT400" s="7"/>
      <c r="BU400" s="7"/>
      <c r="BV400" s="7"/>
      <c r="BW400" s="7"/>
      <c r="BX400" s="7"/>
      <c r="BY400" s="7"/>
      <c r="BZ400" s="7"/>
    </row>
    <row r="401" ht="16.5" customHeight="1">
      <c r="AT401" s="7"/>
      <c r="AU401" s="7"/>
      <c r="AV401" s="7"/>
      <c r="AW401" s="7"/>
      <c r="AX401" s="7"/>
      <c r="AY401" s="7"/>
      <c r="AZ401" s="7"/>
      <c r="BA401" s="7"/>
      <c r="BB401" s="7"/>
      <c r="BC401" s="7"/>
      <c r="BD401" s="7"/>
      <c r="BE401" s="7"/>
      <c r="BF401" s="7"/>
      <c r="BG401" s="7"/>
      <c r="BH401" s="7"/>
      <c r="BI401" s="7"/>
      <c r="BJ401" s="7"/>
      <c r="BK401" s="7"/>
      <c r="BL401" s="7"/>
      <c r="BM401" s="7"/>
      <c r="BN401" s="7"/>
      <c r="BO401" s="7"/>
      <c r="BP401" s="7"/>
      <c r="BQ401" s="7"/>
      <c r="BR401" s="7"/>
      <c r="BS401" s="7"/>
      <c r="BT401" s="7"/>
      <c r="BU401" s="7"/>
      <c r="BV401" s="7"/>
      <c r="BW401" s="7"/>
      <c r="BX401" s="7"/>
      <c r="BY401" s="7"/>
      <c r="BZ401" s="7"/>
    </row>
    <row r="402" ht="16.5" customHeight="1">
      <c r="AT402" s="7"/>
      <c r="AU402" s="7"/>
      <c r="AV402" s="7"/>
      <c r="AW402" s="7"/>
      <c r="AX402" s="7"/>
      <c r="AY402" s="7"/>
      <c r="AZ402" s="7"/>
      <c r="BA402" s="7"/>
      <c r="BB402" s="7"/>
      <c r="BC402" s="7"/>
      <c r="BD402" s="7"/>
      <c r="BE402" s="7"/>
      <c r="BF402" s="7"/>
      <c r="BG402" s="7"/>
      <c r="BH402" s="7"/>
      <c r="BI402" s="7"/>
      <c r="BJ402" s="7"/>
      <c r="BK402" s="7"/>
      <c r="BL402" s="7"/>
      <c r="BM402" s="7"/>
      <c r="BN402" s="7"/>
      <c r="BO402" s="7"/>
      <c r="BP402" s="7"/>
      <c r="BQ402" s="7"/>
      <c r="BR402" s="7"/>
      <c r="BS402" s="7"/>
      <c r="BT402" s="7"/>
      <c r="BU402" s="7"/>
      <c r="BV402" s="7"/>
      <c r="BW402" s="7"/>
      <c r="BX402" s="7"/>
      <c r="BY402" s="7"/>
      <c r="BZ402" s="7"/>
    </row>
    <row r="403" ht="16.5" customHeight="1">
      <c r="AT403" s="7"/>
      <c r="AU403" s="7"/>
      <c r="AV403" s="7"/>
      <c r="AW403" s="7"/>
      <c r="AX403" s="7"/>
      <c r="AY403" s="7"/>
      <c r="AZ403" s="7"/>
      <c r="BA403" s="7"/>
      <c r="BB403" s="7"/>
      <c r="BC403" s="7"/>
      <c r="BD403" s="7"/>
      <c r="BE403" s="7"/>
      <c r="BF403" s="7"/>
      <c r="BG403" s="7"/>
      <c r="BH403" s="7"/>
      <c r="BI403" s="7"/>
      <c r="BJ403" s="7"/>
      <c r="BK403" s="7"/>
      <c r="BL403" s="7"/>
      <c r="BM403" s="7"/>
      <c r="BN403" s="7"/>
      <c r="BO403" s="7"/>
      <c r="BP403" s="7"/>
      <c r="BQ403" s="7"/>
      <c r="BR403" s="7"/>
      <c r="BS403" s="7"/>
      <c r="BT403" s="7"/>
      <c r="BU403" s="7"/>
      <c r="BV403" s="7"/>
      <c r="BW403" s="7"/>
      <c r="BX403" s="7"/>
      <c r="BY403" s="7"/>
      <c r="BZ403" s="7"/>
    </row>
    <row r="404" ht="16.5" customHeight="1">
      <c r="AT404" s="7"/>
      <c r="AU404" s="7"/>
      <c r="AV404" s="7"/>
      <c r="AW404" s="7"/>
      <c r="AX404" s="7"/>
      <c r="AY404" s="7"/>
      <c r="AZ404" s="7"/>
      <c r="BA404" s="7"/>
      <c r="BB404" s="7"/>
      <c r="BC404" s="7"/>
      <c r="BD404" s="7"/>
      <c r="BE404" s="7"/>
      <c r="BF404" s="7"/>
      <c r="BG404" s="7"/>
      <c r="BH404" s="7"/>
      <c r="BI404" s="7"/>
      <c r="BJ404" s="7"/>
      <c r="BK404" s="7"/>
      <c r="BL404" s="7"/>
      <c r="BM404" s="7"/>
      <c r="BN404" s="7"/>
      <c r="BO404" s="7"/>
      <c r="BP404" s="7"/>
      <c r="BQ404" s="7"/>
      <c r="BR404" s="7"/>
      <c r="BS404" s="7"/>
      <c r="BT404" s="7"/>
      <c r="BU404" s="7"/>
      <c r="BV404" s="7"/>
      <c r="BW404" s="7"/>
      <c r="BX404" s="7"/>
      <c r="BY404" s="7"/>
      <c r="BZ404" s="7"/>
    </row>
    <row r="405" ht="16.5" customHeight="1">
      <c r="AT405" s="7"/>
      <c r="AU405" s="7"/>
      <c r="AV405" s="7"/>
      <c r="AW405" s="7"/>
      <c r="AX405" s="7"/>
      <c r="AY405" s="7"/>
      <c r="AZ405" s="7"/>
      <c r="BA405" s="7"/>
      <c r="BB405" s="7"/>
      <c r="BC405" s="7"/>
      <c r="BD405" s="7"/>
      <c r="BE405" s="7"/>
      <c r="BF405" s="7"/>
      <c r="BG405" s="7"/>
      <c r="BH405" s="7"/>
      <c r="BI405" s="7"/>
      <c r="BJ405" s="7"/>
      <c r="BK405" s="7"/>
      <c r="BL405" s="7"/>
      <c r="BM405" s="7"/>
      <c r="BN405" s="7"/>
      <c r="BO405" s="7"/>
      <c r="BP405" s="7"/>
      <c r="BQ405" s="7"/>
      <c r="BR405" s="7"/>
      <c r="BS405" s="7"/>
      <c r="BT405" s="7"/>
      <c r="BU405" s="7"/>
      <c r="BV405" s="7"/>
      <c r="BW405" s="7"/>
      <c r="BX405" s="7"/>
      <c r="BY405" s="7"/>
      <c r="BZ405" s="7"/>
    </row>
    <row r="406" ht="16.5" customHeight="1">
      <c r="AT406" s="7"/>
      <c r="AU406" s="7"/>
      <c r="AV406" s="7"/>
      <c r="AW406" s="7"/>
      <c r="AX406" s="7"/>
      <c r="AY406" s="7"/>
      <c r="AZ406" s="7"/>
      <c r="BA406" s="7"/>
      <c r="BB406" s="7"/>
      <c r="BC406" s="7"/>
      <c r="BD406" s="7"/>
      <c r="BE406" s="7"/>
      <c r="BF406" s="7"/>
      <c r="BG406" s="7"/>
      <c r="BH406" s="7"/>
      <c r="BI406" s="7"/>
      <c r="BJ406" s="7"/>
      <c r="BK406" s="7"/>
      <c r="BL406" s="7"/>
      <c r="BM406" s="7"/>
      <c r="BN406" s="7"/>
      <c r="BO406" s="7"/>
      <c r="BP406" s="7"/>
      <c r="BQ406" s="7"/>
      <c r="BR406" s="7"/>
      <c r="BS406" s="7"/>
      <c r="BT406" s="7"/>
      <c r="BU406" s="7"/>
      <c r="BV406" s="7"/>
      <c r="BW406" s="7"/>
      <c r="BX406" s="7"/>
      <c r="BY406" s="7"/>
      <c r="BZ406" s="7"/>
    </row>
    <row r="407" ht="16.5" customHeight="1">
      <c r="AT407" s="7"/>
      <c r="AU407" s="7"/>
      <c r="AV407" s="7"/>
      <c r="AW407" s="7"/>
      <c r="AX407" s="7"/>
      <c r="AY407" s="7"/>
      <c r="AZ407" s="7"/>
      <c r="BA407" s="7"/>
      <c r="BB407" s="7"/>
      <c r="BC407" s="7"/>
      <c r="BD407" s="7"/>
      <c r="BE407" s="7"/>
      <c r="BF407" s="7"/>
      <c r="BG407" s="7"/>
      <c r="BH407" s="7"/>
      <c r="BI407" s="7"/>
      <c r="BJ407" s="7"/>
      <c r="BK407" s="7"/>
      <c r="BL407" s="7"/>
      <c r="BM407" s="7"/>
      <c r="BN407" s="7"/>
      <c r="BO407" s="7"/>
      <c r="BP407" s="7"/>
      <c r="BQ407" s="7"/>
      <c r="BR407" s="7"/>
      <c r="BS407" s="7"/>
      <c r="BT407" s="7"/>
      <c r="BU407" s="7"/>
      <c r="BV407" s="7"/>
      <c r="BW407" s="7"/>
      <c r="BX407" s="7"/>
      <c r="BY407" s="7"/>
      <c r="BZ407" s="7"/>
    </row>
    <row r="408" ht="16.5" customHeight="1">
      <c r="AT408" s="7"/>
      <c r="AU408" s="7"/>
      <c r="AV408" s="7"/>
      <c r="AW408" s="7"/>
      <c r="AX408" s="7"/>
      <c r="AY408" s="7"/>
      <c r="AZ408" s="7"/>
      <c r="BA408" s="7"/>
      <c r="BB408" s="7"/>
      <c r="BC408" s="7"/>
      <c r="BD408" s="7"/>
      <c r="BE408" s="7"/>
      <c r="BF408" s="7"/>
      <c r="BG408" s="7"/>
      <c r="BH408" s="7"/>
      <c r="BI408" s="7"/>
      <c r="BJ408" s="7"/>
      <c r="BK408" s="7"/>
      <c r="BL408" s="7"/>
      <c r="BM408" s="7"/>
      <c r="BN408" s="7"/>
      <c r="BO408" s="7"/>
      <c r="BP408" s="7"/>
      <c r="BQ408" s="7"/>
      <c r="BR408" s="7"/>
      <c r="BS408" s="7"/>
      <c r="BT408" s="7"/>
      <c r="BU408" s="7"/>
      <c r="BV408" s="7"/>
      <c r="BW408" s="7"/>
      <c r="BX408" s="7"/>
      <c r="BY408" s="7"/>
      <c r="BZ408" s="7"/>
    </row>
    <row r="409" ht="16.5" customHeight="1">
      <c r="AT409" s="7"/>
      <c r="AU409" s="7"/>
      <c r="AV409" s="7"/>
      <c r="AW409" s="7"/>
      <c r="AX409" s="7"/>
      <c r="AY409" s="7"/>
      <c r="AZ409" s="7"/>
      <c r="BA409" s="7"/>
      <c r="BB409" s="7"/>
      <c r="BC409" s="7"/>
      <c r="BD409" s="7"/>
      <c r="BE409" s="7"/>
      <c r="BF409" s="7"/>
      <c r="BG409" s="7"/>
      <c r="BH409" s="7"/>
      <c r="BI409" s="7"/>
      <c r="BJ409" s="7"/>
      <c r="BK409" s="7"/>
      <c r="BL409" s="7"/>
      <c r="BM409" s="7"/>
      <c r="BN409" s="7"/>
      <c r="BO409" s="7"/>
      <c r="BP409" s="7"/>
      <c r="BQ409" s="7"/>
      <c r="BR409" s="7"/>
      <c r="BS409" s="7"/>
      <c r="BT409" s="7"/>
      <c r="BU409" s="7"/>
      <c r="BV409" s="7"/>
      <c r="BW409" s="7"/>
      <c r="BX409" s="7"/>
      <c r="BY409" s="7"/>
      <c r="BZ409" s="7"/>
    </row>
    <row r="410" ht="16.5" customHeight="1">
      <c r="AT410" s="7"/>
      <c r="AU410" s="7"/>
      <c r="AV410" s="7"/>
      <c r="AW410" s="7"/>
      <c r="AX410" s="7"/>
      <c r="AY410" s="7"/>
      <c r="AZ410" s="7"/>
      <c r="BA410" s="7"/>
      <c r="BB410" s="7"/>
      <c r="BC410" s="7"/>
      <c r="BD410" s="7"/>
      <c r="BE410" s="7"/>
      <c r="BF410" s="7"/>
      <c r="BG410" s="7"/>
      <c r="BH410" s="7"/>
      <c r="BI410" s="7"/>
      <c r="BJ410" s="7"/>
      <c r="BK410" s="7"/>
      <c r="BL410" s="7"/>
      <c r="BM410" s="7"/>
      <c r="BN410" s="7"/>
      <c r="BO410" s="7"/>
      <c r="BP410" s="7"/>
      <c r="BQ410" s="7"/>
      <c r="BR410" s="7"/>
      <c r="BS410" s="7"/>
      <c r="BT410" s="7"/>
      <c r="BU410" s="7"/>
      <c r="BV410" s="7"/>
      <c r="BW410" s="7"/>
      <c r="BX410" s="7"/>
      <c r="BY410" s="7"/>
      <c r="BZ410" s="7"/>
    </row>
    <row r="411" ht="16.5" customHeight="1">
      <c r="AT411" s="7"/>
      <c r="AU411" s="7"/>
      <c r="AV411" s="7"/>
      <c r="AW411" s="7"/>
      <c r="AX411" s="7"/>
      <c r="AY411" s="7"/>
      <c r="AZ411" s="7"/>
      <c r="BA411" s="7"/>
      <c r="BB411" s="7"/>
      <c r="BC411" s="7"/>
      <c r="BD411" s="7"/>
      <c r="BE411" s="7"/>
      <c r="BF411" s="7"/>
      <c r="BG411" s="7"/>
      <c r="BH411" s="7"/>
      <c r="BI411" s="7"/>
      <c r="BJ411" s="7"/>
      <c r="BK411" s="7"/>
      <c r="BL411" s="7"/>
      <c r="BM411" s="7"/>
      <c r="BN411" s="7"/>
      <c r="BO411" s="7"/>
      <c r="BP411" s="7"/>
      <c r="BQ411" s="7"/>
      <c r="BR411" s="7"/>
      <c r="BS411" s="7"/>
      <c r="BT411" s="7"/>
      <c r="BU411" s="7"/>
      <c r="BV411" s="7"/>
      <c r="BW411" s="7"/>
      <c r="BX411" s="7"/>
      <c r="BY411" s="7"/>
      <c r="BZ411" s="7"/>
    </row>
    <row r="412" ht="16.5" customHeight="1">
      <c r="AT412" s="7"/>
      <c r="AU412" s="7"/>
      <c r="AV412" s="7"/>
      <c r="AW412" s="7"/>
      <c r="AX412" s="7"/>
      <c r="AY412" s="7"/>
      <c r="AZ412" s="7"/>
      <c r="BA412" s="7"/>
      <c r="BB412" s="7"/>
      <c r="BC412" s="7"/>
      <c r="BD412" s="7"/>
      <c r="BE412" s="7"/>
      <c r="BF412" s="7"/>
      <c r="BG412" s="7"/>
      <c r="BH412" s="7"/>
      <c r="BI412" s="7"/>
      <c r="BJ412" s="7"/>
      <c r="BK412" s="7"/>
      <c r="BL412" s="7"/>
      <c r="BM412" s="7"/>
      <c r="BN412" s="7"/>
      <c r="BO412" s="7"/>
      <c r="BP412" s="7"/>
      <c r="BQ412" s="7"/>
      <c r="BR412" s="7"/>
      <c r="BS412" s="7"/>
      <c r="BT412" s="7"/>
      <c r="BU412" s="7"/>
      <c r="BV412" s="7"/>
      <c r="BW412" s="7"/>
      <c r="BX412" s="7"/>
      <c r="BY412" s="7"/>
      <c r="BZ412" s="7"/>
    </row>
    <row r="413" ht="16.5" customHeight="1">
      <c r="AT413" s="7"/>
      <c r="AU413" s="7"/>
      <c r="AV413" s="7"/>
      <c r="AW413" s="7"/>
      <c r="AX413" s="7"/>
      <c r="AY413" s="7"/>
      <c r="AZ413" s="7"/>
      <c r="BA413" s="7"/>
      <c r="BB413" s="7"/>
      <c r="BC413" s="7"/>
      <c r="BD413" s="7"/>
      <c r="BE413" s="7"/>
      <c r="BF413" s="7"/>
      <c r="BG413" s="7"/>
      <c r="BH413" s="7"/>
      <c r="BI413" s="7"/>
      <c r="BJ413" s="7"/>
      <c r="BK413" s="7"/>
      <c r="BL413" s="7"/>
      <c r="BM413" s="7"/>
      <c r="BN413" s="7"/>
      <c r="BO413" s="7"/>
      <c r="BP413" s="7"/>
      <c r="BQ413" s="7"/>
      <c r="BR413" s="7"/>
      <c r="BS413" s="7"/>
      <c r="BT413" s="7"/>
      <c r="BU413" s="7"/>
      <c r="BV413" s="7"/>
      <c r="BW413" s="7"/>
      <c r="BX413" s="7"/>
      <c r="BY413" s="7"/>
      <c r="BZ413" s="7"/>
    </row>
    <row r="414" ht="16.5" customHeight="1">
      <c r="AT414" s="7"/>
      <c r="AU414" s="7"/>
      <c r="AV414" s="7"/>
      <c r="AW414" s="7"/>
      <c r="AX414" s="7"/>
      <c r="AY414" s="7"/>
      <c r="AZ414" s="7"/>
      <c r="BA414" s="7"/>
      <c r="BB414" s="7"/>
      <c r="BC414" s="7"/>
      <c r="BD414" s="7"/>
      <c r="BE414" s="7"/>
      <c r="BF414" s="7"/>
      <c r="BG414" s="7"/>
      <c r="BH414" s="7"/>
      <c r="BI414" s="7"/>
      <c r="BJ414" s="7"/>
      <c r="BK414" s="7"/>
      <c r="BL414" s="7"/>
      <c r="BM414" s="7"/>
      <c r="BN414" s="7"/>
      <c r="BO414" s="7"/>
      <c r="BP414" s="7"/>
      <c r="BQ414" s="7"/>
      <c r="BR414" s="7"/>
      <c r="BS414" s="7"/>
      <c r="BT414" s="7"/>
      <c r="BU414" s="7"/>
      <c r="BV414" s="7"/>
      <c r="BW414" s="7"/>
      <c r="BX414" s="7"/>
      <c r="BY414" s="7"/>
      <c r="BZ414" s="7"/>
    </row>
    <row r="415" ht="16.5" customHeight="1">
      <c r="AT415" s="7"/>
      <c r="AU415" s="7"/>
      <c r="AV415" s="7"/>
      <c r="AW415" s="7"/>
      <c r="AX415" s="7"/>
      <c r="AY415" s="7"/>
      <c r="AZ415" s="7"/>
      <c r="BA415" s="7"/>
      <c r="BB415" s="7"/>
      <c r="BC415" s="7"/>
      <c r="BD415" s="7"/>
      <c r="BE415" s="7"/>
      <c r="BF415" s="7"/>
      <c r="BG415" s="7"/>
      <c r="BH415" s="7"/>
      <c r="BI415" s="7"/>
      <c r="BJ415" s="7"/>
      <c r="BK415" s="7"/>
      <c r="BL415" s="7"/>
      <c r="BM415" s="7"/>
      <c r="BN415" s="7"/>
      <c r="BO415" s="7"/>
      <c r="BP415" s="7"/>
      <c r="BQ415" s="7"/>
      <c r="BR415" s="7"/>
      <c r="BS415" s="7"/>
      <c r="BT415" s="7"/>
      <c r="BU415" s="7"/>
      <c r="BV415" s="7"/>
      <c r="BW415" s="7"/>
      <c r="BX415" s="7"/>
      <c r="BY415" s="7"/>
      <c r="BZ415" s="7"/>
    </row>
    <row r="416" ht="16.5" customHeight="1">
      <c r="AT416" s="7"/>
      <c r="AU416" s="7"/>
      <c r="AV416" s="7"/>
      <c r="AW416" s="7"/>
      <c r="AX416" s="7"/>
      <c r="AY416" s="7"/>
      <c r="AZ416" s="7"/>
      <c r="BA416" s="7"/>
      <c r="BB416" s="7"/>
      <c r="BC416" s="7"/>
      <c r="BD416" s="7"/>
      <c r="BE416" s="7"/>
      <c r="BF416" s="7"/>
      <c r="BG416" s="7"/>
      <c r="BH416" s="7"/>
      <c r="BI416" s="7"/>
      <c r="BJ416" s="7"/>
      <c r="BK416" s="7"/>
      <c r="BL416" s="7"/>
      <c r="BM416" s="7"/>
      <c r="BN416" s="7"/>
      <c r="BO416" s="7"/>
      <c r="BP416" s="7"/>
      <c r="BQ416" s="7"/>
      <c r="BR416" s="7"/>
      <c r="BS416" s="7"/>
      <c r="BT416" s="7"/>
      <c r="BU416" s="7"/>
      <c r="BV416" s="7"/>
      <c r="BW416" s="7"/>
      <c r="BX416" s="7"/>
      <c r="BY416" s="7"/>
      <c r="BZ416" s="7"/>
    </row>
    <row r="417" ht="16.5" customHeight="1">
      <c r="AT417" s="7"/>
      <c r="AU417" s="7"/>
      <c r="AV417" s="7"/>
      <c r="AW417" s="7"/>
      <c r="AX417" s="7"/>
      <c r="AY417" s="7"/>
      <c r="AZ417" s="7"/>
      <c r="BA417" s="7"/>
      <c r="BB417" s="7"/>
      <c r="BC417" s="7"/>
      <c r="BD417" s="7"/>
      <c r="BE417" s="7"/>
      <c r="BF417" s="7"/>
      <c r="BG417" s="7"/>
      <c r="BH417" s="7"/>
      <c r="BI417" s="7"/>
      <c r="BJ417" s="7"/>
      <c r="BK417" s="7"/>
      <c r="BL417" s="7"/>
      <c r="BM417" s="7"/>
      <c r="BN417" s="7"/>
      <c r="BO417" s="7"/>
      <c r="BP417" s="7"/>
      <c r="BQ417" s="7"/>
      <c r="BR417" s="7"/>
      <c r="BS417" s="7"/>
      <c r="BT417" s="7"/>
      <c r="BU417" s="7"/>
      <c r="BV417" s="7"/>
      <c r="BW417" s="7"/>
      <c r="BX417" s="7"/>
      <c r="BY417" s="7"/>
      <c r="BZ417" s="7"/>
    </row>
    <row r="418" ht="16.5" customHeight="1">
      <c r="AT418" s="7"/>
      <c r="AU418" s="7"/>
      <c r="AV418" s="7"/>
      <c r="AW418" s="7"/>
      <c r="AX418" s="7"/>
      <c r="AY418" s="7"/>
      <c r="AZ418" s="7"/>
      <c r="BA418" s="7"/>
      <c r="BB418" s="7"/>
      <c r="BC418" s="7"/>
      <c r="BD418" s="7"/>
      <c r="BE418" s="7"/>
      <c r="BF418" s="7"/>
      <c r="BG418" s="7"/>
      <c r="BH418" s="7"/>
      <c r="BI418" s="7"/>
      <c r="BJ418" s="7"/>
      <c r="BK418" s="7"/>
      <c r="BL418" s="7"/>
      <c r="BM418" s="7"/>
      <c r="BN418" s="7"/>
      <c r="BO418" s="7"/>
      <c r="BP418" s="7"/>
      <c r="BQ418" s="7"/>
      <c r="BR418" s="7"/>
      <c r="BS418" s="7"/>
      <c r="BT418" s="7"/>
      <c r="BU418" s="7"/>
      <c r="BV418" s="7"/>
      <c r="BW418" s="7"/>
      <c r="BX418" s="7"/>
      <c r="BY418" s="7"/>
      <c r="BZ418" s="7"/>
    </row>
    <row r="419" ht="16.5" customHeight="1">
      <c r="AT419" s="7"/>
      <c r="AU419" s="7"/>
      <c r="AV419" s="7"/>
      <c r="AW419" s="7"/>
      <c r="AX419" s="7"/>
      <c r="AY419" s="7"/>
      <c r="AZ419" s="7"/>
      <c r="BA419" s="7"/>
      <c r="BB419" s="7"/>
      <c r="BC419" s="7"/>
      <c r="BD419" s="7"/>
      <c r="BE419" s="7"/>
      <c r="BF419" s="7"/>
      <c r="BG419" s="7"/>
      <c r="BH419" s="7"/>
      <c r="BI419" s="7"/>
      <c r="BJ419" s="7"/>
      <c r="BK419" s="7"/>
      <c r="BL419" s="7"/>
      <c r="BM419" s="7"/>
      <c r="BN419" s="7"/>
      <c r="BO419" s="7"/>
      <c r="BP419" s="7"/>
      <c r="BQ419" s="7"/>
      <c r="BR419" s="7"/>
      <c r="BS419" s="7"/>
      <c r="BT419" s="7"/>
      <c r="BU419" s="7"/>
      <c r="BV419" s="7"/>
      <c r="BW419" s="7"/>
      <c r="BX419" s="7"/>
      <c r="BY419" s="7"/>
      <c r="BZ419" s="7"/>
    </row>
    <row r="420" ht="16.5" customHeight="1">
      <c r="AT420" s="7"/>
      <c r="AU420" s="7"/>
      <c r="AV420" s="7"/>
      <c r="AW420" s="7"/>
      <c r="AX420" s="7"/>
      <c r="AY420" s="7"/>
      <c r="AZ420" s="7"/>
      <c r="BA420" s="7"/>
      <c r="BB420" s="7"/>
      <c r="BC420" s="7"/>
      <c r="BD420" s="7"/>
      <c r="BE420" s="7"/>
      <c r="BF420" s="7"/>
      <c r="BG420" s="7"/>
      <c r="BH420" s="7"/>
      <c r="BI420" s="7"/>
      <c r="BJ420" s="7"/>
      <c r="BK420" s="7"/>
      <c r="BL420" s="7"/>
      <c r="BM420" s="7"/>
      <c r="BN420" s="7"/>
      <c r="BO420" s="7"/>
      <c r="BP420" s="7"/>
      <c r="BQ420" s="7"/>
      <c r="BR420" s="7"/>
      <c r="BS420" s="7"/>
      <c r="BT420" s="7"/>
      <c r="BU420" s="7"/>
      <c r="BV420" s="7"/>
      <c r="BW420" s="7"/>
      <c r="BX420" s="7"/>
      <c r="BY420" s="7"/>
      <c r="BZ420" s="7"/>
    </row>
    <row r="421" ht="16.5" customHeight="1">
      <c r="AT421" s="7"/>
      <c r="AU421" s="7"/>
      <c r="AV421" s="7"/>
      <c r="AW421" s="7"/>
      <c r="AX421" s="7"/>
      <c r="AY421" s="7"/>
      <c r="AZ421" s="7"/>
      <c r="BA421" s="7"/>
      <c r="BB421" s="7"/>
      <c r="BC421" s="7"/>
      <c r="BD421" s="7"/>
      <c r="BE421" s="7"/>
      <c r="BF421" s="7"/>
      <c r="BG421" s="7"/>
      <c r="BH421" s="7"/>
      <c r="BI421" s="7"/>
      <c r="BJ421" s="7"/>
      <c r="BK421" s="7"/>
      <c r="BL421" s="7"/>
      <c r="BM421" s="7"/>
      <c r="BN421" s="7"/>
      <c r="BO421" s="7"/>
      <c r="BP421" s="7"/>
      <c r="BQ421" s="7"/>
      <c r="BR421" s="7"/>
      <c r="BS421" s="7"/>
      <c r="BT421" s="7"/>
      <c r="BU421" s="7"/>
      <c r="BV421" s="7"/>
      <c r="BW421" s="7"/>
      <c r="BX421" s="7"/>
      <c r="BY421" s="7"/>
      <c r="BZ421" s="7"/>
    </row>
    <row r="422" ht="16.5" customHeight="1">
      <c r="AT422" s="7"/>
      <c r="AU422" s="7"/>
      <c r="AV422" s="7"/>
      <c r="AW422" s="7"/>
      <c r="AX422" s="7"/>
      <c r="AY422" s="7"/>
      <c r="AZ422" s="7"/>
      <c r="BA422" s="7"/>
      <c r="BB422" s="7"/>
      <c r="BC422" s="7"/>
      <c r="BD422" s="7"/>
      <c r="BE422" s="7"/>
      <c r="BF422" s="7"/>
      <c r="BG422" s="7"/>
      <c r="BH422" s="7"/>
      <c r="BI422" s="7"/>
      <c r="BJ422" s="7"/>
      <c r="BK422" s="7"/>
      <c r="BL422" s="7"/>
      <c r="BM422" s="7"/>
      <c r="BN422" s="7"/>
      <c r="BO422" s="7"/>
      <c r="BP422" s="7"/>
      <c r="BQ422" s="7"/>
      <c r="BR422" s="7"/>
      <c r="BS422" s="7"/>
      <c r="BT422" s="7"/>
      <c r="BU422" s="7"/>
      <c r="BV422" s="7"/>
      <c r="BW422" s="7"/>
      <c r="BX422" s="7"/>
      <c r="BY422" s="7"/>
      <c r="BZ422" s="7"/>
    </row>
    <row r="423" ht="16.5" customHeight="1">
      <c r="AT423" s="7"/>
      <c r="AU423" s="7"/>
      <c r="AV423" s="7"/>
      <c r="AW423" s="7"/>
      <c r="AX423" s="7"/>
      <c r="AY423" s="7"/>
      <c r="AZ423" s="7"/>
      <c r="BA423" s="7"/>
      <c r="BB423" s="7"/>
      <c r="BC423" s="7"/>
      <c r="BD423" s="7"/>
      <c r="BE423" s="7"/>
      <c r="BF423" s="7"/>
      <c r="BG423" s="7"/>
      <c r="BH423" s="7"/>
      <c r="BI423" s="7"/>
      <c r="BJ423" s="7"/>
      <c r="BK423" s="7"/>
      <c r="BL423" s="7"/>
      <c r="BM423" s="7"/>
      <c r="BN423" s="7"/>
      <c r="BO423" s="7"/>
      <c r="BP423" s="7"/>
      <c r="BQ423" s="7"/>
      <c r="BR423" s="7"/>
      <c r="BS423" s="7"/>
      <c r="BT423" s="7"/>
      <c r="BU423" s="7"/>
      <c r="BV423" s="7"/>
      <c r="BW423" s="7"/>
      <c r="BX423" s="7"/>
      <c r="BY423" s="7"/>
      <c r="BZ423" s="7"/>
    </row>
    <row r="424" ht="16.5" customHeight="1">
      <c r="AT424" s="7"/>
      <c r="AU424" s="7"/>
      <c r="AV424" s="7"/>
      <c r="AW424" s="7"/>
      <c r="AX424" s="7"/>
      <c r="AY424" s="7"/>
      <c r="AZ424" s="7"/>
      <c r="BA424" s="7"/>
      <c r="BB424" s="7"/>
      <c r="BC424" s="7"/>
      <c r="BD424" s="7"/>
      <c r="BE424" s="7"/>
      <c r="BF424" s="7"/>
      <c r="BG424" s="7"/>
      <c r="BH424" s="7"/>
      <c r="BI424" s="7"/>
      <c r="BJ424" s="7"/>
      <c r="BK424" s="7"/>
      <c r="BL424" s="7"/>
      <c r="BM424" s="7"/>
      <c r="BN424" s="7"/>
      <c r="BO424" s="7"/>
      <c r="BP424" s="7"/>
      <c r="BQ424" s="7"/>
      <c r="BR424" s="7"/>
      <c r="BS424" s="7"/>
      <c r="BT424" s="7"/>
      <c r="BU424" s="7"/>
      <c r="BV424" s="7"/>
      <c r="BW424" s="7"/>
      <c r="BX424" s="7"/>
      <c r="BY424" s="7"/>
      <c r="BZ424" s="7"/>
    </row>
    <row r="425" ht="16.5" customHeight="1">
      <c r="AT425" s="7"/>
      <c r="AU425" s="7"/>
      <c r="AV425" s="7"/>
      <c r="AW425" s="7"/>
      <c r="AX425" s="7"/>
      <c r="AY425" s="7"/>
      <c r="AZ425" s="7"/>
      <c r="BA425" s="7"/>
      <c r="BB425" s="7"/>
      <c r="BC425" s="7"/>
      <c r="BD425" s="7"/>
      <c r="BE425" s="7"/>
      <c r="BF425" s="7"/>
      <c r="BG425" s="7"/>
      <c r="BH425" s="7"/>
      <c r="BI425" s="7"/>
      <c r="BJ425" s="7"/>
      <c r="BK425" s="7"/>
      <c r="BL425" s="7"/>
      <c r="BM425" s="7"/>
      <c r="BN425" s="7"/>
      <c r="BO425" s="7"/>
      <c r="BP425" s="7"/>
      <c r="BQ425" s="7"/>
      <c r="BR425" s="7"/>
      <c r="BS425" s="7"/>
      <c r="BT425" s="7"/>
      <c r="BU425" s="7"/>
      <c r="BV425" s="7"/>
      <c r="BW425" s="7"/>
      <c r="BX425" s="7"/>
      <c r="BY425" s="7"/>
      <c r="BZ425" s="7"/>
    </row>
    <row r="426" ht="16.5" customHeight="1">
      <c r="AT426" s="7"/>
      <c r="AU426" s="7"/>
      <c r="AV426" s="7"/>
      <c r="AW426" s="7"/>
      <c r="AX426" s="7"/>
      <c r="AY426" s="7"/>
      <c r="AZ426" s="7"/>
      <c r="BA426" s="7"/>
      <c r="BB426" s="7"/>
      <c r="BC426" s="7"/>
      <c r="BD426" s="7"/>
      <c r="BE426" s="7"/>
      <c r="BF426" s="7"/>
      <c r="BG426" s="7"/>
      <c r="BH426" s="7"/>
      <c r="BI426" s="7"/>
      <c r="BJ426" s="7"/>
      <c r="BK426" s="7"/>
      <c r="BL426" s="7"/>
      <c r="BM426" s="7"/>
      <c r="BN426" s="7"/>
      <c r="BO426" s="7"/>
      <c r="BP426" s="7"/>
      <c r="BQ426" s="7"/>
      <c r="BR426" s="7"/>
      <c r="BS426" s="7"/>
      <c r="BT426" s="7"/>
      <c r="BU426" s="7"/>
      <c r="BV426" s="7"/>
      <c r="BW426" s="7"/>
      <c r="BX426" s="7"/>
      <c r="BY426" s="7"/>
      <c r="BZ426" s="7"/>
    </row>
    <row r="427" ht="16.5" customHeight="1">
      <c r="AT427" s="7"/>
      <c r="AU427" s="7"/>
      <c r="AV427" s="7"/>
      <c r="AW427" s="7"/>
      <c r="AX427" s="7"/>
      <c r="AY427" s="7"/>
      <c r="AZ427" s="7"/>
      <c r="BA427" s="7"/>
      <c r="BB427" s="7"/>
      <c r="BC427" s="7"/>
      <c r="BD427" s="7"/>
      <c r="BE427" s="7"/>
      <c r="BF427" s="7"/>
      <c r="BG427" s="7"/>
      <c r="BH427" s="7"/>
      <c r="BI427" s="7"/>
      <c r="BJ427" s="7"/>
      <c r="BK427" s="7"/>
      <c r="BL427" s="7"/>
      <c r="BM427" s="7"/>
      <c r="BN427" s="7"/>
      <c r="BO427" s="7"/>
      <c r="BP427" s="7"/>
      <c r="BQ427" s="7"/>
      <c r="BR427" s="7"/>
      <c r="BS427" s="7"/>
      <c r="BT427" s="7"/>
      <c r="BU427" s="7"/>
      <c r="BV427" s="7"/>
      <c r="BW427" s="7"/>
      <c r="BX427" s="7"/>
      <c r="BY427" s="7"/>
      <c r="BZ427" s="7"/>
    </row>
    <row r="428" ht="16.5" customHeight="1">
      <c r="AT428" s="7"/>
      <c r="AU428" s="7"/>
      <c r="AV428" s="7"/>
      <c r="AW428" s="7"/>
      <c r="AX428" s="7"/>
      <c r="AY428" s="7"/>
      <c r="AZ428" s="7"/>
      <c r="BA428" s="7"/>
      <c r="BB428" s="7"/>
      <c r="BC428" s="7"/>
      <c r="BD428" s="7"/>
      <c r="BE428" s="7"/>
      <c r="BF428" s="7"/>
      <c r="BG428" s="7"/>
      <c r="BH428" s="7"/>
      <c r="BI428" s="7"/>
      <c r="BJ428" s="7"/>
      <c r="BK428" s="7"/>
      <c r="BL428" s="7"/>
      <c r="BM428" s="7"/>
      <c r="BN428" s="7"/>
      <c r="BO428" s="7"/>
      <c r="BP428" s="7"/>
      <c r="BQ428" s="7"/>
      <c r="BR428" s="7"/>
      <c r="BS428" s="7"/>
      <c r="BT428" s="7"/>
      <c r="BU428" s="7"/>
      <c r="BV428" s="7"/>
      <c r="BW428" s="7"/>
      <c r="BX428" s="7"/>
      <c r="BY428" s="7"/>
      <c r="BZ428" s="7"/>
    </row>
    <row r="429" ht="16.5" customHeight="1">
      <c r="AT429" s="7"/>
      <c r="AU429" s="7"/>
      <c r="AV429" s="7"/>
      <c r="AW429" s="7"/>
      <c r="AX429" s="7"/>
      <c r="AY429" s="7"/>
      <c r="AZ429" s="7"/>
      <c r="BA429" s="7"/>
      <c r="BB429" s="7"/>
      <c r="BC429" s="7"/>
      <c r="BD429" s="7"/>
      <c r="BE429" s="7"/>
      <c r="BF429" s="7"/>
      <c r="BG429" s="7"/>
      <c r="BH429" s="7"/>
      <c r="BI429" s="7"/>
      <c r="BJ429" s="7"/>
      <c r="BK429" s="7"/>
      <c r="BL429" s="7"/>
      <c r="BM429" s="7"/>
      <c r="BN429" s="7"/>
      <c r="BO429" s="7"/>
      <c r="BP429" s="7"/>
      <c r="BQ429" s="7"/>
      <c r="BR429" s="7"/>
      <c r="BS429" s="7"/>
      <c r="BT429" s="7"/>
      <c r="BU429" s="7"/>
      <c r="BV429" s="7"/>
      <c r="BW429" s="7"/>
      <c r="BX429" s="7"/>
      <c r="BY429" s="7"/>
      <c r="BZ429" s="7"/>
    </row>
    <row r="430" ht="16.5" customHeight="1">
      <c r="AT430" s="7"/>
      <c r="AU430" s="7"/>
      <c r="AV430" s="7"/>
      <c r="AW430" s="7"/>
      <c r="AX430" s="7"/>
      <c r="AY430" s="7"/>
      <c r="AZ430" s="7"/>
      <c r="BA430" s="7"/>
      <c r="BB430" s="7"/>
      <c r="BC430" s="7"/>
      <c r="BD430" s="7"/>
      <c r="BE430" s="7"/>
      <c r="BF430" s="7"/>
      <c r="BG430" s="7"/>
      <c r="BH430" s="7"/>
      <c r="BI430" s="7"/>
      <c r="BJ430" s="7"/>
      <c r="BK430" s="7"/>
      <c r="BL430" s="7"/>
      <c r="BM430" s="7"/>
      <c r="BN430" s="7"/>
      <c r="BO430" s="7"/>
      <c r="BP430" s="7"/>
      <c r="BQ430" s="7"/>
      <c r="BR430" s="7"/>
      <c r="BS430" s="7"/>
      <c r="BT430" s="7"/>
      <c r="BU430" s="7"/>
      <c r="BV430" s="7"/>
      <c r="BW430" s="7"/>
      <c r="BX430" s="7"/>
      <c r="BY430" s="7"/>
      <c r="BZ430" s="7"/>
    </row>
    <row r="431" ht="16.5" customHeight="1">
      <c r="AT431" s="7"/>
      <c r="AU431" s="7"/>
      <c r="AV431" s="7"/>
      <c r="AW431" s="7"/>
      <c r="AX431" s="7"/>
      <c r="AY431" s="7"/>
      <c r="AZ431" s="7"/>
      <c r="BA431" s="7"/>
      <c r="BB431" s="7"/>
      <c r="BC431" s="7"/>
      <c r="BD431" s="7"/>
      <c r="BE431" s="7"/>
      <c r="BF431" s="7"/>
      <c r="BG431" s="7"/>
      <c r="BH431" s="7"/>
      <c r="BI431" s="7"/>
      <c r="BJ431" s="7"/>
      <c r="BK431" s="7"/>
      <c r="BL431" s="7"/>
      <c r="BM431" s="7"/>
      <c r="BN431" s="7"/>
      <c r="BO431" s="7"/>
      <c r="BP431" s="7"/>
      <c r="BQ431" s="7"/>
      <c r="BR431" s="7"/>
      <c r="BS431" s="7"/>
      <c r="BT431" s="7"/>
      <c r="BU431" s="7"/>
      <c r="BV431" s="7"/>
      <c r="BW431" s="7"/>
      <c r="BX431" s="7"/>
      <c r="BY431" s="7"/>
      <c r="BZ431" s="7"/>
    </row>
    <row r="432" ht="16.5" customHeight="1">
      <c r="AT432" s="7"/>
      <c r="AU432" s="7"/>
      <c r="AV432" s="7"/>
      <c r="AW432" s="7"/>
      <c r="AX432" s="7"/>
      <c r="AY432" s="7"/>
      <c r="AZ432" s="7"/>
      <c r="BA432" s="7"/>
      <c r="BB432" s="7"/>
      <c r="BC432" s="7"/>
      <c r="BD432" s="7"/>
      <c r="BE432" s="7"/>
      <c r="BF432" s="7"/>
      <c r="BG432" s="7"/>
      <c r="BH432" s="7"/>
      <c r="BI432" s="7"/>
      <c r="BJ432" s="7"/>
      <c r="BK432" s="7"/>
      <c r="BL432" s="7"/>
      <c r="BM432" s="7"/>
      <c r="BN432" s="7"/>
      <c r="BO432" s="7"/>
      <c r="BP432" s="7"/>
      <c r="BQ432" s="7"/>
      <c r="BR432" s="7"/>
      <c r="BS432" s="7"/>
      <c r="BT432" s="7"/>
      <c r="BU432" s="7"/>
      <c r="BV432" s="7"/>
      <c r="BW432" s="7"/>
      <c r="BX432" s="7"/>
      <c r="BY432" s="7"/>
      <c r="BZ432" s="7"/>
    </row>
    <row r="433" ht="16.5" customHeight="1">
      <c r="AT433" s="7"/>
      <c r="AU433" s="7"/>
      <c r="AV433" s="7"/>
      <c r="AW433" s="7"/>
      <c r="AX433" s="7"/>
      <c r="AY433" s="7"/>
      <c r="AZ433" s="7"/>
      <c r="BA433" s="7"/>
      <c r="BB433" s="7"/>
      <c r="BC433" s="7"/>
      <c r="BD433" s="7"/>
      <c r="BE433" s="7"/>
      <c r="BF433" s="7"/>
      <c r="BG433" s="7"/>
      <c r="BH433" s="7"/>
      <c r="BI433" s="7"/>
      <c r="BJ433" s="7"/>
      <c r="BK433" s="7"/>
      <c r="BL433" s="7"/>
      <c r="BM433" s="7"/>
      <c r="BN433" s="7"/>
      <c r="BO433" s="7"/>
      <c r="BP433" s="7"/>
      <c r="BQ433" s="7"/>
      <c r="BR433" s="7"/>
      <c r="BS433" s="7"/>
      <c r="BT433" s="7"/>
      <c r="BU433" s="7"/>
      <c r="BV433" s="7"/>
      <c r="BW433" s="7"/>
      <c r="BX433" s="7"/>
      <c r="BY433" s="7"/>
      <c r="BZ433" s="7"/>
    </row>
    <row r="434" ht="16.5" customHeight="1">
      <c r="AT434" s="7"/>
      <c r="AU434" s="7"/>
      <c r="AV434" s="7"/>
      <c r="AW434" s="7"/>
      <c r="AX434" s="7"/>
      <c r="AY434" s="7"/>
      <c r="AZ434" s="7"/>
      <c r="BA434" s="7"/>
      <c r="BB434" s="7"/>
      <c r="BC434" s="7"/>
      <c r="BD434" s="7"/>
      <c r="BE434" s="7"/>
      <c r="BF434" s="7"/>
      <c r="BG434" s="7"/>
      <c r="BH434" s="7"/>
      <c r="BI434" s="7"/>
      <c r="BJ434" s="7"/>
      <c r="BK434" s="7"/>
      <c r="BL434" s="7"/>
      <c r="BM434" s="7"/>
      <c r="BN434" s="7"/>
      <c r="BO434" s="7"/>
      <c r="BP434" s="7"/>
      <c r="BQ434" s="7"/>
      <c r="BR434" s="7"/>
      <c r="BS434" s="7"/>
      <c r="BT434" s="7"/>
      <c r="BU434" s="7"/>
      <c r="BV434" s="7"/>
      <c r="BW434" s="7"/>
      <c r="BX434" s="7"/>
      <c r="BY434" s="7"/>
      <c r="BZ434" s="7"/>
    </row>
    <row r="435" ht="16.5" customHeight="1">
      <c r="AT435" s="7"/>
      <c r="AU435" s="7"/>
      <c r="AV435" s="7"/>
      <c r="AW435" s="7"/>
      <c r="AX435" s="7"/>
      <c r="AY435" s="7"/>
      <c r="AZ435" s="7"/>
      <c r="BA435" s="7"/>
      <c r="BB435" s="7"/>
      <c r="BC435" s="7"/>
      <c r="BD435" s="7"/>
      <c r="BE435" s="7"/>
      <c r="BF435" s="7"/>
      <c r="BG435" s="7"/>
      <c r="BH435" s="7"/>
      <c r="BI435" s="7"/>
      <c r="BJ435" s="7"/>
      <c r="BK435" s="7"/>
      <c r="BL435" s="7"/>
      <c r="BM435" s="7"/>
      <c r="BN435" s="7"/>
      <c r="BO435" s="7"/>
      <c r="BP435" s="7"/>
      <c r="BQ435" s="7"/>
      <c r="BR435" s="7"/>
      <c r="BS435" s="7"/>
      <c r="BT435" s="7"/>
      <c r="BU435" s="7"/>
      <c r="BV435" s="7"/>
      <c r="BW435" s="7"/>
      <c r="BX435" s="7"/>
      <c r="BY435" s="7"/>
      <c r="BZ435" s="7"/>
    </row>
    <row r="436" ht="16.5" customHeight="1">
      <c r="AT436" s="7"/>
      <c r="AU436" s="7"/>
      <c r="AV436" s="7"/>
      <c r="AW436" s="7"/>
      <c r="AX436" s="7"/>
      <c r="AY436" s="7"/>
      <c r="AZ436" s="7"/>
      <c r="BA436" s="7"/>
      <c r="BB436" s="7"/>
      <c r="BC436" s="7"/>
      <c r="BD436" s="7"/>
      <c r="BE436" s="7"/>
      <c r="BF436" s="7"/>
      <c r="BG436" s="7"/>
      <c r="BH436" s="7"/>
      <c r="BI436" s="7"/>
      <c r="BJ436" s="7"/>
      <c r="BK436" s="7"/>
      <c r="BL436" s="7"/>
      <c r="BM436" s="7"/>
      <c r="BN436" s="7"/>
      <c r="BO436" s="7"/>
      <c r="BP436" s="7"/>
      <c r="BQ436" s="7"/>
      <c r="BR436" s="7"/>
      <c r="BS436" s="7"/>
      <c r="BT436" s="7"/>
      <c r="BU436" s="7"/>
      <c r="BV436" s="7"/>
      <c r="BW436" s="7"/>
      <c r="BX436" s="7"/>
      <c r="BY436" s="7"/>
      <c r="BZ436" s="7"/>
    </row>
    <row r="437" ht="16.5" customHeight="1">
      <c r="AT437" s="7"/>
      <c r="AU437" s="7"/>
      <c r="AV437" s="7"/>
      <c r="AW437" s="7"/>
      <c r="AX437" s="7"/>
      <c r="AY437" s="7"/>
      <c r="AZ437" s="7"/>
      <c r="BA437" s="7"/>
      <c r="BB437" s="7"/>
      <c r="BC437" s="7"/>
      <c r="BD437" s="7"/>
      <c r="BE437" s="7"/>
      <c r="BF437" s="7"/>
      <c r="BG437" s="7"/>
      <c r="BH437" s="7"/>
      <c r="BI437" s="7"/>
      <c r="BJ437" s="7"/>
      <c r="BK437" s="7"/>
      <c r="BL437" s="7"/>
      <c r="BM437" s="7"/>
      <c r="BN437" s="7"/>
      <c r="BO437" s="7"/>
      <c r="BP437" s="7"/>
      <c r="BQ437" s="7"/>
      <c r="BR437" s="7"/>
      <c r="BS437" s="7"/>
      <c r="BT437" s="7"/>
      <c r="BU437" s="7"/>
      <c r="BV437" s="7"/>
      <c r="BW437" s="7"/>
      <c r="BX437" s="7"/>
      <c r="BY437" s="7"/>
      <c r="BZ437" s="7"/>
    </row>
    <row r="438" ht="16.5" customHeight="1">
      <c r="AT438" s="7"/>
      <c r="AU438" s="7"/>
      <c r="AV438" s="7"/>
      <c r="AW438" s="7"/>
      <c r="AX438" s="7"/>
      <c r="AY438" s="7"/>
      <c r="AZ438" s="7"/>
      <c r="BA438" s="7"/>
      <c r="BB438" s="7"/>
      <c r="BC438" s="7"/>
      <c r="BD438" s="7"/>
      <c r="BE438" s="7"/>
      <c r="BF438" s="7"/>
      <c r="BG438" s="7"/>
      <c r="BH438" s="7"/>
      <c r="BI438" s="7"/>
      <c r="BJ438" s="7"/>
      <c r="BK438" s="7"/>
      <c r="BL438" s="7"/>
      <c r="BM438" s="7"/>
      <c r="BN438" s="7"/>
      <c r="BO438" s="7"/>
      <c r="BP438" s="7"/>
      <c r="BQ438" s="7"/>
      <c r="BR438" s="7"/>
      <c r="BS438" s="7"/>
      <c r="BT438" s="7"/>
      <c r="BU438" s="7"/>
      <c r="BV438" s="7"/>
      <c r="BW438" s="7"/>
      <c r="BX438" s="7"/>
      <c r="BY438" s="7"/>
      <c r="BZ438" s="7"/>
    </row>
    <row r="439" ht="16.5" customHeight="1">
      <c r="AT439" s="7"/>
      <c r="AU439" s="7"/>
      <c r="AV439" s="7"/>
      <c r="AW439" s="7"/>
      <c r="AX439" s="7"/>
      <c r="AY439" s="7"/>
      <c r="AZ439" s="7"/>
      <c r="BA439" s="7"/>
      <c r="BB439" s="7"/>
      <c r="BC439" s="7"/>
      <c r="BD439" s="7"/>
      <c r="BE439" s="7"/>
      <c r="BF439" s="7"/>
      <c r="BG439" s="7"/>
      <c r="BH439" s="7"/>
      <c r="BI439" s="7"/>
      <c r="BJ439" s="7"/>
      <c r="BK439" s="7"/>
      <c r="BL439" s="7"/>
      <c r="BM439" s="7"/>
      <c r="BN439" s="7"/>
      <c r="BO439" s="7"/>
      <c r="BP439" s="7"/>
      <c r="BQ439" s="7"/>
      <c r="BR439" s="7"/>
      <c r="BS439" s="7"/>
      <c r="BT439" s="7"/>
      <c r="BU439" s="7"/>
      <c r="BV439" s="7"/>
      <c r="BW439" s="7"/>
      <c r="BX439" s="7"/>
      <c r="BY439" s="7"/>
      <c r="BZ439" s="7"/>
    </row>
    <row r="440" ht="16.5" customHeight="1">
      <c r="AT440" s="7"/>
      <c r="AU440" s="7"/>
      <c r="AV440" s="7"/>
      <c r="AW440" s="7"/>
      <c r="AX440" s="7"/>
      <c r="AY440" s="7"/>
      <c r="AZ440" s="7"/>
      <c r="BA440" s="7"/>
      <c r="BB440" s="7"/>
      <c r="BC440" s="7"/>
      <c r="BD440" s="7"/>
      <c r="BE440" s="7"/>
      <c r="BF440" s="7"/>
      <c r="BG440" s="7"/>
      <c r="BH440" s="7"/>
      <c r="BI440" s="7"/>
      <c r="BJ440" s="7"/>
      <c r="BK440" s="7"/>
      <c r="BL440" s="7"/>
      <c r="BM440" s="7"/>
      <c r="BN440" s="7"/>
      <c r="BO440" s="7"/>
      <c r="BP440" s="7"/>
      <c r="BQ440" s="7"/>
      <c r="BR440" s="7"/>
      <c r="BS440" s="7"/>
      <c r="BT440" s="7"/>
      <c r="BU440" s="7"/>
      <c r="BV440" s="7"/>
      <c r="BW440" s="7"/>
      <c r="BX440" s="7"/>
      <c r="BY440" s="7"/>
      <c r="BZ440" s="7"/>
    </row>
    <row r="441" ht="16.5" customHeight="1">
      <c r="AT441" s="7"/>
      <c r="AU441" s="7"/>
      <c r="AV441" s="7"/>
      <c r="AW441" s="7"/>
      <c r="AX441" s="7"/>
      <c r="AY441" s="7"/>
      <c r="AZ441" s="7"/>
      <c r="BA441" s="7"/>
      <c r="BB441" s="7"/>
      <c r="BC441" s="7"/>
      <c r="BD441" s="7"/>
      <c r="BE441" s="7"/>
      <c r="BF441" s="7"/>
      <c r="BG441" s="7"/>
      <c r="BH441" s="7"/>
      <c r="BI441" s="7"/>
      <c r="BJ441" s="7"/>
      <c r="BK441" s="7"/>
      <c r="BL441" s="7"/>
      <c r="BM441" s="7"/>
      <c r="BN441" s="7"/>
      <c r="BO441" s="7"/>
      <c r="BP441" s="7"/>
      <c r="BQ441" s="7"/>
      <c r="BR441" s="7"/>
      <c r="BS441" s="7"/>
      <c r="BT441" s="7"/>
      <c r="BU441" s="7"/>
      <c r="BV441" s="7"/>
      <c r="BW441" s="7"/>
      <c r="BX441" s="7"/>
      <c r="BY441" s="7"/>
      <c r="BZ441" s="7"/>
    </row>
    <row r="442" ht="16.5" customHeight="1">
      <c r="AT442" s="7"/>
      <c r="AU442" s="7"/>
      <c r="AV442" s="7"/>
      <c r="AW442" s="7"/>
      <c r="AX442" s="7"/>
      <c r="AY442" s="7"/>
      <c r="AZ442" s="7"/>
      <c r="BA442" s="7"/>
      <c r="BB442" s="7"/>
      <c r="BC442" s="7"/>
      <c r="BD442" s="7"/>
      <c r="BE442" s="7"/>
      <c r="BF442" s="7"/>
      <c r="BG442" s="7"/>
      <c r="BH442" s="7"/>
      <c r="BI442" s="7"/>
      <c r="BJ442" s="7"/>
      <c r="BK442" s="7"/>
      <c r="BL442" s="7"/>
      <c r="BM442" s="7"/>
      <c r="BN442" s="7"/>
      <c r="BO442" s="7"/>
      <c r="BP442" s="7"/>
      <c r="BQ442" s="7"/>
      <c r="BR442" s="7"/>
      <c r="BS442" s="7"/>
      <c r="BT442" s="7"/>
      <c r="BU442" s="7"/>
      <c r="BV442" s="7"/>
      <c r="BW442" s="7"/>
      <c r="BX442" s="7"/>
      <c r="BY442" s="7"/>
      <c r="BZ442" s="7"/>
    </row>
    <row r="443" ht="16.5" customHeight="1">
      <c r="AT443" s="7"/>
      <c r="AU443" s="7"/>
      <c r="AV443" s="7"/>
      <c r="AW443" s="7"/>
      <c r="AX443" s="7"/>
      <c r="AY443" s="7"/>
      <c r="AZ443" s="7"/>
      <c r="BA443" s="7"/>
      <c r="BB443" s="7"/>
      <c r="BC443" s="7"/>
      <c r="BD443" s="7"/>
      <c r="BE443" s="7"/>
      <c r="BF443" s="7"/>
      <c r="BG443" s="7"/>
      <c r="BH443" s="7"/>
      <c r="BI443" s="7"/>
      <c r="BJ443" s="7"/>
      <c r="BK443" s="7"/>
      <c r="BL443" s="7"/>
      <c r="BM443" s="7"/>
      <c r="BN443" s="7"/>
      <c r="BO443" s="7"/>
      <c r="BP443" s="7"/>
      <c r="BQ443" s="7"/>
      <c r="BR443" s="7"/>
      <c r="BS443" s="7"/>
      <c r="BT443" s="7"/>
      <c r="BU443" s="7"/>
      <c r="BV443" s="7"/>
      <c r="BW443" s="7"/>
      <c r="BX443" s="7"/>
      <c r="BY443" s="7"/>
      <c r="BZ443" s="7"/>
    </row>
    <row r="444" ht="16.5" customHeight="1">
      <c r="AT444" s="7"/>
      <c r="AU444" s="7"/>
      <c r="AV444" s="7"/>
      <c r="AW444" s="7"/>
      <c r="AX444" s="7"/>
      <c r="AY444" s="7"/>
      <c r="AZ444" s="7"/>
      <c r="BA444" s="7"/>
      <c r="BB444" s="7"/>
      <c r="BC444" s="7"/>
      <c r="BD444" s="7"/>
      <c r="BE444" s="7"/>
      <c r="BF444" s="7"/>
      <c r="BG444" s="7"/>
      <c r="BH444" s="7"/>
      <c r="BI444" s="7"/>
      <c r="BJ444" s="7"/>
      <c r="BK444" s="7"/>
      <c r="BL444" s="7"/>
      <c r="BM444" s="7"/>
      <c r="BN444" s="7"/>
      <c r="BO444" s="7"/>
      <c r="BP444" s="7"/>
      <c r="BQ444" s="7"/>
      <c r="BR444" s="7"/>
      <c r="BS444" s="7"/>
      <c r="BT444" s="7"/>
      <c r="BU444" s="7"/>
      <c r="BV444" s="7"/>
      <c r="BW444" s="7"/>
      <c r="BX444" s="7"/>
      <c r="BY444" s="7"/>
      <c r="BZ444" s="7"/>
    </row>
    <row r="445" ht="16.5" customHeight="1">
      <c r="AT445" s="7"/>
      <c r="AU445" s="7"/>
      <c r="AV445" s="7"/>
      <c r="AW445" s="7"/>
      <c r="AX445" s="7"/>
      <c r="AY445" s="7"/>
      <c r="AZ445" s="7"/>
      <c r="BA445" s="7"/>
      <c r="BB445" s="7"/>
      <c r="BC445" s="7"/>
      <c r="BD445" s="7"/>
      <c r="BE445" s="7"/>
      <c r="BF445" s="7"/>
      <c r="BG445" s="7"/>
      <c r="BH445" s="7"/>
      <c r="BI445" s="7"/>
      <c r="BJ445" s="7"/>
      <c r="BK445" s="7"/>
      <c r="BL445" s="7"/>
      <c r="BM445" s="7"/>
      <c r="BN445" s="7"/>
      <c r="BO445" s="7"/>
      <c r="BP445" s="7"/>
      <c r="BQ445" s="7"/>
      <c r="BR445" s="7"/>
      <c r="BS445" s="7"/>
      <c r="BT445" s="7"/>
      <c r="BU445" s="7"/>
      <c r="BV445" s="7"/>
      <c r="BW445" s="7"/>
      <c r="BX445" s="7"/>
      <c r="BY445" s="7"/>
      <c r="BZ445" s="7"/>
    </row>
    <row r="446" ht="16.5" customHeight="1">
      <c r="AT446" s="7"/>
      <c r="AU446" s="7"/>
      <c r="AV446" s="7"/>
      <c r="AW446" s="7"/>
      <c r="AX446" s="7"/>
      <c r="AY446" s="7"/>
      <c r="AZ446" s="7"/>
      <c r="BA446" s="7"/>
      <c r="BB446" s="7"/>
      <c r="BC446" s="7"/>
      <c r="BD446" s="7"/>
      <c r="BE446" s="7"/>
      <c r="BF446" s="7"/>
      <c r="BG446" s="7"/>
      <c r="BH446" s="7"/>
      <c r="BI446" s="7"/>
      <c r="BJ446" s="7"/>
      <c r="BK446" s="7"/>
      <c r="BL446" s="7"/>
      <c r="BM446" s="7"/>
      <c r="BN446" s="7"/>
      <c r="BO446" s="7"/>
      <c r="BP446" s="7"/>
      <c r="BQ446" s="7"/>
      <c r="BR446" s="7"/>
      <c r="BS446" s="7"/>
      <c r="BT446" s="7"/>
      <c r="BU446" s="7"/>
      <c r="BV446" s="7"/>
      <c r="BW446" s="7"/>
      <c r="BX446" s="7"/>
      <c r="BY446" s="7"/>
      <c r="BZ446" s="7"/>
    </row>
    <row r="447" ht="16.5" customHeight="1">
      <c r="AT447" s="7"/>
      <c r="AU447" s="7"/>
      <c r="AV447" s="7"/>
      <c r="AW447" s="7"/>
      <c r="AX447" s="7"/>
      <c r="AY447" s="7"/>
      <c r="AZ447" s="7"/>
      <c r="BA447" s="7"/>
      <c r="BB447" s="7"/>
      <c r="BC447" s="7"/>
      <c r="BD447" s="7"/>
      <c r="BE447" s="7"/>
      <c r="BF447" s="7"/>
      <c r="BG447" s="7"/>
      <c r="BH447" s="7"/>
      <c r="BI447" s="7"/>
      <c r="BJ447" s="7"/>
      <c r="BK447" s="7"/>
      <c r="BL447" s="7"/>
      <c r="BM447" s="7"/>
      <c r="BN447" s="7"/>
      <c r="BO447" s="7"/>
      <c r="BP447" s="7"/>
      <c r="BQ447" s="7"/>
      <c r="BR447" s="7"/>
      <c r="BS447" s="7"/>
      <c r="BT447" s="7"/>
      <c r="BU447" s="7"/>
      <c r="BV447" s="7"/>
      <c r="BW447" s="7"/>
      <c r="BX447" s="7"/>
      <c r="BY447" s="7"/>
      <c r="BZ447" s="7"/>
    </row>
    <row r="448" ht="16.5" customHeight="1">
      <c r="AT448" s="7"/>
      <c r="AU448" s="7"/>
      <c r="AV448" s="7"/>
      <c r="AW448" s="7"/>
      <c r="AX448" s="7"/>
      <c r="AY448" s="7"/>
      <c r="AZ448" s="7"/>
      <c r="BA448" s="7"/>
      <c r="BB448" s="7"/>
      <c r="BC448" s="7"/>
      <c r="BD448" s="7"/>
      <c r="BE448" s="7"/>
      <c r="BF448" s="7"/>
      <c r="BG448" s="7"/>
      <c r="BH448" s="7"/>
      <c r="BI448" s="7"/>
      <c r="BJ448" s="7"/>
      <c r="BK448" s="7"/>
      <c r="BL448" s="7"/>
      <c r="BM448" s="7"/>
      <c r="BN448" s="7"/>
      <c r="BO448" s="7"/>
      <c r="BP448" s="7"/>
      <c r="BQ448" s="7"/>
      <c r="BR448" s="7"/>
      <c r="BS448" s="7"/>
      <c r="BT448" s="7"/>
      <c r="BU448" s="7"/>
      <c r="BV448" s="7"/>
      <c r="BW448" s="7"/>
      <c r="BX448" s="7"/>
      <c r="BY448" s="7"/>
      <c r="BZ448" s="7"/>
    </row>
    <row r="449" ht="16.5" customHeight="1">
      <c r="AT449" s="7"/>
      <c r="AU449" s="7"/>
      <c r="AV449" s="7"/>
      <c r="AW449" s="7"/>
      <c r="AX449" s="7"/>
      <c r="AY449" s="7"/>
      <c r="AZ449" s="7"/>
      <c r="BA449" s="7"/>
      <c r="BB449" s="7"/>
      <c r="BC449" s="7"/>
      <c r="BD449" s="7"/>
      <c r="BE449" s="7"/>
      <c r="BF449" s="7"/>
      <c r="BG449" s="7"/>
      <c r="BH449" s="7"/>
      <c r="BI449" s="7"/>
      <c r="BJ449" s="7"/>
      <c r="BK449" s="7"/>
      <c r="BL449" s="7"/>
      <c r="BM449" s="7"/>
      <c r="BN449" s="7"/>
      <c r="BO449" s="7"/>
      <c r="BP449" s="7"/>
      <c r="BQ449" s="7"/>
      <c r="BR449" s="7"/>
      <c r="BS449" s="7"/>
      <c r="BT449" s="7"/>
      <c r="BU449" s="7"/>
      <c r="BV449" s="7"/>
      <c r="BW449" s="7"/>
      <c r="BX449" s="7"/>
      <c r="BY449" s="7"/>
      <c r="BZ449" s="7"/>
    </row>
    <row r="450" ht="16.5" customHeight="1">
      <c r="AT450" s="7"/>
      <c r="AU450" s="7"/>
      <c r="AV450" s="7"/>
      <c r="AW450" s="7"/>
      <c r="AX450" s="7"/>
      <c r="AY450" s="7"/>
      <c r="AZ450" s="7"/>
      <c r="BA450" s="7"/>
      <c r="BB450" s="7"/>
      <c r="BC450" s="7"/>
      <c r="BD450" s="7"/>
      <c r="BE450" s="7"/>
      <c r="BF450" s="7"/>
      <c r="BG450" s="7"/>
      <c r="BH450" s="7"/>
      <c r="BI450" s="7"/>
      <c r="BJ450" s="7"/>
      <c r="BK450" s="7"/>
      <c r="BL450" s="7"/>
      <c r="BM450" s="7"/>
      <c r="BN450" s="7"/>
      <c r="BO450" s="7"/>
      <c r="BP450" s="7"/>
      <c r="BQ450" s="7"/>
      <c r="BR450" s="7"/>
      <c r="BS450" s="7"/>
      <c r="BT450" s="7"/>
      <c r="BU450" s="7"/>
      <c r="BV450" s="7"/>
      <c r="BW450" s="7"/>
      <c r="BX450" s="7"/>
      <c r="BY450" s="7"/>
      <c r="BZ450" s="7"/>
    </row>
    <row r="451" ht="16.5" customHeight="1">
      <c r="AT451" s="7"/>
      <c r="AU451" s="7"/>
      <c r="AV451" s="7"/>
      <c r="AW451" s="7"/>
      <c r="AX451" s="7"/>
      <c r="AY451" s="7"/>
      <c r="AZ451" s="7"/>
      <c r="BA451" s="7"/>
      <c r="BB451" s="7"/>
      <c r="BC451" s="7"/>
      <c r="BD451" s="7"/>
      <c r="BE451" s="7"/>
      <c r="BF451" s="7"/>
      <c r="BG451" s="7"/>
      <c r="BH451" s="7"/>
      <c r="BI451" s="7"/>
      <c r="BJ451" s="7"/>
      <c r="BK451" s="7"/>
      <c r="BL451" s="7"/>
      <c r="BM451" s="7"/>
      <c r="BN451" s="7"/>
      <c r="BO451" s="7"/>
      <c r="BP451" s="7"/>
      <c r="BQ451" s="7"/>
      <c r="BR451" s="7"/>
      <c r="BS451" s="7"/>
      <c r="BT451" s="7"/>
      <c r="BU451" s="7"/>
      <c r="BV451" s="7"/>
      <c r="BW451" s="7"/>
      <c r="BX451" s="7"/>
      <c r="BY451" s="7"/>
      <c r="BZ451" s="7"/>
    </row>
    <row r="452" ht="16.5" customHeight="1">
      <c r="AT452" s="7"/>
      <c r="AU452" s="7"/>
      <c r="AV452" s="7"/>
      <c r="AW452" s="7"/>
      <c r="AX452" s="7"/>
      <c r="AY452" s="7"/>
      <c r="AZ452" s="7"/>
      <c r="BA452" s="7"/>
      <c r="BB452" s="7"/>
      <c r="BC452" s="7"/>
      <c r="BD452" s="7"/>
      <c r="BE452" s="7"/>
      <c r="BF452" s="7"/>
      <c r="BG452" s="7"/>
      <c r="BH452" s="7"/>
      <c r="BI452" s="7"/>
      <c r="BJ452" s="7"/>
      <c r="BK452" s="7"/>
      <c r="BL452" s="7"/>
      <c r="BM452" s="7"/>
      <c r="BN452" s="7"/>
      <c r="BO452" s="7"/>
      <c r="BP452" s="7"/>
      <c r="BQ452" s="7"/>
      <c r="BR452" s="7"/>
      <c r="BS452" s="7"/>
      <c r="BT452" s="7"/>
      <c r="BU452" s="7"/>
      <c r="BV452" s="7"/>
      <c r="BW452" s="7"/>
      <c r="BX452" s="7"/>
      <c r="BY452" s="7"/>
      <c r="BZ452" s="7"/>
    </row>
    <row r="453" ht="16.5" customHeight="1">
      <c r="AT453" s="7"/>
      <c r="AU453" s="7"/>
      <c r="AV453" s="7"/>
      <c r="AW453" s="7"/>
      <c r="AX453" s="7"/>
      <c r="AY453" s="7"/>
      <c r="AZ453" s="7"/>
      <c r="BA453" s="7"/>
      <c r="BB453" s="7"/>
      <c r="BC453" s="7"/>
      <c r="BD453" s="7"/>
      <c r="BE453" s="7"/>
      <c r="BF453" s="7"/>
      <c r="BG453" s="7"/>
      <c r="BH453" s="7"/>
      <c r="BI453" s="7"/>
      <c r="BJ453" s="7"/>
      <c r="BK453" s="7"/>
      <c r="BL453" s="7"/>
      <c r="BM453" s="7"/>
      <c r="BN453" s="7"/>
      <c r="BO453" s="7"/>
      <c r="BP453" s="7"/>
      <c r="BQ453" s="7"/>
      <c r="BR453" s="7"/>
      <c r="BS453" s="7"/>
      <c r="BT453" s="7"/>
      <c r="BU453" s="7"/>
      <c r="BV453" s="7"/>
      <c r="BW453" s="7"/>
      <c r="BX453" s="7"/>
      <c r="BY453" s="7"/>
      <c r="BZ453" s="7"/>
    </row>
    <row r="454" ht="16.5" customHeight="1">
      <c r="AT454" s="7"/>
      <c r="AU454" s="7"/>
      <c r="AV454" s="7"/>
      <c r="AW454" s="7"/>
      <c r="AX454" s="7"/>
      <c r="AY454" s="7"/>
      <c r="AZ454" s="7"/>
      <c r="BA454" s="7"/>
      <c r="BB454" s="7"/>
      <c r="BC454" s="7"/>
      <c r="BD454" s="7"/>
      <c r="BE454" s="7"/>
      <c r="BF454" s="7"/>
      <c r="BG454" s="7"/>
      <c r="BH454" s="7"/>
      <c r="BI454" s="7"/>
      <c r="BJ454" s="7"/>
      <c r="BK454" s="7"/>
      <c r="BL454" s="7"/>
      <c r="BM454" s="7"/>
      <c r="BN454" s="7"/>
      <c r="BO454" s="7"/>
      <c r="BP454" s="7"/>
      <c r="BQ454" s="7"/>
      <c r="BR454" s="7"/>
      <c r="BS454" s="7"/>
      <c r="BT454" s="7"/>
      <c r="BU454" s="7"/>
      <c r="BV454" s="7"/>
      <c r="BW454" s="7"/>
      <c r="BX454" s="7"/>
      <c r="BY454" s="7"/>
      <c r="BZ454" s="7"/>
    </row>
    <row r="455" ht="16.5" customHeight="1">
      <c r="AT455" s="7"/>
      <c r="AU455" s="7"/>
      <c r="AV455" s="7"/>
      <c r="AW455" s="7"/>
      <c r="AX455" s="7"/>
      <c r="AY455" s="7"/>
      <c r="AZ455" s="7"/>
      <c r="BA455" s="7"/>
      <c r="BB455" s="7"/>
      <c r="BC455" s="7"/>
      <c r="BD455" s="7"/>
      <c r="BE455" s="7"/>
      <c r="BF455" s="7"/>
      <c r="BG455" s="7"/>
      <c r="BH455" s="7"/>
      <c r="BI455" s="7"/>
      <c r="BJ455" s="7"/>
      <c r="BK455" s="7"/>
      <c r="BL455" s="7"/>
      <c r="BM455" s="7"/>
      <c r="BN455" s="7"/>
      <c r="BO455" s="7"/>
      <c r="BP455" s="7"/>
      <c r="BQ455" s="7"/>
      <c r="BR455" s="7"/>
      <c r="BS455" s="7"/>
      <c r="BT455" s="7"/>
      <c r="BU455" s="7"/>
      <c r="BV455" s="7"/>
      <c r="BW455" s="7"/>
      <c r="BX455" s="7"/>
      <c r="BY455" s="7"/>
      <c r="BZ455" s="7"/>
    </row>
    <row r="456" ht="16.5" customHeight="1">
      <c r="AT456" s="7"/>
      <c r="AU456" s="7"/>
      <c r="AV456" s="7"/>
      <c r="AW456" s="7"/>
      <c r="AX456" s="7"/>
      <c r="AY456" s="7"/>
      <c r="AZ456" s="7"/>
      <c r="BA456" s="7"/>
      <c r="BB456" s="7"/>
      <c r="BC456" s="7"/>
      <c r="BD456" s="7"/>
      <c r="BE456" s="7"/>
      <c r="BF456" s="7"/>
      <c r="BG456" s="7"/>
      <c r="BH456" s="7"/>
      <c r="BI456" s="7"/>
      <c r="BJ456" s="7"/>
      <c r="BK456" s="7"/>
      <c r="BL456" s="7"/>
      <c r="BM456" s="7"/>
      <c r="BN456" s="7"/>
      <c r="BO456" s="7"/>
      <c r="BP456" s="7"/>
      <c r="BQ456" s="7"/>
      <c r="BR456" s="7"/>
      <c r="BS456" s="7"/>
      <c r="BT456" s="7"/>
      <c r="BU456" s="7"/>
      <c r="BV456" s="7"/>
      <c r="BW456" s="7"/>
      <c r="BX456" s="7"/>
      <c r="BY456" s="7"/>
      <c r="BZ456" s="7"/>
    </row>
    <row r="457" ht="16.5" customHeight="1">
      <c r="AT457" s="7"/>
      <c r="AU457" s="7"/>
      <c r="AV457" s="7"/>
      <c r="AW457" s="7"/>
      <c r="AX457" s="7"/>
      <c r="AY457" s="7"/>
      <c r="AZ457" s="7"/>
      <c r="BA457" s="7"/>
      <c r="BB457" s="7"/>
      <c r="BC457" s="7"/>
      <c r="BD457" s="7"/>
      <c r="BE457" s="7"/>
      <c r="BF457" s="7"/>
      <c r="BG457" s="7"/>
      <c r="BH457" s="7"/>
      <c r="BI457" s="7"/>
      <c r="BJ457" s="7"/>
      <c r="BK457" s="7"/>
      <c r="BL457" s="7"/>
      <c r="BM457" s="7"/>
      <c r="BN457" s="7"/>
      <c r="BO457" s="7"/>
      <c r="BP457" s="7"/>
      <c r="BQ457" s="7"/>
      <c r="BR457" s="7"/>
      <c r="BS457" s="7"/>
      <c r="BT457" s="7"/>
      <c r="BU457" s="7"/>
      <c r="BV457" s="7"/>
      <c r="BW457" s="7"/>
      <c r="BX457" s="7"/>
      <c r="BY457" s="7"/>
      <c r="BZ457" s="7"/>
    </row>
    <row r="458" ht="16.5" customHeight="1">
      <c r="AT458" s="7"/>
      <c r="AU458" s="7"/>
      <c r="AV458" s="7"/>
      <c r="AW458" s="7"/>
      <c r="AX458" s="7"/>
      <c r="AY458" s="7"/>
      <c r="AZ458" s="7"/>
      <c r="BA458" s="7"/>
      <c r="BB458" s="7"/>
      <c r="BC458" s="7"/>
      <c r="BD458" s="7"/>
      <c r="BE458" s="7"/>
      <c r="BF458" s="7"/>
      <c r="BG458" s="7"/>
      <c r="BH458" s="7"/>
      <c r="BI458" s="7"/>
      <c r="BJ458" s="7"/>
      <c r="BK458" s="7"/>
      <c r="BL458" s="7"/>
      <c r="BM458" s="7"/>
      <c r="BN458" s="7"/>
      <c r="BO458" s="7"/>
      <c r="BP458" s="7"/>
      <c r="BQ458" s="7"/>
      <c r="BR458" s="7"/>
      <c r="BS458" s="7"/>
      <c r="BT458" s="7"/>
      <c r="BU458" s="7"/>
      <c r="BV458" s="7"/>
      <c r="BW458" s="7"/>
      <c r="BX458" s="7"/>
      <c r="BY458" s="7"/>
      <c r="BZ458" s="7"/>
    </row>
    <row r="459" ht="16.5" customHeight="1">
      <c r="AT459" s="7"/>
      <c r="AU459" s="7"/>
      <c r="AV459" s="7"/>
      <c r="AW459" s="7"/>
      <c r="AX459" s="7"/>
      <c r="AY459" s="7"/>
      <c r="AZ459" s="7"/>
      <c r="BA459" s="7"/>
      <c r="BB459" s="7"/>
      <c r="BC459" s="7"/>
      <c r="BD459" s="7"/>
      <c r="BE459" s="7"/>
      <c r="BF459" s="7"/>
      <c r="BG459" s="7"/>
      <c r="BH459" s="7"/>
      <c r="BI459" s="7"/>
      <c r="BJ459" s="7"/>
      <c r="BK459" s="7"/>
      <c r="BL459" s="7"/>
      <c r="BM459" s="7"/>
      <c r="BN459" s="7"/>
      <c r="BO459" s="7"/>
      <c r="BP459" s="7"/>
      <c r="BQ459" s="7"/>
      <c r="BR459" s="7"/>
      <c r="BS459" s="7"/>
      <c r="BT459" s="7"/>
      <c r="BU459" s="7"/>
      <c r="BV459" s="7"/>
      <c r="BW459" s="7"/>
      <c r="BX459" s="7"/>
      <c r="BY459" s="7"/>
      <c r="BZ459" s="7"/>
    </row>
    <row r="460" ht="16.5" customHeight="1">
      <c r="AT460" s="7"/>
      <c r="AU460" s="7"/>
      <c r="AV460" s="7"/>
      <c r="AW460" s="7"/>
      <c r="AX460" s="7"/>
      <c r="AY460" s="7"/>
      <c r="AZ460" s="7"/>
      <c r="BA460" s="7"/>
      <c r="BB460" s="7"/>
      <c r="BC460" s="7"/>
      <c r="BD460" s="7"/>
      <c r="BE460" s="7"/>
      <c r="BF460" s="7"/>
      <c r="BG460" s="7"/>
      <c r="BH460" s="7"/>
      <c r="BI460" s="7"/>
      <c r="BJ460" s="7"/>
      <c r="BK460" s="7"/>
      <c r="BL460" s="7"/>
      <c r="BM460" s="7"/>
      <c r="BN460" s="7"/>
      <c r="BO460" s="7"/>
      <c r="BP460" s="7"/>
      <c r="BQ460" s="7"/>
      <c r="BR460" s="7"/>
      <c r="BS460" s="7"/>
      <c r="BT460" s="7"/>
      <c r="BU460" s="7"/>
      <c r="BV460" s="7"/>
      <c r="BW460" s="7"/>
      <c r="BX460" s="7"/>
      <c r="BY460" s="7"/>
      <c r="BZ460" s="7"/>
    </row>
    <row r="461" ht="16.5" customHeight="1">
      <c r="AT461" s="7"/>
      <c r="AU461" s="7"/>
      <c r="AV461" s="7"/>
      <c r="AW461" s="7"/>
      <c r="AX461" s="7"/>
      <c r="AY461" s="7"/>
      <c r="AZ461" s="7"/>
      <c r="BA461" s="7"/>
      <c r="BB461" s="7"/>
      <c r="BC461" s="7"/>
      <c r="BD461" s="7"/>
      <c r="BE461" s="7"/>
      <c r="BF461" s="7"/>
      <c r="BG461" s="7"/>
      <c r="BH461" s="7"/>
      <c r="BI461" s="7"/>
      <c r="BJ461" s="7"/>
      <c r="BK461" s="7"/>
      <c r="BL461" s="7"/>
      <c r="BM461" s="7"/>
      <c r="BN461" s="7"/>
      <c r="BO461" s="7"/>
      <c r="BP461" s="7"/>
      <c r="BQ461" s="7"/>
      <c r="BR461" s="7"/>
      <c r="BS461" s="7"/>
      <c r="BT461" s="7"/>
      <c r="BU461" s="7"/>
      <c r="BV461" s="7"/>
      <c r="BW461" s="7"/>
      <c r="BX461" s="7"/>
      <c r="BY461" s="7"/>
      <c r="BZ461" s="7"/>
    </row>
    <row r="462" ht="16.5" customHeight="1">
      <c r="AT462" s="7"/>
      <c r="AU462" s="7"/>
      <c r="AV462" s="7"/>
      <c r="AW462" s="7"/>
      <c r="AX462" s="7"/>
      <c r="AY462" s="7"/>
      <c r="AZ462" s="7"/>
      <c r="BA462" s="7"/>
      <c r="BB462" s="7"/>
      <c r="BC462" s="7"/>
      <c r="BD462" s="7"/>
      <c r="BE462" s="7"/>
      <c r="BF462" s="7"/>
      <c r="BG462" s="7"/>
      <c r="BH462" s="7"/>
      <c r="BI462" s="7"/>
      <c r="BJ462" s="7"/>
      <c r="BK462" s="7"/>
      <c r="BL462" s="7"/>
      <c r="BM462" s="7"/>
      <c r="BN462" s="7"/>
      <c r="BO462" s="7"/>
      <c r="BP462" s="7"/>
      <c r="BQ462" s="7"/>
      <c r="BR462" s="7"/>
      <c r="BS462" s="7"/>
      <c r="BT462" s="7"/>
      <c r="BU462" s="7"/>
      <c r="BV462" s="7"/>
      <c r="BW462" s="7"/>
      <c r="BX462" s="7"/>
      <c r="BY462" s="7"/>
      <c r="BZ462" s="7"/>
    </row>
    <row r="463" ht="16.5" customHeight="1">
      <c r="AT463" s="7"/>
      <c r="AU463" s="7"/>
      <c r="AV463" s="7"/>
      <c r="AW463" s="7"/>
      <c r="AX463" s="7"/>
      <c r="AY463" s="7"/>
      <c r="AZ463" s="7"/>
      <c r="BA463" s="7"/>
      <c r="BB463" s="7"/>
      <c r="BC463" s="7"/>
      <c r="BD463" s="7"/>
      <c r="BE463" s="7"/>
      <c r="BF463" s="7"/>
      <c r="BG463" s="7"/>
      <c r="BH463" s="7"/>
      <c r="BI463" s="7"/>
      <c r="BJ463" s="7"/>
      <c r="BK463" s="7"/>
      <c r="BL463" s="7"/>
      <c r="BM463" s="7"/>
      <c r="BN463" s="7"/>
      <c r="BO463" s="7"/>
      <c r="BP463" s="7"/>
      <c r="BQ463" s="7"/>
      <c r="BR463" s="7"/>
      <c r="BS463" s="7"/>
      <c r="BT463" s="7"/>
      <c r="BU463" s="7"/>
      <c r="BV463" s="7"/>
      <c r="BW463" s="7"/>
      <c r="BX463" s="7"/>
      <c r="BY463" s="7"/>
      <c r="BZ463" s="7"/>
    </row>
    <row r="464" ht="16.5" customHeight="1">
      <c r="AT464" s="7"/>
      <c r="AU464" s="7"/>
      <c r="AV464" s="7"/>
      <c r="AW464" s="7"/>
      <c r="AX464" s="7"/>
      <c r="AY464" s="7"/>
      <c r="AZ464" s="7"/>
      <c r="BA464" s="7"/>
      <c r="BB464" s="7"/>
      <c r="BC464" s="7"/>
      <c r="BD464" s="7"/>
      <c r="BE464" s="7"/>
      <c r="BF464" s="7"/>
      <c r="BG464" s="7"/>
      <c r="BH464" s="7"/>
      <c r="BI464" s="7"/>
      <c r="BJ464" s="7"/>
      <c r="BK464" s="7"/>
      <c r="BL464" s="7"/>
      <c r="BM464" s="7"/>
      <c r="BN464" s="7"/>
      <c r="BO464" s="7"/>
      <c r="BP464" s="7"/>
      <c r="BQ464" s="7"/>
      <c r="BR464" s="7"/>
      <c r="BS464" s="7"/>
      <c r="BT464" s="7"/>
      <c r="BU464" s="7"/>
      <c r="BV464" s="7"/>
      <c r="BW464" s="7"/>
      <c r="BX464" s="7"/>
      <c r="BY464" s="7"/>
      <c r="BZ464" s="7"/>
    </row>
    <row r="465" ht="16.5" customHeight="1">
      <c r="AT465" s="7"/>
      <c r="AU465" s="7"/>
      <c r="AV465" s="7"/>
      <c r="AW465" s="7"/>
      <c r="AX465" s="7"/>
      <c r="AY465" s="7"/>
      <c r="AZ465" s="7"/>
      <c r="BA465" s="7"/>
      <c r="BB465" s="7"/>
      <c r="BC465" s="7"/>
      <c r="BD465" s="7"/>
      <c r="BE465" s="7"/>
      <c r="BF465" s="7"/>
      <c r="BG465" s="7"/>
      <c r="BH465" s="7"/>
      <c r="BI465" s="7"/>
      <c r="BJ465" s="7"/>
      <c r="BK465" s="7"/>
      <c r="BL465" s="7"/>
      <c r="BM465" s="7"/>
      <c r="BN465" s="7"/>
      <c r="BO465" s="7"/>
      <c r="BP465" s="7"/>
      <c r="BQ465" s="7"/>
      <c r="BR465" s="7"/>
      <c r="BS465" s="7"/>
      <c r="BT465" s="7"/>
      <c r="BU465" s="7"/>
      <c r="BV465" s="7"/>
      <c r="BW465" s="7"/>
      <c r="BX465" s="7"/>
      <c r="BY465" s="7"/>
      <c r="BZ465" s="7"/>
    </row>
    <row r="466" ht="16.5" customHeight="1">
      <c r="AT466" s="7"/>
      <c r="AU466" s="7"/>
      <c r="AV466" s="7"/>
      <c r="AW466" s="7"/>
      <c r="AX466" s="7"/>
      <c r="AY466" s="7"/>
      <c r="AZ466" s="7"/>
      <c r="BA466" s="7"/>
      <c r="BB466" s="7"/>
      <c r="BC466" s="7"/>
      <c r="BD466" s="7"/>
      <c r="BE466" s="7"/>
      <c r="BF466" s="7"/>
      <c r="BG466" s="7"/>
      <c r="BH466" s="7"/>
      <c r="BI466" s="7"/>
      <c r="BJ466" s="7"/>
      <c r="BK466" s="7"/>
      <c r="BL466" s="7"/>
      <c r="BM466" s="7"/>
      <c r="BN466" s="7"/>
      <c r="BO466" s="7"/>
      <c r="BP466" s="7"/>
      <c r="BQ466" s="7"/>
      <c r="BR466" s="7"/>
      <c r="BS466" s="7"/>
      <c r="BT466" s="7"/>
      <c r="BU466" s="7"/>
      <c r="BV466" s="7"/>
      <c r="BW466" s="7"/>
      <c r="BX466" s="7"/>
      <c r="BY466" s="7"/>
      <c r="BZ466" s="7"/>
    </row>
    <row r="467" ht="16.5" customHeight="1">
      <c r="AT467" s="7"/>
      <c r="AU467" s="7"/>
      <c r="AV467" s="7"/>
      <c r="AW467" s="7"/>
      <c r="AX467" s="7"/>
      <c r="AY467" s="7"/>
      <c r="AZ467" s="7"/>
      <c r="BA467" s="7"/>
      <c r="BB467" s="7"/>
      <c r="BC467" s="7"/>
      <c r="BD467" s="7"/>
      <c r="BE467" s="7"/>
      <c r="BF467" s="7"/>
      <c r="BG467" s="7"/>
      <c r="BH467" s="7"/>
      <c r="BI467" s="7"/>
      <c r="BJ467" s="7"/>
      <c r="BK467" s="7"/>
      <c r="BL467" s="7"/>
      <c r="BM467" s="7"/>
      <c r="BN467" s="7"/>
      <c r="BO467" s="7"/>
      <c r="BP467" s="7"/>
      <c r="BQ467" s="7"/>
      <c r="BR467" s="7"/>
      <c r="BS467" s="7"/>
      <c r="BT467" s="7"/>
      <c r="BU467" s="7"/>
      <c r="BV467" s="7"/>
      <c r="BW467" s="7"/>
      <c r="BX467" s="7"/>
      <c r="BY467" s="7"/>
      <c r="BZ467" s="7"/>
    </row>
    <row r="468" ht="16.5" customHeight="1">
      <c r="AT468" s="7"/>
      <c r="AU468" s="7"/>
      <c r="AV468" s="7"/>
      <c r="AW468" s="7"/>
      <c r="AX468" s="7"/>
      <c r="AY468" s="7"/>
      <c r="AZ468" s="7"/>
      <c r="BA468" s="7"/>
      <c r="BB468" s="7"/>
      <c r="BC468" s="7"/>
      <c r="BD468" s="7"/>
      <c r="BE468" s="7"/>
      <c r="BF468" s="7"/>
      <c r="BG468" s="7"/>
      <c r="BH468" s="7"/>
      <c r="BI468" s="7"/>
      <c r="BJ468" s="7"/>
      <c r="BK468" s="7"/>
      <c r="BL468" s="7"/>
      <c r="BM468" s="7"/>
      <c r="BN468" s="7"/>
      <c r="BO468" s="7"/>
      <c r="BP468" s="7"/>
      <c r="BQ468" s="7"/>
      <c r="BR468" s="7"/>
      <c r="BS468" s="7"/>
      <c r="BT468" s="7"/>
      <c r="BU468" s="7"/>
      <c r="BV468" s="7"/>
      <c r="BW468" s="7"/>
      <c r="BX468" s="7"/>
      <c r="BY468" s="7"/>
      <c r="BZ468" s="7"/>
    </row>
    <row r="469" ht="16.5" customHeight="1">
      <c r="AT469" s="7"/>
      <c r="AU469" s="7"/>
      <c r="AV469" s="7"/>
      <c r="AW469" s="7"/>
      <c r="AX469" s="7"/>
      <c r="AY469" s="7"/>
      <c r="AZ469" s="7"/>
      <c r="BA469" s="7"/>
      <c r="BB469" s="7"/>
      <c r="BC469" s="7"/>
      <c r="BD469" s="7"/>
      <c r="BE469" s="7"/>
      <c r="BF469" s="7"/>
      <c r="BG469" s="7"/>
      <c r="BH469" s="7"/>
      <c r="BI469" s="7"/>
      <c r="BJ469" s="7"/>
      <c r="BK469" s="7"/>
      <c r="BL469" s="7"/>
      <c r="BM469" s="7"/>
      <c r="BN469" s="7"/>
      <c r="BO469" s="7"/>
      <c r="BP469" s="7"/>
      <c r="BQ469" s="7"/>
      <c r="BR469" s="7"/>
      <c r="BS469" s="7"/>
      <c r="BT469" s="7"/>
      <c r="BU469" s="7"/>
      <c r="BV469" s="7"/>
      <c r="BW469" s="7"/>
      <c r="BX469" s="7"/>
      <c r="BY469" s="7"/>
      <c r="BZ469" s="7"/>
    </row>
    <row r="470" ht="16.5" customHeight="1">
      <c r="AT470" s="7"/>
      <c r="AU470" s="7"/>
      <c r="AV470" s="7"/>
      <c r="AW470" s="7"/>
      <c r="AX470" s="7"/>
      <c r="AY470" s="7"/>
      <c r="AZ470" s="7"/>
      <c r="BA470" s="7"/>
      <c r="BB470" s="7"/>
      <c r="BC470" s="7"/>
      <c r="BD470" s="7"/>
      <c r="BE470" s="7"/>
      <c r="BF470" s="7"/>
      <c r="BG470" s="7"/>
      <c r="BH470" s="7"/>
      <c r="BI470" s="7"/>
      <c r="BJ470" s="7"/>
      <c r="BK470" s="7"/>
      <c r="BL470" s="7"/>
      <c r="BM470" s="7"/>
      <c r="BN470" s="7"/>
      <c r="BO470" s="7"/>
      <c r="BP470" s="7"/>
      <c r="BQ470" s="7"/>
      <c r="BR470" s="7"/>
      <c r="BS470" s="7"/>
      <c r="BT470" s="7"/>
      <c r="BU470" s="7"/>
      <c r="BV470" s="7"/>
      <c r="BW470" s="7"/>
      <c r="BX470" s="7"/>
      <c r="BY470" s="7"/>
      <c r="BZ470" s="7"/>
    </row>
    <row r="471" ht="16.5" customHeight="1">
      <c r="AT471" s="7"/>
      <c r="AU471" s="7"/>
      <c r="AV471" s="7"/>
      <c r="AW471" s="7"/>
      <c r="AX471" s="7"/>
      <c r="AY471" s="7"/>
      <c r="AZ471" s="7"/>
      <c r="BA471" s="7"/>
      <c r="BB471" s="7"/>
      <c r="BC471" s="7"/>
      <c r="BD471" s="7"/>
      <c r="BE471" s="7"/>
      <c r="BF471" s="7"/>
      <c r="BG471" s="7"/>
      <c r="BH471" s="7"/>
      <c r="BI471" s="7"/>
      <c r="BJ471" s="7"/>
      <c r="BK471" s="7"/>
      <c r="BL471" s="7"/>
      <c r="BM471" s="7"/>
      <c r="BN471" s="7"/>
      <c r="BO471" s="7"/>
      <c r="BP471" s="7"/>
      <c r="BQ471" s="7"/>
      <c r="BR471" s="7"/>
      <c r="BS471" s="7"/>
      <c r="BT471" s="7"/>
      <c r="BU471" s="7"/>
      <c r="BV471" s="7"/>
      <c r="BW471" s="7"/>
      <c r="BX471" s="7"/>
      <c r="BY471" s="7"/>
      <c r="BZ471" s="7"/>
    </row>
    <row r="472" ht="16.5" customHeight="1">
      <c r="AT472" s="7"/>
      <c r="AU472" s="7"/>
      <c r="AV472" s="7"/>
      <c r="AW472" s="7"/>
      <c r="AX472" s="7"/>
      <c r="AY472" s="7"/>
      <c r="AZ472" s="7"/>
      <c r="BA472" s="7"/>
      <c r="BB472" s="7"/>
      <c r="BC472" s="7"/>
      <c r="BD472" s="7"/>
      <c r="BE472" s="7"/>
      <c r="BF472" s="7"/>
      <c r="BG472" s="7"/>
      <c r="BH472" s="7"/>
      <c r="BI472" s="7"/>
      <c r="BJ472" s="7"/>
      <c r="BK472" s="7"/>
      <c r="BL472" s="7"/>
      <c r="BM472" s="7"/>
      <c r="BN472" s="7"/>
      <c r="BO472" s="7"/>
      <c r="BP472" s="7"/>
      <c r="BQ472" s="7"/>
      <c r="BR472" s="7"/>
      <c r="BS472" s="7"/>
      <c r="BT472" s="7"/>
      <c r="BU472" s="7"/>
      <c r="BV472" s="7"/>
      <c r="BW472" s="7"/>
      <c r="BX472" s="7"/>
      <c r="BY472" s="7"/>
      <c r="BZ472" s="7"/>
    </row>
    <row r="473" ht="16.5" customHeight="1">
      <c r="AT473" s="7"/>
      <c r="AU473" s="7"/>
      <c r="AV473" s="7"/>
      <c r="AW473" s="7"/>
      <c r="AX473" s="7"/>
      <c r="AY473" s="7"/>
      <c r="AZ473" s="7"/>
      <c r="BA473" s="7"/>
      <c r="BB473" s="7"/>
      <c r="BC473" s="7"/>
      <c r="BD473" s="7"/>
      <c r="BE473" s="7"/>
      <c r="BF473" s="7"/>
      <c r="BG473" s="7"/>
      <c r="BH473" s="7"/>
      <c r="BI473" s="7"/>
      <c r="BJ473" s="7"/>
      <c r="BK473" s="7"/>
      <c r="BL473" s="7"/>
      <c r="BM473" s="7"/>
      <c r="BN473" s="7"/>
      <c r="BO473" s="7"/>
      <c r="BP473" s="7"/>
      <c r="BQ473" s="7"/>
      <c r="BR473" s="7"/>
      <c r="BS473" s="7"/>
      <c r="BT473" s="7"/>
      <c r="BU473" s="7"/>
      <c r="BV473" s="7"/>
      <c r="BW473" s="7"/>
      <c r="BX473" s="7"/>
      <c r="BY473" s="7"/>
      <c r="BZ473" s="7"/>
    </row>
    <row r="474" ht="16.5" customHeight="1">
      <c r="AT474" s="7"/>
      <c r="AU474" s="7"/>
      <c r="AV474" s="7"/>
      <c r="AW474" s="7"/>
      <c r="AX474" s="7"/>
      <c r="AY474" s="7"/>
      <c r="AZ474" s="7"/>
      <c r="BA474" s="7"/>
      <c r="BB474" s="7"/>
      <c r="BC474" s="7"/>
      <c r="BD474" s="7"/>
      <c r="BE474" s="7"/>
      <c r="BF474" s="7"/>
      <c r="BG474" s="7"/>
      <c r="BH474" s="7"/>
      <c r="BI474" s="7"/>
      <c r="BJ474" s="7"/>
      <c r="BK474" s="7"/>
      <c r="BL474" s="7"/>
      <c r="BM474" s="7"/>
      <c r="BN474" s="7"/>
      <c r="BO474" s="7"/>
      <c r="BP474" s="7"/>
      <c r="BQ474" s="7"/>
      <c r="BR474" s="7"/>
      <c r="BS474" s="7"/>
      <c r="BT474" s="7"/>
      <c r="BU474" s="7"/>
      <c r="BV474" s="7"/>
      <c r="BW474" s="7"/>
      <c r="BX474" s="7"/>
      <c r="BY474" s="7"/>
      <c r="BZ474" s="7"/>
    </row>
    <row r="475" ht="16.5" customHeight="1">
      <c r="AT475" s="7"/>
      <c r="AU475" s="7"/>
      <c r="AV475" s="7"/>
      <c r="AW475" s="7"/>
      <c r="AX475" s="7"/>
      <c r="AY475" s="7"/>
      <c r="AZ475" s="7"/>
      <c r="BA475" s="7"/>
      <c r="BB475" s="7"/>
      <c r="BC475" s="7"/>
      <c r="BD475" s="7"/>
      <c r="BE475" s="7"/>
      <c r="BF475" s="7"/>
      <c r="BG475" s="7"/>
      <c r="BH475" s="7"/>
      <c r="BI475" s="7"/>
      <c r="BJ475" s="7"/>
      <c r="BK475" s="7"/>
      <c r="BL475" s="7"/>
      <c r="BM475" s="7"/>
      <c r="BN475" s="7"/>
      <c r="BO475" s="7"/>
      <c r="BP475" s="7"/>
      <c r="BQ475" s="7"/>
      <c r="BR475" s="7"/>
      <c r="BS475" s="7"/>
      <c r="BT475" s="7"/>
      <c r="BU475" s="7"/>
      <c r="BV475" s="7"/>
      <c r="BW475" s="7"/>
      <c r="BX475" s="7"/>
      <c r="BY475" s="7"/>
      <c r="BZ475" s="7"/>
    </row>
    <row r="476" ht="16.5" customHeight="1">
      <c r="AT476" s="7"/>
      <c r="AU476" s="7"/>
      <c r="AV476" s="7"/>
      <c r="AW476" s="7"/>
      <c r="AX476" s="7"/>
      <c r="AY476" s="7"/>
      <c r="AZ476" s="7"/>
      <c r="BA476" s="7"/>
      <c r="BB476" s="7"/>
      <c r="BC476" s="7"/>
      <c r="BD476" s="7"/>
      <c r="BE476" s="7"/>
      <c r="BF476" s="7"/>
      <c r="BG476" s="7"/>
      <c r="BH476" s="7"/>
      <c r="BI476" s="7"/>
      <c r="BJ476" s="7"/>
      <c r="BK476" s="7"/>
      <c r="BL476" s="7"/>
      <c r="BM476" s="7"/>
      <c r="BN476" s="7"/>
      <c r="BO476" s="7"/>
      <c r="BP476" s="7"/>
      <c r="BQ476" s="7"/>
      <c r="BR476" s="7"/>
      <c r="BS476" s="7"/>
      <c r="BT476" s="7"/>
      <c r="BU476" s="7"/>
      <c r="BV476" s="7"/>
      <c r="BW476" s="7"/>
      <c r="BX476" s="7"/>
      <c r="BY476" s="7"/>
      <c r="BZ476" s="7"/>
    </row>
    <row r="477" ht="16.5" customHeight="1">
      <c r="AT477" s="7"/>
      <c r="AU477" s="7"/>
      <c r="AV477" s="7"/>
      <c r="AW477" s="7"/>
      <c r="AX477" s="7"/>
      <c r="AY477" s="7"/>
      <c r="AZ477" s="7"/>
      <c r="BA477" s="7"/>
      <c r="BB477" s="7"/>
      <c r="BC477" s="7"/>
      <c r="BD477" s="7"/>
      <c r="BE477" s="7"/>
      <c r="BF477" s="7"/>
      <c r="BG477" s="7"/>
      <c r="BH477" s="7"/>
      <c r="BI477" s="7"/>
      <c r="BJ477" s="7"/>
      <c r="BK477" s="7"/>
      <c r="BL477" s="7"/>
      <c r="BM477" s="7"/>
      <c r="BN477" s="7"/>
      <c r="BO477" s="7"/>
      <c r="BP477" s="7"/>
      <c r="BQ477" s="7"/>
      <c r="BR477" s="7"/>
      <c r="BS477" s="7"/>
      <c r="BT477" s="7"/>
      <c r="BU477" s="7"/>
      <c r="BV477" s="7"/>
      <c r="BW477" s="7"/>
      <c r="BX477" s="7"/>
      <c r="BY477" s="7"/>
      <c r="BZ477" s="7"/>
    </row>
    <row r="478" ht="16.5" customHeight="1">
      <c r="AT478" s="7"/>
      <c r="AU478" s="7"/>
      <c r="AV478" s="7"/>
      <c r="AW478" s="7"/>
      <c r="AX478" s="7"/>
      <c r="AY478" s="7"/>
      <c r="AZ478" s="7"/>
      <c r="BA478" s="7"/>
      <c r="BB478" s="7"/>
      <c r="BC478" s="7"/>
      <c r="BD478" s="7"/>
      <c r="BE478" s="7"/>
      <c r="BF478" s="7"/>
      <c r="BG478" s="7"/>
      <c r="BH478" s="7"/>
      <c r="BI478" s="7"/>
      <c r="BJ478" s="7"/>
      <c r="BK478" s="7"/>
      <c r="BL478" s="7"/>
      <c r="BM478" s="7"/>
      <c r="BN478" s="7"/>
      <c r="BO478" s="7"/>
      <c r="BP478" s="7"/>
      <c r="BQ478" s="7"/>
      <c r="BR478" s="7"/>
      <c r="BS478" s="7"/>
      <c r="BT478" s="7"/>
      <c r="BU478" s="7"/>
      <c r="BV478" s="7"/>
      <c r="BW478" s="7"/>
      <c r="BX478" s="7"/>
      <c r="BY478" s="7"/>
      <c r="BZ478" s="7"/>
    </row>
    <row r="479" ht="16.5" customHeight="1">
      <c r="AT479" s="7"/>
      <c r="AU479" s="7"/>
      <c r="AV479" s="7"/>
      <c r="AW479" s="7"/>
      <c r="AX479" s="7"/>
      <c r="AY479" s="7"/>
      <c r="AZ479" s="7"/>
      <c r="BA479" s="7"/>
      <c r="BB479" s="7"/>
      <c r="BC479" s="7"/>
      <c r="BD479" s="7"/>
      <c r="BE479" s="7"/>
      <c r="BF479" s="7"/>
      <c r="BG479" s="7"/>
      <c r="BH479" s="7"/>
      <c r="BI479" s="7"/>
      <c r="BJ479" s="7"/>
      <c r="BK479" s="7"/>
      <c r="BL479" s="7"/>
      <c r="BM479" s="7"/>
      <c r="BN479" s="7"/>
      <c r="BO479" s="7"/>
      <c r="BP479" s="7"/>
      <c r="BQ479" s="7"/>
      <c r="BR479" s="7"/>
      <c r="BS479" s="7"/>
      <c r="BT479" s="7"/>
      <c r="BU479" s="7"/>
      <c r="BV479" s="7"/>
      <c r="BW479" s="7"/>
      <c r="BX479" s="7"/>
      <c r="BY479" s="7"/>
      <c r="BZ479" s="7"/>
    </row>
    <row r="480" ht="16.5" customHeight="1">
      <c r="AT480" s="7"/>
      <c r="AU480" s="7"/>
      <c r="AV480" s="7"/>
      <c r="AW480" s="7"/>
      <c r="AX480" s="7"/>
      <c r="AY480" s="7"/>
      <c r="AZ480" s="7"/>
      <c r="BA480" s="7"/>
      <c r="BB480" s="7"/>
      <c r="BC480" s="7"/>
      <c r="BD480" s="7"/>
      <c r="BE480" s="7"/>
      <c r="BF480" s="7"/>
      <c r="BG480" s="7"/>
      <c r="BH480" s="7"/>
      <c r="BI480" s="7"/>
      <c r="BJ480" s="7"/>
      <c r="BK480" s="7"/>
      <c r="BL480" s="7"/>
      <c r="BM480" s="7"/>
      <c r="BN480" s="7"/>
      <c r="BO480" s="7"/>
      <c r="BP480" s="7"/>
      <c r="BQ480" s="7"/>
      <c r="BR480" s="7"/>
      <c r="BS480" s="7"/>
      <c r="BT480" s="7"/>
      <c r="BU480" s="7"/>
      <c r="BV480" s="7"/>
      <c r="BW480" s="7"/>
      <c r="BX480" s="7"/>
      <c r="BY480" s="7"/>
      <c r="BZ480" s="7"/>
    </row>
    <row r="481" ht="16.5" customHeight="1">
      <c r="AT481" s="7"/>
      <c r="AU481" s="7"/>
      <c r="AV481" s="7"/>
      <c r="AW481" s="7"/>
      <c r="AX481" s="7"/>
      <c r="AY481" s="7"/>
      <c r="AZ481" s="7"/>
      <c r="BA481" s="7"/>
      <c r="BB481" s="7"/>
      <c r="BC481" s="7"/>
      <c r="BD481" s="7"/>
      <c r="BE481" s="7"/>
      <c r="BF481" s="7"/>
      <c r="BG481" s="7"/>
      <c r="BH481" s="7"/>
      <c r="BI481" s="7"/>
      <c r="BJ481" s="7"/>
      <c r="BK481" s="7"/>
      <c r="BL481" s="7"/>
      <c r="BM481" s="7"/>
      <c r="BN481" s="7"/>
      <c r="BO481" s="7"/>
      <c r="BP481" s="7"/>
      <c r="BQ481" s="7"/>
      <c r="BR481" s="7"/>
      <c r="BS481" s="7"/>
      <c r="BT481" s="7"/>
      <c r="BU481" s="7"/>
      <c r="BV481" s="7"/>
      <c r="BW481" s="7"/>
      <c r="BX481" s="7"/>
      <c r="BY481" s="7"/>
      <c r="BZ481" s="7"/>
    </row>
    <row r="482" ht="16.5" customHeight="1">
      <c r="AT482" s="7"/>
      <c r="AU482" s="7"/>
      <c r="AV482" s="7"/>
      <c r="AW482" s="7"/>
      <c r="AX482" s="7"/>
      <c r="AY482" s="7"/>
      <c r="AZ482" s="7"/>
      <c r="BA482" s="7"/>
      <c r="BB482" s="7"/>
      <c r="BC482" s="7"/>
      <c r="BD482" s="7"/>
      <c r="BE482" s="7"/>
      <c r="BF482" s="7"/>
      <c r="BG482" s="7"/>
      <c r="BH482" s="7"/>
      <c r="BI482" s="7"/>
      <c r="BJ482" s="7"/>
      <c r="BK482" s="7"/>
      <c r="BL482" s="7"/>
      <c r="BM482" s="7"/>
      <c r="BN482" s="7"/>
      <c r="BO482" s="7"/>
      <c r="BP482" s="7"/>
      <c r="BQ482" s="7"/>
      <c r="BR482" s="7"/>
      <c r="BS482" s="7"/>
      <c r="BT482" s="7"/>
      <c r="BU482" s="7"/>
      <c r="BV482" s="7"/>
      <c r="BW482" s="7"/>
      <c r="BX482" s="7"/>
      <c r="BY482" s="7"/>
      <c r="BZ482" s="7"/>
    </row>
    <row r="483" ht="16.5" customHeight="1">
      <c r="AT483" s="7"/>
      <c r="AU483" s="7"/>
      <c r="AV483" s="7"/>
      <c r="AW483" s="7"/>
      <c r="AX483" s="7"/>
      <c r="AY483" s="7"/>
      <c r="AZ483" s="7"/>
      <c r="BA483" s="7"/>
      <c r="BB483" s="7"/>
      <c r="BC483" s="7"/>
      <c r="BD483" s="7"/>
      <c r="BE483" s="7"/>
      <c r="BF483" s="7"/>
      <c r="BG483" s="7"/>
      <c r="BH483" s="7"/>
      <c r="BI483" s="7"/>
      <c r="BJ483" s="7"/>
      <c r="BK483" s="7"/>
      <c r="BL483" s="7"/>
      <c r="BM483" s="7"/>
      <c r="BN483" s="7"/>
      <c r="BO483" s="7"/>
      <c r="BP483" s="7"/>
      <c r="BQ483" s="7"/>
      <c r="BR483" s="7"/>
      <c r="BS483" s="7"/>
      <c r="BT483" s="7"/>
      <c r="BU483" s="7"/>
      <c r="BV483" s="7"/>
      <c r="BW483" s="7"/>
      <c r="BX483" s="7"/>
      <c r="BY483" s="7"/>
      <c r="BZ483" s="7"/>
    </row>
    <row r="484" ht="16.5" customHeight="1">
      <c r="AT484" s="7"/>
      <c r="AU484" s="7"/>
      <c r="AV484" s="7"/>
      <c r="AW484" s="7"/>
      <c r="AX484" s="7"/>
      <c r="AY484" s="7"/>
      <c r="AZ484" s="7"/>
      <c r="BA484" s="7"/>
      <c r="BB484" s="7"/>
      <c r="BC484" s="7"/>
      <c r="BD484" s="7"/>
      <c r="BE484" s="7"/>
      <c r="BF484" s="7"/>
      <c r="BG484" s="7"/>
      <c r="BH484" s="7"/>
      <c r="BI484" s="7"/>
      <c r="BJ484" s="7"/>
      <c r="BK484" s="7"/>
      <c r="BL484" s="7"/>
      <c r="BM484" s="7"/>
      <c r="BN484" s="7"/>
      <c r="BO484" s="7"/>
      <c r="BP484" s="7"/>
      <c r="BQ484" s="7"/>
      <c r="BR484" s="7"/>
      <c r="BS484" s="7"/>
      <c r="BT484" s="7"/>
      <c r="BU484" s="7"/>
      <c r="BV484" s="7"/>
      <c r="BW484" s="7"/>
      <c r="BX484" s="7"/>
      <c r="BY484" s="7"/>
      <c r="BZ484" s="7"/>
    </row>
    <row r="485" ht="16.5" customHeight="1">
      <c r="AT485" s="7"/>
      <c r="AU485" s="7"/>
      <c r="AV485" s="7"/>
      <c r="AW485" s="7"/>
      <c r="AX485" s="7"/>
      <c r="AY485" s="7"/>
      <c r="AZ485" s="7"/>
      <c r="BA485" s="7"/>
      <c r="BB485" s="7"/>
      <c r="BC485" s="7"/>
      <c r="BD485" s="7"/>
      <c r="BE485" s="7"/>
      <c r="BF485" s="7"/>
      <c r="BG485" s="7"/>
      <c r="BH485" s="7"/>
      <c r="BI485" s="7"/>
      <c r="BJ485" s="7"/>
      <c r="BK485" s="7"/>
      <c r="BL485" s="7"/>
      <c r="BM485" s="7"/>
      <c r="BN485" s="7"/>
      <c r="BO485" s="7"/>
      <c r="BP485" s="7"/>
      <c r="BQ485" s="7"/>
      <c r="BR485" s="7"/>
      <c r="BS485" s="7"/>
      <c r="BT485" s="7"/>
      <c r="BU485" s="7"/>
      <c r="BV485" s="7"/>
      <c r="BW485" s="7"/>
      <c r="BX485" s="7"/>
      <c r="BY485" s="7"/>
      <c r="BZ485" s="7"/>
    </row>
    <row r="486" ht="16.5" customHeight="1">
      <c r="AT486" s="7"/>
      <c r="AU486" s="7"/>
      <c r="AV486" s="7"/>
      <c r="AW486" s="7"/>
      <c r="AX486" s="7"/>
      <c r="AY486" s="7"/>
      <c r="AZ486" s="7"/>
      <c r="BA486" s="7"/>
      <c r="BB486" s="7"/>
      <c r="BC486" s="7"/>
      <c r="BD486" s="7"/>
      <c r="BE486" s="7"/>
      <c r="BF486" s="7"/>
      <c r="BG486" s="7"/>
      <c r="BH486" s="7"/>
      <c r="BI486" s="7"/>
      <c r="BJ486" s="7"/>
      <c r="BK486" s="7"/>
      <c r="BL486" s="7"/>
      <c r="BM486" s="7"/>
      <c r="BN486" s="7"/>
      <c r="BO486" s="7"/>
      <c r="BP486" s="7"/>
      <c r="BQ486" s="7"/>
      <c r="BR486" s="7"/>
      <c r="BS486" s="7"/>
      <c r="BT486" s="7"/>
      <c r="BU486" s="7"/>
      <c r="BV486" s="7"/>
      <c r="BW486" s="7"/>
      <c r="BX486" s="7"/>
      <c r="BY486" s="7"/>
      <c r="BZ486" s="7"/>
    </row>
    <row r="487" ht="16.5" customHeight="1">
      <c r="AT487" s="7"/>
      <c r="AU487" s="7"/>
      <c r="AV487" s="7"/>
      <c r="AW487" s="7"/>
      <c r="AX487" s="7"/>
      <c r="AY487" s="7"/>
      <c r="AZ487" s="7"/>
      <c r="BA487" s="7"/>
      <c r="BB487" s="7"/>
      <c r="BC487" s="7"/>
      <c r="BD487" s="7"/>
      <c r="BE487" s="7"/>
      <c r="BF487" s="7"/>
      <c r="BG487" s="7"/>
      <c r="BH487" s="7"/>
      <c r="BI487" s="7"/>
      <c r="BJ487" s="7"/>
      <c r="BK487" s="7"/>
      <c r="BL487" s="7"/>
      <c r="BM487" s="7"/>
      <c r="BN487" s="7"/>
      <c r="BO487" s="7"/>
      <c r="BP487" s="7"/>
      <c r="BQ487" s="7"/>
      <c r="BR487" s="7"/>
      <c r="BS487" s="7"/>
      <c r="BT487" s="7"/>
      <c r="BU487" s="7"/>
      <c r="BV487" s="7"/>
      <c r="BW487" s="7"/>
      <c r="BX487" s="7"/>
      <c r="BY487" s="7"/>
      <c r="BZ487" s="7"/>
    </row>
    <row r="488" ht="16.5" customHeight="1">
      <c r="AT488" s="7"/>
      <c r="AU488" s="7"/>
      <c r="AV488" s="7"/>
      <c r="AW488" s="7"/>
      <c r="AX488" s="7"/>
      <c r="AY488" s="7"/>
      <c r="AZ488" s="7"/>
      <c r="BA488" s="7"/>
      <c r="BB488" s="7"/>
      <c r="BC488" s="7"/>
      <c r="BD488" s="7"/>
      <c r="BE488" s="7"/>
      <c r="BF488" s="7"/>
      <c r="BG488" s="7"/>
      <c r="BH488" s="7"/>
      <c r="BI488" s="7"/>
      <c r="BJ488" s="7"/>
      <c r="BK488" s="7"/>
      <c r="BL488" s="7"/>
      <c r="BM488" s="7"/>
      <c r="BN488" s="7"/>
      <c r="BO488" s="7"/>
      <c r="BP488" s="7"/>
      <c r="BQ488" s="7"/>
      <c r="BR488" s="7"/>
      <c r="BS488" s="7"/>
      <c r="BT488" s="7"/>
      <c r="BU488" s="7"/>
      <c r="BV488" s="7"/>
      <c r="BW488" s="7"/>
      <c r="BX488" s="7"/>
      <c r="BY488" s="7"/>
      <c r="BZ488" s="7"/>
    </row>
    <row r="489" ht="16.5" customHeight="1">
      <c r="AT489" s="7"/>
      <c r="AU489" s="7"/>
      <c r="AV489" s="7"/>
      <c r="AW489" s="7"/>
      <c r="AX489" s="7"/>
      <c r="AY489" s="7"/>
      <c r="AZ489" s="7"/>
      <c r="BA489" s="7"/>
      <c r="BB489" s="7"/>
      <c r="BC489" s="7"/>
      <c r="BD489" s="7"/>
      <c r="BE489" s="7"/>
      <c r="BF489" s="7"/>
      <c r="BG489" s="7"/>
      <c r="BH489" s="7"/>
      <c r="BI489" s="7"/>
      <c r="BJ489" s="7"/>
      <c r="BK489" s="7"/>
      <c r="BL489" s="7"/>
      <c r="BM489" s="7"/>
      <c r="BN489" s="7"/>
      <c r="BO489" s="7"/>
      <c r="BP489" s="7"/>
      <c r="BQ489" s="7"/>
      <c r="BR489" s="7"/>
      <c r="BS489" s="7"/>
      <c r="BT489" s="7"/>
      <c r="BU489" s="7"/>
      <c r="BV489" s="7"/>
      <c r="BW489" s="7"/>
      <c r="BX489" s="7"/>
      <c r="BY489" s="7"/>
      <c r="BZ489" s="7"/>
    </row>
    <row r="490" ht="16.5" customHeight="1">
      <c r="AT490" s="7"/>
      <c r="AU490" s="7"/>
      <c r="AV490" s="7"/>
      <c r="AW490" s="7"/>
      <c r="AX490" s="7"/>
      <c r="AY490" s="7"/>
      <c r="AZ490" s="7"/>
      <c r="BA490" s="7"/>
      <c r="BB490" s="7"/>
      <c r="BC490" s="7"/>
      <c r="BD490" s="7"/>
      <c r="BE490" s="7"/>
      <c r="BF490" s="7"/>
      <c r="BG490" s="7"/>
      <c r="BH490" s="7"/>
      <c r="BI490" s="7"/>
      <c r="BJ490" s="7"/>
      <c r="BK490" s="7"/>
      <c r="BL490" s="7"/>
      <c r="BM490" s="7"/>
      <c r="BN490" s="7"/>
      <c r="BO490" s="7"/>
      <c r="BP490" s="7"/>
      <c r="BQ490" s="7"/>
      <c r="BR490" s="7"/>
      <c r="BS490" s="7"/>
      <c r="BT490" s="7"/>
      <c r="BU490" s="7"/>
      <c r="BV490" s="7"/>
      <c r="BW490" s="7"/>
      <c r="BX490" s="7"/>
      <c r="BY490" s="7"/>
      <c r="BZ490" s="7"/>
    </row>
    <row r="491" ht="16.5" customHeight="1">
      <c r="AT491" s="7"/>
      <c r="AU491" s="7"/>
      <c r="AV491" s="7"/>
      <c r="AW491" s="7"/>
      <c r="AX491" s="7"/>
      <c r="AY491" s="7"/>
      <c r="AZ491" s="7"/>
      <c r="BA491" s="7"/>
      <c r="BB491" s="7"/>
      <c r="BC491" s="7"/>
      <c r="BD491" s="7"/>
      <c r="BE491" s="7"/>
      <c r="BF491" s="7"/>
      <c r="BG491" s="7"/>
      <c r="BH491" s="7"/>
      <c r="BI491" s="7"/>
      <c r="BJ491" s="7"/>
      <c r="BK491" s="7"/>
      <c r="BL491" s="7"/>
      <c r="BM491" s="7"/>
      <c r="BN491" s="7"/>
      <c r="BO491" s="7"/>
      <c r="BP491" s="7"/>
      <c r="BQ491" s="7"/>
      <c r="BR491" s="7"/>
      <c r="BS491" s="7"/>
      <c r="BT491" s="7"/>
      <c r="BU491" s="7"/>
      <c r="BV491" s="7"/>
      <c r="BW491" s="7"/>
      <c r="BX491" s="7"/>
      <c r="BY491" s="7"/>
      <c r="BZ491" s="7"/>
    </row>
    <row r="492" ht="16.5" customHeight="1">
      <c r="AT492" s="7"/>
      <c r="AU492" s="7"/>
      <c r="AV492" s="7"/>
      <c r="AW492" s="7"/>
      <c r="AX492" s="7"/>
      <c r="AY492" s="7"/>
      <c r="AZ492" s="7"/>
      <c r="BA492" s="7"/>
      <c r="BB492" s="7"/>
      <c r="BC492" s="7"/>
      <c r="BD492" s="7"/>
      <c r="BE492" s="7"/>
      <c r="BF492" s="7"/>
      <c r="BG492" s="7"/>
      <c r="BH492" s="7"/>
      <c r="BI492" s="7"/>
      <c r="BJ492" s="7"/>
      <c r="BK492" s="7"/>
      <c r="BL492" s="7"/>
      <c r="BM492" s="7"/>
      <c r="BN492" s="7"/>
      <c r="BO492" s="7"/>
      <c r="BP492" s="7"/>
      <c r="BQ492" s="7"/>
      <c r="BR492" s="7"/>
      <c r="BS492" s="7"/>
      <c r="BT492" s="7"/>
      <c r="BU492" s="7"/>
      <c r="BV492" s="7"/>
      <c r="BW492" s="7"/>
      <c r="BX492" s="7"/>
      <c r="BY492" s="7"/>
      <c r="BZ492" s="7"/>
    </row>
    <row r="493" ht="16.5" customHeight="1">
      <c r="AT493" s="7"/>
      <c r="AU493" s="7"/>
      <c r="AV493" s="7"/>
      <c r="AW493" s="7"/>
      <c r="AX493" s="7"/>
      <c r="AY493" s="7"/>
      <c r="AZ493" s="7"/>
      <c r="BA493" s="7"/>
      <c r="BB493" s="7"/>
      <c r="BC493" s="7"/>
      <c r="BD493" s="7"/>
      <c r="BE493" s="7"/>
      <c r="BF493" s="7"/>
      <c r="BG493" s="7"/>
      <c r="BH493" s="7"/>
      <c r="BI493" s="7"/>
      <c r="BJ493" s="7"/>
      <c r="BK493" s="7"/>
      <c r="BL493" s="7"/>
      <c r="BM493" s="7"/>
      <c r="BN493" s="7"/>
      <c r="BO493" s="7"/>
      <c r="BP493" s="7"/>
      <c r="BQ493" s="7"/>
      <c r="BR493" s="7"/>
      <c r="BS493" s="7"/>
      <c r="BT493" s="7"/>
      <c r="BU493" s="7"/>
      <c r="BV493" s="7"/>
      <c r="BW493" s="7"/>
      <c r="BX493" s="7"/>
      <c r="BY493" s="7"/>
      <c r="BZ493" s="7"/>
    </row>
    <row r="494" ht="16.5" customHeight="1">
      <c r="AT494" s="7"/>
      <c r="AU494" s="7"/>
      <c r="AV494" s="7"/>
      <c r="AW494" s="7"/>
      <c r="AX494" s="7"/>
      <c r="AY494" s="7"/>
      <c r="AZ494" s="7"/>
      <c r="BA494" s="7"/>
      <c r="BB494" s="7"/>
      <c r="BC494" s="7"/>
      <c r="BD494" s="7"/>
      <c r="BE494" s="7"/>
      <c r="BF494" s="7"/>
      <c r="BG494" s="7"/>
      <c r="BH494" s="7"/>
      <c r="BI494" s="7"/>
      <c r="BJ494" s="7"/>
      <c r="BK494" s="7"/>
      <c r="BL494" s="7"/>
      <c r="BM494" s="7"/>
      <c r="BN494" s="7"/>
      <c r="BO494" s="7"/>
      <c r="BP494" s="7"/>
      <c r="BQ494" s="7"/>
      <c r="BR494" s="7"/>
      <c r="BS494" s="7"/>
      <c r="BT494" s="7"/>
      <c r="BU494" s="7"/>
      <c r="BV494" s="7"/>
      <c r="BW494" s="7"/>
      <c r="BX494" s="7"/>
      <c r="BY494" s="7"/>
      <c r="BZ494" s="7"/>
    </row>
    <row r="495" ht="16.5" customHeight="1">
      <c r="AT495" s="7"/>
      <c r="AU495" s="7"/>
      <c r="AV495" s="7"/>
      <c r="AW495" s="7"/>
      <c r="AX495" s="7"/>
      <c r="AY495" s="7"/>
      <c r="AZ495" s="7"/>
      <c r="BA495" s="7"/>
      <c r="BB495" s="7"/>
      <c r="BC495" s="7"/>
      <c r="BD495" s="7"/>
      <c r="BE495" s="7"/>
      <c r="BF495" s="7"/>
      <c r="BG495" s="7"/>
      <c r="BH495" s="7"/>
      <c r="BI495" s="7"/>
      <c r="BJ495" s="7"/>
      <c r="BK495" s="7"/>
      <c r="BL495" s="7"/>
      <c r="BM495" s="7"/>
      <c r="BN495" s="7"/>
      <c r="BO495" s="7"/>
      <c r="BP495" s="7"/>
      <c r="BQ495" s="7"/>
      <c r="BR495" s="7"/>
      <c r="BS495" s="7"/>
      <c r="BT495" s="7"/>
      <c r="BU495" s="7"/>
      <c r="BV495" s="7"/>
      <c r="BW495" s="7"/>
      <c r="BX495" s="7"/>
      <c r="BY495" s="7"/>
      <c r="BZ495" s="7"/>
    </row>
    <row r="496" ht="16.5" customHeight="1">
      <c r="AT496" s="7"/>
      <c r="AU496" s="7"/>
      <c r="AV496" s="7"/>
      <c r="AW496" s="7"/>
      <c r="AX496" s="7"/>
      <c r="AY496" s="7"/>
      <c r="AZ496" s="7"/>
      <c r="BA496" s="7"/>
      <c r="BB496" s="7"/>
      <c r="BC496" s="7"/>
      <c r="BD496" s="7"/>
      <c r="BE496" s="7"/>
      <c r="BF496" s="7"/>
      <c r="BG496" s="7"/>
      <c r="BH496" s="7"/>
      <c r="BI496" s="7"/>
      <c r="BJ496" s="7"/>
      <c r="BK496" s="7"/>
      <c r="BL496" s="7"/>
      <c r="BM496" s="7"/>
      <c r="BN496" s="7"/>
      <c r="BO496" s="7"/>
      <c r="BP496" s="7"/>
      <c r="BQ496" s="7"/>
      <c r="BR496" s="7"/>
      <c r="BS496" s="7"/>
      <c r="BT496" s="7"/>
      <c r="BU496" s="7"/>
      <c r="BV496" s="7"/>
      <c r="BW496" s="7"/>
      <c r="BX496" s="7"/>
      <c r="BY496" s="7"/>
      <c r="BZ496" s="7"/>
    </row>
    <row r="497" ht="16.5" customHeight="1">
      <c r="AT497" s="7"/>
      <c r="AU497" s="7"/>
      <c r="AV497" s="7"/>
      <c r="AW497" s="7"/>
      <c r="AX497" s="7"/>
      <c r="AY497" s="7"/>
      <c r="AZ497" s="7"/>
      <c r="BA497" s="7"/>
      <c r="BB497" s="7"/>
      <c r="BC497" s="7"/>
      <c r="BD497" s="7"/>
      <c r="BE497" s="7"/>
      <c r="BF497" s="7"/>
      <c r="BG497" s="7"/>
      <c r="BH497" s="7"/>
      <c r="BI497" s="7"/>
      <c r="BJ497" s="7"/>
      <c r="BK497" s="7"/>
      <c r="BL497" s="7"/>
      <c r="BM497" s="7"/>
      <c r="BN497" s="7"/>
      <c r="BO497" s="7"/>
      <c r="BP497" s="7"/>
      <c r="BQ497" s="7"/>
      <c r="BR497" s="7"/>
      <c r="BS497" s="7"/>
      <c r="BT497" s="7"/>
      <c r="BU497" s="7"/>
      <c r="BV497" s="7"/>
      <c r="BW497" s="7"/>
      <c r="BX497" s="7"/>
      <c r="BY497" s="7"/>
      <c r="BZ497" s="7"/>
    </row>
    <row r="498" ht="16.5" customHeight="1">
      <c r="AT498" s="7"/>
      <c r="AU498" s="7"/>
      <c r="AV498" s="7"/>
      <c r="AW498" s="7"/>
      <c r="AX498" s="7"/>
      <c r="AY498" s="7"/>
      <c r="AZ498" s="7"/>
      <c r="BA498" s="7"/>
      <c r="BB498" s="7"/>
      <c r="BC498" s="7"/>
      <c r="BD498" s="7"/>
      <c r="BE498" s="7"/>
      <c r="BF498" s="7"/>
      <c r="BG498" s="7"/>
      <c r="BH498" s="7"/>
      <c r="BI498" s="7"/>
      <c r="BJ498" s="7"/>
      <c r="BK498" s="7"/>
      <c r="BL498" s="7"/>
      <c r="BM498" s="7"/>
      <c r="BN498" s="7"/>
      <c r="BO498" s="7"/>
      <c r="BP498" s="7"/>
      <c r="BQ498" s="7"/>
      <c r="BR498" s="7"/>
      <c r="BS498" s="7"/>
      <c r="BT498" s="7"/>
      <c r="BU498" s="7"/>
      <c r="BV498" s="7"/>
      <c r="BW498" s="7"/>
      <c r="BX498" s="7"/>
      <c r="BY498" s="7"/>
      <c r="BZ498" s="7"/>
    </row>
    <row r="499" ht="16.5" customHeight="1">
      <c r="AT499" s="7"/>
      <c r="AU499" s="7"/>
      <c r="AV499" s="7"/>
      <c r="AW499" s="7"/>
      <c r="AX499" s="7"/>
      <c r="AY499" s="7"/>
      <c r="AZ499" s="7"/>
      <c r="BA499" s="7"/>
      <c r="BB499" s="7"/>
      <c r="BC499" s="7"/>
      <c r="BD499" s="7"/>
      <c r="BE499" s="7"/>
      <c r="BF499" s="7"/>
      <c r="BG499" s="7"/>
      <c r="BH499" s="7"/>
      <c r="BI499" s="7"/>
      <c r="BJ499" s="7"/>
      <c r="BK499" s="7"/>
      <c r="BL499" s="7"/>
      <c r="BM499" s="7"/>
      <c r="BN499" s="7"/>
      <c r="BO499" s="7"/>
      <c r="BP499" s="7"/>
      <c r="BQ499" s="7"/>
      <c r="BR499" s="7"/>
      <c r="BS499" s="7"/>
      <c r="BT499" s="7"/>
      <c r="BU499" s="7"/>
      <c r="BV499" s="7"/>
      <c r="BW499" s="7"/>
      <c r="BX499" s="7"/>
      <c r="BY499" s="7"/>
      <c r="BZ499" s="7"/>
    </row>
    <row r="500" ht="16.5" customHeight="1">
      <c r="AT500" s="7"/>
      <c r="AU500" s="7"/>
      <c r="AV500" s="7"/>
      <c r="AW500" s="7"/>
      <c r="AX500" s="7"/>
      <c r="AY500" s="7"/>
      <c r="AZ500" s="7"/>
      <c r="BA500" s="7"/>
      <c r="BB500" s="7"/>
      <c r="BC500" s="7"/>
      <c r="BD500" s="7"/>
      <c r="BE500" s="7"/>
      <c r="BF500" s="7"/>
      <c r="BG500" s="7"/>
      <c r="BH500" s="7"/>
      <c r="BI500" s="7"/>
      <c r="BJ500" s="7"/>
      <c r="BK500" s="7"/>
      <c r="BL500" s="7"/>
      <c r="BM500" s="7"/>
      <c r="BN500" s="7"/>
      <c r="BO500" s="7"/>
      <c r="BP500" s="7"/>
      <c r="BQ500" s="7"/>
      <c r="BR500" s="7"/>
      <c r="BS500" s="7"/>
      <c r="BT500" s="7"/>
      <c r="BU500" s="7"/>
      <c r="BV500" s="7"/>
      <c r="BW500" s="7"/>
      <c r="BX500" s="7"/>
      <c r="BY500" s="7"/>
      <c r="BZ500" s="7"/>
    </row>
    <row r="501" ht="16.5" customHeight="1">
      <c r="AT501" s="7"/>
      <c r="AU501" s="7"/>
      <c r="AV501" s="7"/>
      <c r="AW501" s="7"/>
      <c r="AX501" s="7"/>
      <c r="AY501" s="7"/>
      <c r="AZ501" s="7"/>
      <c r="BA501" s="7"/>
      <c r="BB501" s="7"/>
      <c r="BC501" s="7"/>
      <c r="BD501" s="7"/>
      <c r="BE501" s="7"/>
      <c r="BF501" s="7"/>
      <c r="BG501" s="7"/>
      <c r="BH501" s="7"/>
      <c r="BI501" s="7"/>
      <c r="BJ501" s="7"/>
      <c r="BK501" s="7"/>
      <c r="BL501" s="7"/>
      <c r="BM501" s="7"/>
      <c r="BN501" s="7"/>
      <c r="BO501" s="7"/>
      <c r="BP501" s="7"/>
      <c r="BQ501" s="7"/>
      <c r="BR501" s="7"/>
      <c r="BS501" s="7"/>
      <c r="BT501" s="7"/>
      <c r="BU501" s="7"/>
      <c r="BV501" s="7"/>
      <c r="BW501" s="7"/>
      <c r="BX501" s="7"/>
      <c r="BY501" s="7"/>
      <c r="BZ501" s="7"/>
    </row>
    <row r="502" ht="16.5" customHeight="1">
      <c r="AT502" s="7"/>
      <c r="AU502" s="7"/>
      <c r="AV502" s="7"/>
      <c r="AW502" s="7"/>
      <c r="AX502" s="7"/>
      <c r="AY502" s="7"/>
      <c r="AZ502" s="7"/>
      <c r="BA502" s="7"/>
      <c r="BB502" s="7"/>
      <c r="BC502" s="7"/>
      <c r="BD502" s="7"/>
      <c r="BE502" s="7"/>
      <c r="BF502" s="7"/>
      <c r="BG502" s="7"/>
      <c r="BH502" s="7"/>
      <c r="BI502" s="7"/>
      <c r="BJ502" s="7"/>
      <c r="BK502" s="7"/>
      <c r="BL502" s="7"/>
      <c r="BM502" s="7"/>
      <c r="BN502" s="7"/>
      <c r="BO502" s="7"/>
      <c r="BP502" s="7"/>
      <c r="BQ502" s="7"/>
      <c r="BR502" s="7"/>
      <c r="BS502" s="7"/>
      <c r="BT502" s="7"/>
      <c r="BU502" s="7"/>
      <c r="BV502" s="7"/>
      <c r="BW502" s="7"/>
      <c r="BX502" s="7"/>
      <c r="BY502" s="7"/>
      <c r="BZ502" s="7"/>
    </row>
    <row r="503" ht="16.5" customHeight="1">
      <c r="AT503" s="7"/>
      <c r="AU503" s="7"/>
      <c r="AV503" s="7"/>
      <c r="AW503" s="7"/>
      <c r="AX503" s="7"/>
      <c r="AY503" s="7"/>
      <c r="AZ503" s="7"/>
      <c r="BA503" s="7"/>
      <c r="BB503" s="7"/>
      <c r="BC503" s="7"/>
      <c r="BD503" s="7"/>
      <c r="BE503" s="7"/>
      <c r="BF503" s="7"/>
      <c r="BG503" s="7"/>
      <c r="BH503" s="7"/>
      <c r="BI503" s="7"/>
      <c r="BJ503" s="7"/>
      <c r="BK503" s="7"/>
      <c r="BL503" s="7"/>
      <c r="BM503" s="7"/>
      <c r="BN503" s="7"/>
      <c r="BO503" s="7"/>
      <c r="BP503" s="7"/>
      <c r="BQ503" s="7"/>
      <c r="BR503" s="7"/>
      <c r="BS503" s="7"/>
      <c r="BT503" s="7"/>
      <c r="BU503" s="7"/>
      <c r="BV503" s="7"/>
      <c r="BW503" s="7"/>
      <c r="BX503" s="7"/>
      <c r="BY503" s="7"/>
      <c r="BZ503" s="7"/>
    </row>
    <row r="504" ht="16.5" customHeight="1">
      <c r="AT504" s="7"/>
      <c r="AU504" s="7"/>
      <c r="AV504" s="7"/>
      <c r="AW504" s="7"/>
      <c r="AX504" s="7"/>
      <c r="AY504" s="7"/>
      <c r="AZ504" s="7"/>
      <c r="BA504" s="7"/>
      <c r="BB504" s="7"/>
      <c r="BC504" s="7"/>
      <c r="BD504" s="7"/>
      <c r="BE504" s="7"/>
      <c r="BF504" s="7"/>
      <c r="BG504" s="7"/>
      <c r="BH504" s="7"/>
      <c r="BI504" s="7"/>
      <c r="BJ504" s="7"/>
      <c r="BK504" s="7"/>
      <c r="BL504" s="7"/>
      <c r="BM504" s="7"/>
      <c r="BN504" s="7"/>
      <c r="BO504" s="7"/>
      <c r="BP504" s="7"/>
      <c r="BQ504" s="7"/>
      <c r="BR504" s="7"/>
      <c r="BS504" s="7"/>
      <c r="BT504" s="7"/>
      <c r="BU504" s="7"/>
      <c r="BV504" s="7"/>
      <c r="BW504" s="7"/>
      <c r="BX504" s="7"/>
      <c r="BY504" s="7"/>
      <c r="BZ504" s="7"/>
    </row>
    <row r="505" ht="16.5" customHeight="1">
      <c r="AT505" s="7"/>
      <c r="AU505" s="7"/>
      <c r="AV505" s="7"/>
      <c r="AW505" s="7"/>
      <c r="AX505" s="7"/>
      <c r="AY505" s="7"/>
      <c r="AZ505" s="7"/>
      <c r="BA505" s="7"/>
      <c r="BB505" s="7"/>
      <c r="BC505" s="7"/>
      <c r="BD505" s="7"/>
      <c r="BE505" s="7"/>
      <c r="BF505" s="7"/>
      <c r="BG505" s="7"/>
      <c r="BH505" s="7"/>
      <c r="BI505" s="7"/>
      <c r="BJ505" s="7"/>
      <c r="BK505" s="7"/>
      <c r="BL505" s="7"/>
      <c r="BM505" s="7"/>
      <c r="BN505" s="7"/>
      <c r="BO505" s="7"/>
      <c r="BP505" s="7"/>
      <c r="BQ505" s="7"/>
      <c r="BR505" s="7"/>
      <c r="BS505" s="7"/>
      <c r="BT505" s="7"/>
      <c r="BU505" s="7"/>
      <c r="BV505" s="7"/>
      <c r="BW505" s="7"/>
      <c r="BX505" s="7"/>
      <c r="BY505" s="7"/>
      <c r="BZ505" s="7"/>
    </row>
    <row r="506" ht="16.5" customHeight="1">
      <c r="AT506" s="7"/>
      <c r="AU506" s="7"/>
      <c r="AV506" s="7"/>
      <c r="AW506" s="7"/>
      <c r="AX506" s="7"/>
      <c r="AY506" s="7"/>
      <c r="AZ506" s="7"/>
      <c r="BA506" s="7"/>
      <c r="BB506" s="7"/>
      <c r="BC506" s="7"/>
      <c r="BD506" s="7"/>
      <c r="BE506" s="7"/>
      <c r="BF506" s="7"/>
      <c r="BG506" s="7"/>
      <c r="BH506" s="7"/>
      <c r="BI506" s="7"/>
      <c r="BJ506" s="7"/>
      <c r="BK506" s="7"/>
      <c r="BL506" s="7"/>
      <c r="BM506" s="7"/>
      <c r="BN506" s="7"/>
      <c r="BO506" s="7"/>
      <c r="BP506" s="7"/>
      <c r="BQ506" s="7"/>
      <c r="BR506" s="7"/>
      <c r="BS506" s="7"/>
      <c r="BT506" s="7"/>
      <c r="BU506" s="7"/>
      <c r="BV506" s="7"/>
      <c r="BW506" s="7"/>
      <c r="BX506" s="7"/>
      <c r="BY506" s="7"/>
      <c r="BZ506" s="7"/>
    </row>
    <row r="507" ht="16.5" customHeight="1">
      <c r="AT507" s="7"/>
      <c r="AU507" s="7"/>
      <c r="AV507" s="7"/>
      <c r="AW507" s="7"/>
      <c r="AX507" s="7"/>
      <c r="AY507" s="7"/>
      <c r="AZ507" s="7"/>
      <c r="BA507" s="7"/>
      <c r="BB507" s="7"/>
      <c r="BC507" s="7"/>
      <c r="BD507" s="7"/>
      <c r="BE507" s="7"/>
      <c r="BF507" s="7"/>
      <c r="BG507" s="7"/>
      <c r="BH507" s="7"/>
      <c r="BI507" s="7"/>
      <c r="BJ507" s="7"/>
      <c r="BK507" s="7"/>
      <c r="BL507" s="7"/>
      <c r="BM507" s="7"/>
      <c r="BN507" s="7"/>
      <c r="BO507" s="7"/>
      <c r="BP507" s="7"/>
      <c r="BQ507" s="7"/>
      <c r="BR507" s="7"/>
      <c r="BS507" s="7"/>
      <c r="BT507" s="7"/>
      <c r="BU507" s="7"/>
      <c r="BV507" s="7"/>
      <c r="BW507" s="7"/>
      <c r="BX507" s="7"/>
      <c r="BY507" s="7"/>
      <c r="BZ507" s="7"/>
    </row>
    <row r="508" ht="16.5" customHeight="1">
      <c r="AT508" s="7"/>
      <c r="AU508" s="7"/>
      <c r="AV508" s="7"/>
      <c r="AW508" s="7"/>
      <c r="AX508" s="7"/>
      <c r="AY508" s="7"/>
      <c r="AZ508" s="7"/>
      <c r="BA508" s="7"/>
      <c r="BB508" s="7"/>
      <c r="BC508" s="7"/>
      <c r="BD508" s="7"/>
      <c r="BE508" s="7"/>
      <c r="BF508" s="7"/>
      <c r="BG508" s="7"/>
      <c r="BH508" s="7"/>
      <c r="BI508" s="7"/>
      <c r="BJ508" s="7"/>
      <c r="BK508" s="7"/>
      <c r="BL508" s="7"/>
      <c r="BM508" s="7"/>
      <c r="BN508" s="7"/>
      <c r="BO508" s="7"/>
      <c r="BP508" s="7"/>
      <c r="BQ508" s="7"/>
      <c r="BR508" s="7"/>
      <c r="BS508" s="7"/>
      <c r="BT508" s="7"/>
      <c r="BU508" s="7"/>
      <c r="BV508" s="7"/>
      <c r="BW508" s="7"/>
      <c r="BX508" s="7"/>
      <c r="BY508" s="7"/>
      <c r="BZ508" s="7"/>
    </row>
    <row r="509" ht="16.5" customHeight="1">
      <c r="AT509" s="7"/>
      <c r="AU509" s="7"/>
      <c r="AV509" s="7"/>
      <c r="AW509" s="7"/>
      <c r="AX509" s="7"/>
      <c r="AY509" s="7"/>
      <c r="AZ509" s="7"/>
      <c r="BA509" s="7"/>
      <c r="BB509" s="7"/>
      <c r="BC509" s="7"/>
      <c r="BD509" s="7"/>
      <c r="BE509" s="7"/>
      <c r="BF509" s="7"/>
      <c r="BG509" s="7"/>
      <c r="BH509" s="7"/>
      <c r="BI509" s="7"/>
      <c r="BJ509" s="7"/>
      <c r="BK509" s="7"/>
      <c r="BL509" s="7"/>
      <c r="BM509" s="7"/>
      <c r="BN509" s="7"/>
      <c r="BO509" s="7"/>
      <c r="BP509" s="7"/>
      <c r="BQ509" s="7"/>
      <c r="BR509" s="7"/>
      <c r="BS509" s="7"/>
      <c r="BT509" s="7"/>
      <c r="BU509" s="7"/>
      <c r="BV509" s="7"/>
      <c r="BW509" s="7"/>
      <c r="BX509" s="7"/>
      <c r="BY509" s="7"/>
      <c r="BZ509" s="7"/>
    </row>
    <row r="510" ht="16.5" customHeight="1">
      <c r="AT510" s="7"/>
      <c r="AU510" s="7"/>
      <c r="AV510" s="7"/>
      <c r="AW510" s="7"/>
      <c r="AX510" s="7"/>
      <c r="AY510" s="7"/>
      <c r="AZ510" s="7"/>
      <c r="BA510" s="7"/>
      <c r="BB510" s="7"/>
      <c r="BC510" s="7"/>
      <c r="BD510" s="7"/>
      <c r="BE510" s="7"/>
      <c r="BF510" s="7"/>
      <c r="BG510" s="7"/>
      <c r="BH510" s="7"/>
      <c r="BI510" s="7"/>
      <c r="BJ510" s="7"/>
      <c r="BK510" s="7"/>
      <c r="BL510" s="7"/>
      <c r="BM510" s="7"/>
      <c r="BN510" s="7"/>
      <c r="BO510" s="7"/>
      <c r="BP510" s="7"/>
      <c r="BQ510" s="7"/>
      <c r="BR510" s="7"/>
      <c r="BS510" s="7"/>
      <c r="BT510" s="7"/>
      <c r="BU510" s="7"/>
      <c r="BV510" s="7"/>
      <c r="BW510" s="7"/>
      <c r="BX510" s="7"/>
      <c r="BY510" s="7"/>
      <c r="BZ510" s="7"/>
    </row>
    <row r="511" ht="16.5" customHeight="1">
      <c r="AT511" s="7"/>
      <c r="AU511" s="7"/>
      <c r="AV511" s="7"/>
      <c r="AW511" s="7"/>
      <c r="AX511" s="7"/>
      <c r="AY511" s="7"/>
      <c r="AZ511" s="7"/>
      <c r="BA511" s="7"/>
      <c r="BB511" s="7"/>
      <c r="BC511" s="7"/>
      <c r="BD511" s="7"/>
      <c r="BE511" s="7"/>
      <c r="BF511" s="7"/>
      <c r="BG511" s="7"/>
      <c r="BH511" s="7"/>
      <c r="BI511" s="7"/>
      <c r="BJ511" s="7"/>
      <c r="BK511" s="7"/>
      <c r="BL511" s="7"/>
      <c r="BM511" s="7"/>
      <c r="BN511" s="7"/>
      <c r="BO511" s="7"/>
      <c r="BP511" s="7"/>
      <c r="BQ511" s="7"/>
      <c r="BR511" s="7"/>
      <c r="BS511" s="7"/>
      <c r="BT511" s="7"/>
      <c r="BU511" s="7"/>
      <c r="BV511" s="7"/>
      <c r="BW511" s="7"/>
      <c r="BX511" s="7"/>
      <c r="BY511" s="7"/>
      <c r="BZ511" s="7"/>
    </row>
    <row r="512" ht="16.5" customHeight="1">
      <c r="AT512" s="7"/>
      <c r="AU512" s="7"/>
      <c r="AV512" s="7"/>
      <c r="AW512" s="7"/>
      <c r="AX512" s="7"/>
      <c r="AY512" s="7"/>
      <c r="AZ512" s="7"/>
      <c r="BA512" s="7"/>
      <c r="BB512" s="7"/>
      <c r="BC512" s="7"/>
      <c r="BD512" s="7"/>
      <c r="BE512" s="7"/>
      <c r="BF512" s="7"/>
      <c r="BG512" s="7"/>
      <c r="BH512" s="7"/>
      <c r="BI512" s="7"/>
      <c r="BJ512" s="7"/>
      <c r="BK512" s="7"/>
      <c r="BL512" s="7"/>
      <c r="BM512" s="7"/>
      <c r="BN512" s="7"/>
      <c r="BO512" s="7"/>
      <c r="BP512" s="7"/>
      <c r="BQ512" s="7"/>
      <c r="BR512" s="7"/>
      <c r="BS512" s="7"/>
      <c r="BT512" s="7"/>
      <c r="BU512" s="7"/>
      <c r="BV512" s="7"/>
      <c r="BW512" s="7"/>
      <c r="BX512" s="7"/>
      <c r="BY512" s="7"/>
      <c r="BZ512" s="7"/>
    </row>
    <row r="513" ht="16.5" customHeight="1">
      <c r="AT513" s="7"/>
      <c r="AU513" s="7"/>
      <c r="AV513" s="7"/>
      <c r="AW513" s="7"/>
      <c r="AX513" s="7"/>
      <c r="AY513" s="7"/>
      <c r="AZ513" s="7"/>
      <c r="BA513" s="7"/>
      <c r="BB513" s="7"/>
      <c r="BC513" s="7"/>
      <c r="BD513" s="7"/>
      <c r="BE513" s="7"/>
      <c r="BF513" s="7"/>
      <c r="BG513" s="7"/>
      <c r="BH513" s="7"/>
      <c r="BI513" s="7"/>
      <c r="BJ513" s="7"/>
      <c r="BK513" s="7"/>
      <c r="BL513" s="7"/>
      <c r="BM513" s="7"/>
      <c r="BN513" s="7"/>
      <c r="BO513" s="7"/>
      <c r="BP513" s="7"/>
      <c r="BQ513" s="7"/>
      <c r="BR513" s="7"/>
      <c r="BS513" s="7"/>
      <c r="BT513" s="7"/>
      <c r="BU513" s="7"/>
      <c r="BV513" s="7"/>
      <c r="BW513" s="7"/>
      <c r="BX513" s="7"/>
      <c r="BY513" s="7"/>
      <c r="BZ513" s="7"/>
    </row>
    <row r="514" ht="16.5" customHeight="1">
      <c r="AT514" s="7"/>
      <c r="AU514" s="7"/>
      <c r="AV514" s="7"/>
      <c r="AW514" s="7"/>
      <c r="AX514" s="7"/>
      <c r="AY514" s="7"/>
      <c r="AZ514" s="7"/>
      <c r="BA514" s="7"/>
      <c r="BB514" s="7"/>
      <c r="BC514" s="7"/>
      <c r="BD514" s="7"/>
      <c r="BE514" s="7"/>
      <c r="BF514" s="7"/>
      <c r="BG514" s="7"/>
      <c r="BH514" s="7"/>
      <c r="BI514" s="7"/>
      <c r="BJ514" s="7"/>
      <c r="BK514" s="7"/>
      <c r="BL514" s="7"/>
      <c r="BM514" s="7"/>
      <c r="BN514" s="7"/>
      <c r="BO514" s="7"/>
      <c r="BP514" s="7"/>
      <c r="BQ514" s="7"/>
      <c r="BR514" s="7"/>
      <c r="BS514" s="7"/>
      <c r="BT514" s="7"/>
      <c r="BU514" s="7"/>
      <c r="BV514" s="7"/>
      <c r="BW514" s="7"/>
      <c r="BX514" s="7"/>
      <c r="BY514" s="7"/>
      <c r="BZ514" s="7"/>
    </row>
    <row r="515" ht="16.5" customHeight="1">
      <c r="AT515" s="7"/>
      <c r="AU515" s="7"/>
      <c r="AV515" s="7"/>
      <c r="AW515" s="7"/>
      <c r="AX515" s="7"/>
      <c r="AY515" s="7"/>
      <c r="AZ515" s="7"/>
      <c r="BA515" s="7"/>
      <c r="BB515" s="7"/>
      <c r="BC515" s="7"/>
      <c r="BD515" s="7"/>
      <c r="BE515" s="7"/>
      <c r="BF515" s="7"/>
      <c r="BG515" s="7"/>
      <c r="BH515" s="7"/>
      <c r="BI515" s="7"/>
      <c r="BJ515" s="7"/>
      <c r="BK515" s="7"/>
      <c r="BL515" s="7"/>
      <c r="BM515" s="7"/>
      <c r="BN515" s="7"/>
      <c r="BO515" s="7"/>
      <c r="BP515" s="7"/>
      <c r="BQ515" s="7"/>
      <c r="BR515" s="7"/>
      <c r="BS515" s="7"/>
      <c r="BT515" s="7"/>
      <c r="BU515" s="7"/>
      <c r="BV515" s="7"/>
      <c r="BW515" s="7"/>
      <c r="BX515" s="7"/>
      <c r="BY515" s="7"/>
      <c r="BZ515" s="7"/>
    </row>
    <row r="516" ht="16.5" customHeight="1">
      <c r="AT516" s="7"/>
      <c r="AU516" s="7"/>
      <c r="AV516" s="7"/>
      <c r="AW516" s="7"/>
      <c r="AX516" s="7"/>
      <c r="AY516" s="7"/>
      <c r="AZ516" s="7"/>
      <c r="BA516" s="7"/>
      <c r="BB516" s="7"/>
      <c r="BC516" s="7"/>
      <c r="BD516" s="7"/>
      <c r="BE516" s="7"/>
      <c r="BF516" s="7"/>
      <c r="BG516" s="7"/>
      <c r="BH516" s="7"/>
      <c r="BI516" s="7"/>
      <c r="BJ516" s="7"/>
      <c r="BK516" s="7"/>
      <c r="BL516" s="7"/>
      <c r="BM516" s="7"/>
      <c r="BN516" s="7"/>
      <c r="BO516" s="7"/>
      <c r="BP516" s="7"/>
      <c r="BQ516" s="7"/>
      <c r="BR516" s="7"/>
      <c r="BS516" s="7"/>
      <c r="BT516" s="7"/>
      <c r="BU516" s="7"/>
      <c r="BV516" s="7"/>
      <c r="BW516" s="7"/>
      <c r="BX516" s="7"/>
      <c r="BY516" s="7"/>
      <c r="BZ516" s="7"/>
    </row>
    <row r="517" ht="16.5" customHeight="1">
      <c r="AT517" s="7"/>
      <c r="AU517" s="7"/>
      <c r="AV517" s="7"/>
      <c r="AW517" s="7"/>
      <c r="AX517" s="7"/>
      <c r="AY517" s="7"/>
      <c r="AZ517" s="7"/>
      <c r="BA517" s="7"/>
      <c r="BB517" s="7"/>
      <c r="BC517" s="7"/>
      <c r="BD517" s="7"/>
      <c r="BE517" s="7"/>
      <c r="BF517" s="7"/>
      <c r="BG517" s="7"/>
      <c r="BH517" s="7"/>
      <c r="BI517" s="7"/>
      <c r="BJ517" s="7"/>
      <c r="BK517" s="7"/>
      <c r="BL517" s="7"/>
      <c r="BM517" s="7"/>
      <c r="BN517" s="7"/>
      <c r="BO517" s="7"/>
      <c r="BP517" s="7"/>
      <c r="BQ517" s="7"/>
      <c r="BR517" s="7"/>
      <c r="BS517" s="7"/>
      <c r="BT517" s="7"/>
      <c r="BU517" s="7"/>
      <c r="BV517" s="7"/>
      <c r="BW517" s="7"/>
      <c r="BX517" s="7"/>
      <c r="BY517" s="7"/>
      <c r="BZ517" s="7"/>
    </row>
    <row r="518" ht="16.5" customHeight="1">
      <c r="AT518" s="7"/>
      <c r="AU518" s="7"/>
      <c r="AV518" s="7"/>
      <c r="AW518" s="7"/>
      <c r="AX518" s="7"/>
      <c r="AY518" s="7"/>
      <c r="AZ518" s="7"/>
      <c r="BA518" s="7"/>
      <c r="BB518" s="7"/>
      <c r="BC518" s="7"/>
      <c r="BD518" s="7"/>
      <c r="BE518" s="7"/>
      <c r="BF518" s="7"/>
      <c r="BG518" s="7"/>
      <c r="BH518" s="7"/>
      <c r="BI518" s="7"/>
      <c r="BJ518" s="7"/>
      <c r="BK518" s="7"/>
      <c r="BL518" s="7"/>
      <c r="BM518" s="7"/>
      <c r="BN518" s="7"/>
      <c r="BO518" s="7"/>
      <c r="BP518" s="7"/>
      <c r="BQ518" s="7"/>
      <c r="BR518" s="7"/>
      <c r="BS518" s="7"/>
      <c r="BT518" s="7"/>
      <c r="BU518" s="7"/>
      <c r="BV518" s="7"/>
      <c r="BW518" s="7"/>
      <c r="BX518" s="7"/>
      <c r="BY518" s="7"/>
      <c r="BZ518" s="7"/>
    </row>
    <row r="519" ht="16.5" customHeight="1">
      <c r="AT519" s="7"/>
      <c r="AU519" s="7"/>
      <c r="AV519" s="7"/>
      <c r="AW519" s="7"/>
      <c r="AX519" s="7"/>
      <c r="AY519" s="7"/>
      <c r="AZ519" s="7"/>
      <c r="BA519" s="7"/>
      <c r="BB519" s="7"/>
      <c r="BC519" s="7"/>
      <c r="BD519" s="7"/>
      <c r="BE519" s="7"/>
      <c r="BF519" s="7"/>
      <c r="BG519" s="7"/>
      <c r="BH519" s="7"/>
      <c r="BI519" s="7"/>
      <c r="BJ519" s="7"/>
      <c r="BK519" s="7"/>
      <c r="BL519" s="7"/>
      <c r="BM519" s="7"/>
      <c r="BN519" s="7"/>
      <c r="BO519" s="7"/>
      <c r="BP519" s="7"/>
      <c r="BQ519" s="7"/>
      <c r="BR519" s="7"/>
      <c r="BS519" s="7"/>
      <c r="BT519" s="7"/>
      <c r="BU519" s="7"/>
      <c r="BV519" s="7"/>
      <c r="BW519" s="7"/>
      <c r="BX519" s="7"/>
      <c r="BY519" s="7"/>
      <c r="BZ519" s="7"/>
    </row>
    <row r="520" ht="16.5" customHeight="1">
      <c r="AT520" s="7"/>
      <c r="AU520" s="7"/>
      <c r="AV520" s="7"/>
      <c r="AW520" s="7"/>
      <c r="AX520" s="7"/>
      <c r="AY520" s="7"/>
      <c r="AZ520" s="7"/>
      <c r="BA520" s="7"/>
      <c r="BB520" s="7"/>
      <c r="BC520" s="7"/>
      <c r="BD520" s="7"/>
      <c r="BE520" s="7"/>
      <c r="BF520" s="7"/>
      <c r="BG520" s="7"/>
      <c r="BH520" s="7"/>
      <c r="BI520" s="7"/>
      <c r="BJ520" s="7"/>
      <c r="BK520" s="7"/>
      <c r="BL520" s="7"/>
      <c r="BM520" s="7"/>
      <c r="BN520" s="7"/>
      <c r="BO520" s="7"/>
      <c r="BP520" s="7"/>
      <c r="BQ520" s="7"/>
      <c r="BR520" s="7"/>
      <c r="BS520" s="7"/>
      <c r="BT520" s="7"/>
      <c r="BU520" s="7"/>
      <c r="BV520" s="7"/>
      <c r="BW520" s="7"/>
      <c r="BX520" s="7"/>
      <c r="BY520" s="7"/>
      <c r="BZ520" s="7"/>
    </row>
    <row r="521" ht="16.5" customHeight="1">
      <c r="AT521" s="7"/>
      <c r="AU521" s="7"/>
      <c r="AV521" s="7"/>
      <c r="AW521" s="7"/>
      <c r="AX521" s="7"/>
      <c r="AY521" s="7"/>
      <c r="AZ521" s="7"/>
      <c r="BA521" s="7"/>
      <c r="BB521" s="7"/>
      <c r="BC521" s="7"/>
      <c r="BD521" s="7"/>
      <c r="BE521" s="7"/>
      <c r="BF521" s="7"/>
      <c r="BG521" s="7"/>
      <c r="BH521" s="7"/>
      <c r="BI521" s="7"/>
      <c r="BJ521" s="7"/>
      <c r="BK521" s="7"/>
      <c r="BL521" s="7"/>
      <c r="BM521" s="7"/>
      <c r="BN521" s="7"/>
      <c r="BO521" s="7"/>
      <c r="BP521" s="7"/>
      <c r="BQ521" s="7"/>
      <c r="BR521" s="7"/>
      <c r="BS521" s="7"/>
      <c r="BT521" s="7"/>
      <c r="BU521" s="7"/>
      <c r="BV521" s="7"/>
      <c r="BW521" s="7"/>
      <c r="BX521" s="7"/>
      <c r="BY521" s="7"/>
      <c r="BZ521" s="7"/>
    </row>
    <row r="522" ht="16.5" customHeight="1">
      <c r="AT522" s="7"/>
      <c r="AU522" s="7"/>
      <c r="AV522" s="7"/>
      <c r="AW522" s="7"/>
      <c r="AX522" s="7"/>
      <c r="AY522" s="7"/>
      <c r="AZ522" s="7"/>
      <c r="BA522" s="7"/>
      <c r="BB522" s="7"/>
      <c r="BC522" s="7"/>
      <c r="BD522" s="7"/>
      <c r="BE522" s="7"/>
      <c r="BF522" s="7"/>
      <c r="BG522" s="7"/>
      <c r="BH522" s="7"/>
      <c r="BI522" s="7"/>
      <c r="BJ522" s="7"/>
      <c r="BK522" s="7"/>
      <c r="BL522" s="7"/>
      <c r="BM522" s="7"/>
      <c r="BN522" s="7"/>
      <c r="BO522" s="7"/>
      <c r="BP522" s="7"/>
      <c r="BQ522" s="7"/>
      <c r="BR522" s="7"/>
      <c r="BS522" s="7"/>
      <c r="BT522" s="7"/>
      <c r="BU522" s="7"/>
      <c r="BV522" s="7"/>
      <c r="BW522" s="7"/>
      <c r="BX522" s="7"/>
      <c r="BY522" s="7"/>
      <c r="BZ522" s="7"/>
    </row>
    <row r="523" ht="16.5" customHeight="1">
      <c r="AT523" s="7"/>
      <c r="AU523" s="7"/>
      <c r="AV523" s="7"/>
      <c r="AW523" s="7"/>
      <c r="AX523" s="7"/>
      <c r="AY523" s="7"/>
      <c r="AZ523" s="7"/>
      <c r="BA523" s="7"/>
      <c r="BB523" s="7"/>
      <c r="BC523" s="7"/>
      <c r="BD523" s="7"/>
      <c r="BE523" s="7"/>
      <c r="BF523" s="7"/>
      <c r="BG523" s="7"/>
      <c r="BH523" s="7"/>
      <c r="BI523" s="7"/>
      <c r="BJ523" s="7"/>
      <c r="BK523" s="7"/>
      <c r="BL523" s="7"/>
      <c r="BM523" s="7"/>
      <c r="BN523" s="7"/>
      <c r="BO523" s="7"/>
      <c r="BP523" s="7"/>
      <c r="BQ523" s="7"/>
      <c r="BR523" s="7"/>
      <c r="BS523" s="7"/>
      <c r="BT523" s="7"/>
      <c r="BU523" s="7"/>
      <c r="BV523" s="7"/>
      <c r="BW523" s="7"/>
      <c r="BX523" s="7"/>
      <c r="BY523" s="7"/>
      <c r="BZ523" s="7"/>
    </row>
    <row r="524" ht="16.5" customHeight="1">
      <c r="AT524" s="7"/>
      <c r="AU524" s="7"/>
      <c r="AV524" s="7"/>
      <c r="AW524" s="7"/>
      <c r="AX524" s="7"/>
      <c r="AY524" s="7"/>
      <c r="AZ524" s="7"/>
      <c r="BA524" s="7"/>
      <c r="BB524" s="7"/>
      <c r="BC524" s="7"/>
      <c r="BD524" s="7"/>
      <c r="BE524" s="7"/>
      <c r="BF524" s="7"/>
      <c r="BG524" s="7"/>
      <c r="BH524" s="7"/>
      <c r="BI524" s="7"/>
      <c r="BJ524" s="7"/>
      <c r="BK524" s="7"/>
      <c r="BL524" s="7"/>
      <c r="BM524" s="7"/>
      <c r="BN524" s="7"/>
      <c r="BO524" s="7"/>
      <c r="BP524" s="7"/>
      <c r="BQ524" s="7"/>
      <c r="BR524" s="7"/>
      <c r="BS524" s="7"/>
      <c r="BT524" s="7"/>
      <c r="BU524" s="7"/>
      <c r="BV524" s="7"/>
      <c r="BW524" s="7"/>
      <c r="BX524" s="7"/>
      <c r="BY524" s="7"/>
      <c r="BZ524" s="7"/>
    </row>
    <row r="525" ht="16.5" customHeight="1">
      <c r="AT525" s="7"/>
      <c r="AU525" s="7"/>
      <c r="AV525" s="7"/>
      <c r="AW525" s="7"/>
      <c r="AX525" s="7"/>
      <c r="AY525" s="7"/>
      <c r="AZ525" s="7"/>
      <c r="BA525" s="7"/>
      <c r="BB525" s="7"/>
      <c r="BC525" s="7"/>
      <c r="BD525" s="7"/>
      <c r="BE525" s="7"/>
      <c r="BF525" s="7"/>
      <c r="BG525" s="7"/>
      <c r="BH525" s="7"/>
      <c r="BI525" s="7"/>
      <c r="BJ525" s="7"/>
      <c r="BK525" s="7"/>
      <c r="BL525" s="7"/>
      <c r="BM525" s="7"/>
      <c r="BN525" s="7"/>
      <c r="BO525" s="7"/>
      <c r="BP525" s="7"/>
      <c r="BQ525" s="7"/>
      <c r="BR525" s="7"/>
      <c r="BS525" s="7"/>
      <c r="BT525" s="7"/>
      <c r="BU525" s="7"/>
      <c r="BV525" s="7"/>
      <c r="BW525" s="7"/>
      <c r="BX525" s="7"/>
      <c r="BY525" s="7"/>
      <c r="BZ525" s="7"/>
    </row>
    <row r="526" ht="16.5" customHeight="1">
      <c r="AT526" s="7"/>
      <c r="AU526" s="7"/>
      <c r="AV526" s="7"/>
      <c r="AW526" s="7"/>
      <c r="AX526" s="7"/>
      <c r="AY526" s="7"/>
      <c r="AZ526" s="7"/>
      <c r="BA526" s="7"/>
      <c r="BB526" s="7"/>
      <c r="BC526" s="7"/>
      <c r="BD526" s="7"/>
      <c r="BE526" s="7"/>
      <c r="BF526" s="7"/>
      <c r="BG526" s="7"/>
      <c r="BH526" s="7"/>
      <c r="BI526" s="7"/>
      <c r="BJ526" s="7"/>
      <c r="BK526" s="7"/>
      <c r="BL526" s="7"/>
      <c r="BM526" s="7"/>
      <c r="BN526" s="7"/>
      <c r="BO526" s="7"/>
      <c r="BP526" s="7"/>
      <c r="BQ526" s="7"/>
      <c r="BR526" s="7"/>
      <c r="BS526" s="7"/>
      <c r="BT526" s="7"/>
      <c r="BU526" s="7"/>
      <c r="BV526" s="7"/>
      <c r="BW526" s="7"/>
      <c r="BX526" s="7"/>
      <c r="BY526" s="7"/>
      <c r="BZ526" s="7"/>
    </row>
    <row r="527" ht="16.5" customHeight="1">
      <c r="AT527" s="7"/>
      <c r="AU527" s="7"/>
      <c r="AV527" s="7"/>
      <c r="AW527" s="7"/>
      <c r="AX527" s="7"/>
      <c r="AY527" s="7"/>
      <c r="AZ527" s="7"/>
      <c r="BA527" s="7"/>
      <c r="BB527" s="7"/>
      <c r="BC527" s="7"/>
      <c r="BD527" s="7"/>
      <c r="BE527" s="7"/>
      <c r="BF527" s="7"/>
      <c r="BG527" s="7"/>
      <c r="BH527" s="7"/>
      <c r="BI527" s="7"/>
      <c r="BJ527" s="7"/>
      <c r="BK527" s="7"/>
      <c r="BL527" s="7"/>
      <c r="BM527" s="7"/>
      <c r="BN527" s="7"/>
      <c r="BO527" s="7"/>
      <c r="BP527" s="7"/>
      <c r="BQ527" s="7"/>
      <c r="BR527" s="7"/>
      <c r="BS527" s="7"/>
      <c r="BT527" s="7"/>
      <c r="BU527" s="7"/>
      <c r="BV527" s="7"/>
      <c r="BW527" s="7"/>
      <c r="BX527" s="7"/>
      <c r="BY527" s="7"/>
      <c r="BZ527" s="7"/>
    </row>
    <row r="528" ht="16.5" customHeight="1">
      <c r="AT528" s="7"/>
      <c r="AU528" s="7"/>
      <c r="AV528" s="7"/>
      <c r="AW528" s="7"/>
      <c r="AX528" s="7"/>
      <c r="AY528" s="7"/>
      <c r="AZ528" s="7"/>
      <c r="BA528" s="7"/>
      <c r="BB528" s="7"/>
      <c r="BC528" s="7"/>
      <c r="BD528" s="7"/>
      <c r="BE528" s="7"/>
      <c r="BF528" s="7"/>
      <c r="BG528" s="7"/>
      <c r="BH528" s="7"/>
      <c r="BI528" s="7"/>
      <c r="BJ528" s="7"/>
      <c r="BK528" s="7"/>
      <c r="BL528" s="7"/>
      <c r="BM528" s="7"/>
      <c r="BN528" s="7"/>
      <c r="BO528" s="7"/>
      <c r="BP528" s="7"/>
      <c r="BQ528" s="7"/>
      <c r="BR528" s="7"/>
      <c r="BS528" s="7"/>
      <c r="BT528" s="7"/>
      <c r="BU528" s="7"/>
      <c r="BV528" s="7"/>
      <c r="BW528" s="7"/>
      <c r="BX528" s="7"/>
      <c r="BY528" s="7"/>
      <c r="BZ528" s="7"/>
    </row>
    <row r="529" ht="16.5" customHeight="1">
      <c r="AT529" s="7"/>
      <c r="AU529" s="7"/>
      <c r="AV529" s="7"/>
      <c r="AW529" s="7"/>
      <c r="AX529" s="7"/>
      <c r="AY529" s="7"/>
      <c r="AZ529" s="7"/>
      <c r="BA529" s="7"/>
      <c r="BB529" s="7"/>
      <c r="BC529" s="7"/>
      <c r="BD529" s="7"/>
      <c r="BE529" s="7"/>
      <c r="BF529" s="7"/>
      <c r="BG529" s="7"/>
      <c r="BH529" s="7"/>
      <c r="BI529" s="7"/>
      <c r="BJ529" s="7"/>
      <c r="BK529" s="7"/>
      <c r="BL529" s="7"/>
      <c r="BM529" s="7"/>
      <c r="BN529" s="7"/>
      <c r="BO529" s="7"/>
      <c r="BP529" s="7"/>
      <c r="BQ529" s="7"/>
      <c r="BR529" s="7"/>
      <c r="BS529" s="7"/>
      <c r="BT529" s="7"/>
      <c r="BU529" s="7"/>
      <c r="BV529" s="7"/>
      <c r="BW529" s="7"/>
      <c r="BX529" s="7"/>
      <c r="BY529" s="7"/>
      <c r="BZ529" s="7"/>
    </row>
    <row r="530" ht="16.5" customHeight="1">
      <c r="AT530" s="7"/>
      <c r="AU530" s="7"/>
      <c r="AV530" s="7"/>
      <c r="AW530" s="7"/>
      <c r="AX530" s="7"/>
      <c r="AY530" s="7"/>
      <c r="AZ530" s="7"/>
      <c r="BA530" s="7"/>
      <c r="BB530" s="7"/>
      <c r="BC530" s="7"/>
      <c r="BD530" s="7"/>
      <c r="BE530" s="7"/>
      <c r="BF530" s="7"/>
      <c r="BG530" s="7"/>
      <c r="BH530" s="7"/>
      <c r="BI530" s="7"/>
      <c r="BJ530" s="7"/>
      <c r="BK530" s="7"/>
      <c r="BL530" s="7"/>
      <c r="BM530" s="7"/>
      <c r="BN530" s="7"/>
      <c r="BO530" s="7"/>
      <c r="BP530" s="7"/>
      <c r="BQ530" s="7"/>
      <c r="BR530" s="7"/>
      <c r="BS530" s="7"/>
      <c r="BT530" s="7"/>
      <c r="BU530" s="7"/>
      <c r="BV530" s="7"/>
      <c r="BW530" s="7"/>
      <c r="BX530" s="7"/>
      <c r="BY530" s="7"/>
      <c r="BZ530" s="7"/>
    </row>
    <row r="531" ht="16.5" customHeight="1">
      <c r="AT531" s="7"/>
      <c r="AU531" s="7"/>
      <c r="AV531" s="7"/>
      <c r="AW531" s="7"/>
      <c r="AX531" s="7"/>
      <c r="AY531" s="7"/>
      <c r="AZ531" s="7"/>
      <c r="BA531" s="7"/>
      <c r="BB531" s="7"/>
      <c r="BC531" s="7"/>
      <c r="BD531" s="7"/>
      <c r="BE531" s="7"/>
      <c r="BF531" s="7"/>
      <c r="BG531" s="7"/>
      <c r="BH531" s="7"/>
      <c r="BI531" s="7"/>
      <c r="BJ531" s="7"/>
      <c r="BK531" s="7"/>
      <c r="BL531" s="7"/>
      <c r="BM531" s="7"/>
      <c r="BN531" s="7"/>
      <c r="BO531" s="7"/>
      <c r="BP531" s="7"/>
      <c r="BQ531" s="7"/>
      <c r="BR531" s="7"/>
      <c r="BS531" s="7"/>
      <c r="BT531" s="7"/>
      <c r="BU531" s="7"/>
      <c r="BV531" s="7"/>
      <c r="BW531" s="7"/>
      <c r="BX531" s="7"/>
      <c r="BY531" s="7"/>
      <c r="BZ531" s="7"/>
    </row>
    <row r="532" ht="16.5" customHeight="1">
      <c r="AT532" s="7"/>
      <c r="AU532" s="7"/>
      <c r="AV532" s="7"/>
      <c r="AW532" s="7"/>
      <c r="AX532" s="7"/>
      <c r="AY532" s="7"/>
      <c r="AZ532" s="7"/>
      <c r="BA532" s="7"/>
      <c r="BB532" s="7"/>
      <c r="BC532" s="7"/>
      <c r="BD532" s="7"/>
      <c r="BE532" s="7"/>
      <c r="BF532" s="7"/>
      <c r="BG532" s="7"/>
      <c r="BH532" s="7"/>
      <c r="BI532" s="7"/>
      <c r="BJ532" s="7"/>
      <c r="BK532" s="7"/>
      <c r="BL532" s="7"/>
      <c r="BM532" s="7"/>
      <c r="BN532" s="7"/>
      <c r="BO532" s="7"/>
      <c r="BP532" s="7"/>
      <c r="BQ532" s="7"/>
      <c r="BR532" s="7"/>
      <c r="BS532" s="7"/>
      <c r="BT532" s="7"/>
      <c r="BU532" s="7"/>
      <c r="BV532" s="7"/>
      <c r="BW532" s="7"/>
      <c r="BX532" s="7"/>
      <c r="BY532" s="7"/>
      <c r="BZ532" s="7"/>
    </row>
    <row r="533" ht="16.5" customHeight="1">
      <c r="AT533" s="7"/>
      <c r="AU533" s="7"/>
      <c r="AV533" s="7"/>
      <c r="AW533" s="7"/>
      <c r="AX533" s="7"/>
      <c r="AY533" s="7"/>
      <c r="AZ533" s="7"/>
      <c r="BA533" s="7"/>
      <c r="BB533" s="7"/>
      <c r="BC533" s="7"/>
      <c r="BD533" s="7"/>
      <c r="BE533" s="7"/>
      <c r="BF533" s="7"/>
      <c r="BG533" s="7"/>
      <c r="BH533" s="7"/>
      <c r="BI533" s="7"/>
      <c r="BJ533" s="7"/>
      <c r="BK533" s="7"/>
      <c r="BL533" s="7"/>
      <c r="BM533" s="7"/>
      <c r="BN533" s="7"/>
      <c r="BO533" s="7"/>
      <c r="BP533" s="7"/>
      <c r="BQ533" s="7"/>
      <c r="BR533" s="7"/>
      <c r="BS533" s="7"/>
      <c r="BT533" s="7"/>
      <c r="BU533" s="7"/>
      <c r="BV533" s="7"/>
      <c r="BW533" s="7"/>
      <c r="BX533" s="7"/>
      <c r="BY533" s="7"/>
      <c r="BZ533" s="7"/>
    </row>
    <row r="534" ht="16.5" customHeight="1">
      <c r="AT534" s="7"/>
      <c r="AU534" s="7"/>
      <c r="AV534" s="7"/>
      <c r="AW534" s="7"/>
      <c r="AX534" s="7"/>
      <c r="AY534" s="7"/>
      <c r="AZ534" s="7"/>
      <c r="BA534" s="7"/>
      <c r="BB534" s="7"/>
      <c r="BC534" s="7"/>
      <c r="BD534" s="7"/>
      <c r="BE534" s="7"/>
      <c r="BF534" s="7"/>
      <c r="BG534" s="7"/>
      <c r="BH534" s="7"/>
      <c r="BI534" s="7"/>
      <c r="BJ534" s="7"/>
      <c r="BK534" s="7"/>
      <c r="BL534" s="7"/>
      <c r="BM534" s="7"/>
      <c r="BN534" s="7"/>
      <c r="BO534" s="7"/>
      <c r="BP534" s="7"/>
      <c r="BQ534" s="7"/>
      <c r="BR534" s="7"/>
      <c r="BS534" s="7"/>
      <c r="BT534" s="7"/>
      <c r="BU534" s="7"/>
      <c r="BV534" s="7"/>
      <c r="BW534" s="7"/>
      <c r="BX534" s="7"/>
      <c r="BY534" s="7"/>
      <c r="BZ534" s="7"/>
    </row>
    <row r="535" ht="16.5" customHeight="1">
      <c r="AT535" s="7"/>
      <c r="AU535" s="7"/>
      <c r="AV535" s="7"/>
      <c r="AW535" s="7"/>
      <c r="AX535" s="7"/>
      <c r="AY535" s="7"/>
      <c r="AZ535" s="7"/>
      <c r="BA535" s="7"/>
      <c r="BB535" s="7"/>
      <c r="BC535" s="7"/>
      <c r="BD535" s="7"/>
      <c r="BE535" s="7"/>
      <c r="BF535" s="7"/>
      <c r="BG535" s="7"/>
      <c r="BH535" s="7"/>
      <c r="BI535" s="7"/>
      <c r="BJ535" s="7"/>
      <c r="BK535" s="7"/>
      <c r="BL535" s="7"/>
      <c r="BM535" s="7"/>
      <c r="BN535" s="7"/>
      <c r="BO535" s="7"/>
      <c r="BP535" s="7"/>
      <c r="BQ535" s="7"/>
      <c r="BR535" s="7"/>
      <c r="BS535" s="7"/>
      <c r="BT535" s="7"/>
      <c r="BU535" s="7"/>
      <c r="BV535" s="7"/>
      <c r="BW535" s="7"/>
      <c r="BX535" s="7"/>
      <c r="BY535" s="7"/>
      <c r="BZ535" s="7"/>
    </row>
    <row r="536" ht="16.5" customHeight="1">
      <c r="AT536" s="7"/>
      <c r="AU536" s="7"/>
      <c r="AV536" s="7"/>
      <c r="AW536" s="7"/>
      <c r="AX536" s="7"/>
      <c r="AY536" s="7"/>
      <c r="AZ536" s="7"/>
      <c r="BA536" s="7"/>
      <c r="BB536" s="7"/>
      <c r="BC536" s="7"/>
      <c r="BD536" s="7"/>
      <c r="BE536" s="7"/>
      <c r="BF536" s="7"/>
      <c r="BG536" s="7"/>
      <c r="BH536" s="7"/>
      <c r="BI536" s="7"/>
      <c r="BJ536" s="7"/>
      <c r="BK536" s="7"/>
      <c r="BL536" s="7"/>
      <c r="BM536" s="7"/>
      <c r="BN536" s="7"/>
      <c r="BO536" s="7"/>
      <c r="BP536" s="7"/>
      <c r="BQ536" s="7"/>
      <c r="BR536" s="7"/>
      <c r="BS536" s="7"/>
      <c r="BT536" s="7"/>
      <c r="BU536" s="7"/>
      <c r="BV536" s="7"/>
      <c r="BW536" s="7"/>
      <c r="BX536" s="7"/>
      <c r="BY536" s="7"/>
      <c r="BZ536" s="7"/>
    </row>
    <row r="537" ht="16.5" customHeight="1">
      <c r="AT537" s="7"/>
      <c r="AU537" s="7"/>
      <c r="AV537" s="7"/>
      <c r="AW537" s="7"/>
      <c r="AX537" s="7"/>
      <c r="AY537" s="7"/>
      <c r="AZ537" s="7"/>
      <c r="BA537" s="7"/>
      <c r="BB537" s="7"/>
      <c r="BC537" s="7"/>
      <c r="BD537" s="7"/>
      <c r="BE537" s="7"/>
      <c r="BF537" s="7"/>
      <c r="BG537" s="7"/>
      <c r="BH537" s="7"/>
      <c r="BI537" s="7"/>
      <c r="BJ537" s="7"/>
      <c r="BK537" s="7"/>
      <c r="BL537" s="7"/>
      <c r="BM537" s="7"/>
      <c r="BN537" s="7"/>
      <c r="BO537" s="7"/>
      <c r="BP537" s="7"/>
      <c r="BQ537" s="7"/>
      <c r="BR537" s="7"/>
      <c r="BS537" s="7"/>
      <c r="BT537" s="7"/>
      <c r="BU537" s="7"/>
      <c r="BV537" s="7"/>
      <c r="BW537" s="7"/>
      <c r="BX537" s="7"/>
      <c r="BY537" s="7"/>
      <c r="BZ537" s="7"/>
    </row>
    <row r="538" ht="16.5" customHeight="1">
      <c r="AT538" s="7"/>
      <c r="AU538" s="7"/>
      <c r="AV538" s="7"/>
      <c r="AW538" s="7"/>
      <c r="AX538" s="7"/>
      <c r="AY538" s="7"/>
      <c r="AZ538" s="7"/>
      <c r="BA538" s="7"/>
      <c r="BB538" s="7"/>
      <c r="BC538" s="7"/>
      <c r="BD538" s="7"/>
      <c r="BE538" s="7"/>
      <c r="BF538" s="7"/>
      <c r="BG538" s="7"/>
      <c r="BH538" s="7"/>
      <c r="BI538" s="7"/>
      <c r="BJ538" s="7"/>
      <c r="BK538" s="7"/>
      <c r="BL538" s="7"/>
      <c r="BM538" s="7"/>
      <c r="BN538" s="7"/>
      <c r="BO538" s="7"/>
      <c r="BP538" s="7"/>
      <c r="BQ538" s="7"/>
      <c r="BR538" s="7"/>
      <c r="BS538" s="7"/>
      <c r="BT538" s="7"/>
      <c r="BU538" s="7"/>
      <c r="BV538" s="7"/>
      <c r="BW538" s="7"/>
      <c r="BX538" s="7"/>
      <c r="BY538" s="7"/>
      <c r="BZ538" s="7"/>
    </row>
    <row r="539" ht="16.5" customHeight="1">
      <c r="AT539" s="7"/>
      <c r="AU539" s="7"/>
      <c r="AV539" s="7"/>
      <c r="AW539" s="7"/>
      <c r="AX539" s="7"/>
      <c r="AY539" s="7"/>
      <c r="AZ539" s="7"/>
      <c r="BA539" s="7"/>
      <c r="BB539" s="7"/>
      <c r="BC539" s="7"/>
      <c r="BD539" s="7"/>
      <c r="BE539" s="7"/>
      <c r="BF539" s="7"/>
      <c r="BG539" s="7"/>
      <c r="BH539" s="7"/>
      <c r="BI539" s="7"/>
      <c r="BJ539" s="7"/>
      <c r="BK539" s="7"/>
      <c r="BL539" s="7"/>
      <c r="BM539" s="7"/>
      <c r="BN539" s="7"/>
      <c r="BO539" s="7"/>
      <c r="BP539" s="7"/>
      <c r="BQ539" s="7"/>
      <c r="BR539" s="7"/>
      <c r="BS539" s="7"/>
      <c r="BT539" s="7"/>
      <c r="BU539" s="7"/>
      <c r="BV539" s="7"/>
      <c r="BW539" s="7"/>
      <c r="BX539" s="7"/>
      <c r="BY539" s="7"/>
      <c r="BZ539" s="7"/>
    </row>
    <row r="540" ht="16.5" customHeight="1">
      <c r="AT540" s="7"/>
      <c r="AU540" s="7"/>
      <c r="AV540" s="7"/>
      <c r="AW540" s="7"/>
      <c r="AX540" s="7"/>
      <c r="AY540" s="7"/>
      <c r="AZ540" s="7"/>
      <c r="BA540" s="7"/>
      <c r="BB540" s="7"/>
      <c r="BC540" s="7"/>
      <c r="BD540" s="7"/>
      <c r="BE540" s="7"/>
      <c r="BF540" s="7"/>
      <c r="BG540" s="7"/>
      <c r="BH540" s="7"/>
      <c r="BI540" s="7"/>
      <c r="BJ540" s="7"/>
      <c r="BK540" s="7"/>
      <c r="BL540" s="7"/>
      <c r="BM540" s="7"/>
      <c r="BN540" s="7"/>
      <c r="BO540" s="7"/>
      <c r="BP540" s="7"/>
      <c r="BQ540" s="7"/>
      <c r="BR540" s="7"/>
      <c r="BS540" s="7"/>
      <c r="BT540" s="7"/>
      <c r="BU540" s="7"/>
      <c r="BV540" s="7"/>
      <c r="BW540" s="7"/>
      <c r="BX540" s="7"/>
      <c r="BY540" s="7"/>
      <c r="BZ540" s="7"/>
    </row>
    <row r="541" ht="16.5" customHeight="1">
      <c r="AT541" s="7"/>
      <c r="AU541" s="7"/>
      <c r="AV541" s="7"/>
      <c r="AW541" s="7"/>
      <c r="AX541" s="7"/>
      <c r="AY541" s="7"/>
      <c r="AZ541" s="7"/>
      <c r="BA541" s="7"/>
      <c r="BB541" s="7"/>
      <c r="BC541" s="7"/>
      <c r="BD541" s="7"/>
      <c r="BE541" s="7"/>
      <c r="BF541" s="7"/>
      <c r="BG541" s="7"/>
      <c r="BH541" s="7"/>
      <c r="BI541" s="7"/>
      <c r="BJ541" s="7"/>
      <c r="BK541" s="7"/>
      <c r="BL541" s="7"/>
      <c r="BM541" s="7"/>
      <c r="BN541" s="7"/>
      <c r="BO541" s="7"/>
      <c r="BP541" s="7"/>
      <c r="BQ541" s="7"/>
      <c r="BR541" s="7"/>
      <c r="BS541" s="7"/>
      <c r="BT541" s="7"/>
      <c r="BU541" s="7"/>
      <c r="BV541" s="7"/>
      <c r="BW541" s="7"/>
      <c r="BX541" s="7"/>
      <c r="BY541" s="7"/>
      <c r="BZ541" s="7"/>
    </row>
    <row r="542" ht="16.5" customHeight="1">
      <c r="AT542" s="7"/>
      <c r="AU542" s="7"/>
      <c r="AV542" s="7"/>
      <c r="AW542" s="7"/>
      <c r="AX542" s="7"/>
      <c r="AY542" s="7"/>
      <c r="AZ542" s="7"/>
      <c r="BA542" s="7"/>
      <c r="BB542" s="7"/>
      <c r="BC542" s="7"/>
      <c r="BD542" s="7"/>
      <c r="BE542" s="7"/>
      <c r="BF542" s="7"/>
      <c r="BG542" s="7"/>
      <c r="BH542" s="7"/>
      <c r="BI542" s="7"/>
      <c r="BJ542" s="7"/>
      <c r="BK542" s="7"/>
      <c r="BL542" s="7"/>
      <c r="BM542" s="7"/>
      <c r="BN542" s="7"/>
      <c r="BO542" s="7"/>
      <c r="BP542" s="7"/>
      <c r="BQ542" s="7"/>
      <c r="BR542" s="7"/>
      <c r="BS542" s="7"/>
      <c r="BT542" s="7"/>
      <c r="BU542" s="7"/>
      <c r="BV542" s="7"/>
      <c r="BW542" s="7"/>
      <c r="BX542" s="7"/>
      <c r="BY542" s="7"/>
      <c r="BZ542" s="7"/>
    </row>
    <row r="543" ht="16.5" customHeight="1">
      <c r="AT543" s="7"/>
      <c r="AU543" s="7"/>
      <c r="AV543" s="7"/>
      <c r="AW543" s="7"/>
      <c r="AX543" s="7"/>
      <c r="AY543" s="7"/>
      <c r="AZ543" s="7"/>
      <c r="BA543" s="7"/>
      <c r="BB543" s="7"/>
      <c r="BC543" s="7"/>
      <c r="BD543" s="7"/>
      <c r="BE543" s="7"/>
      <c r="BF543" s="7"/>
      <c r="BG543" s="7"/>
      <c r="BH543" s="7"/>
      <c r="BI543" s="7"/>
      <c r="BJ543" s="7"/>
      <c r="BK543" s="7"/>
      <c r="BL543" s="7"/>
      <c r="BM543" s="7"/>
      <c r="BN543" s="7"/>
      <c r="BO543" s="7"/>
      <c r="BP543" s="7"/>
      <c r="BQ543" s="7"/>
      <c r="BR543" s="7"/>
      <c r="BS543" s="7"/>
      <c r="BT543" s="7"/>
      <c r="BU543" s="7"/>
      <c r="BV543" s="7"/>
      <c r="BW543" s="7"/>
      <c r="BX543" s="7"/>
      <c r="BY543" s="7"/>
      <c r="BZ543" s="7"/>
    </row>
    <row r="544" ht="16.5" customHeight="1">
      <c r="AT544" s="7"/>
      <c r="AU544" s="7"/>
      <c r="AV544" s="7"/>
      <c r="AW544" s="7"/>
      <c r="AX544" s="7"/>
      <c r="AY544" s="7"/>
      <c r="AZ544" s="7"/>
      <c r="BA544" s="7"/>
      <c r="BB544" s="7"/>
      <c r="BC544" s="7"/>
      <c r="BD544" s="7"/>
      <c r="BE544" s="7"/>
      <c r="BF544" s="7"/>
      <c r="BG544" s="7"/>
      <c r="BH544" s="7"/>
      <c r="BI544" s="7"/>
      <c r="BJ544" s="7"/>
      <c r="BK544" s="7"/>
      <c r="BL544" s="7"/>
      <c r="BM544" s="7"/>
      <c r="BN544" s="7"/>
      <c r="BO544" s="7"/>
      <c r="BP544" s="7"/>
      <c r="BQ544" s="7"/>
      <c r="BR544" s="7"/>
      <c r="BS544" s="7"/>
      <c r="BT544" s="7"/>
      <c r="BU544" s="7"/>
      <c r="BV544" s="7"/>
      <c r="BW544" s="7"/>
      <c r="BX544" s="7"/>
      <c r="BY544" s="7"/>
      <c r="BZ544" s="7"/>
    </row>
    <row r="545" ht="16.5" customHeight="1">
      <c r="AT545" s="7"/>
      <c r="AU545" s="7"/>
      <c r="AV545" s="7"/>
      <c r="AW545" s="7"/>
      <c r="AX545" s="7"/>
      <c r="AY545" s="7"/>
      <c r="AZ545" s="7"/>
      <c r="BA545" s="7"/>
      <c r="BB545" s="7"/>
      <c r="BC545" s="7"/>
      <c r="BD545" s="7"/>
      <c r="BE545" s="7"/>
      <c r="BF545" s="7"/>
      <c r="BG545" s="7"/>
      <c r="BH545" s="7"/>
      <c r="BI545" s="7"/>
      <c r="BJ545" s="7"/>
      <c r="BK545" s="7"/>
      <c r="BL545" s="7"/>
      <c r="BM545" s="7"/>
      <c r="BN545" s="7"/>
      <c r="BO545" s="7"/>
      <c r="BP545" s="7"/>
      <c r="BQ545" s="7"/>
      <c r="BR545" s="7"/>
      <c r="BS545" s="7"/>
      <c r="BT545" s="7"/>
      <c r="BU545" s="7"/>
      <c r="BV545" s="7"/>
      <c r="BW545" s="7"/>
      <c r="BX545" s="7"/>
      <c r="BY545" s="7"/>
      <c r="BZ545" s="7"/>
    </row>
    <row r="546" ht="16.5" customHeight="1">
      <c r="AT546" s="7"/>
      <c r="AU546" s="7"/>
      <c r="AV546" s="7"/>
      <c r="AW546" s="7"/>
      <c r="AX546" s="7"/>
      <c r="AY546" s="7"/>
      <c r="AZ546" s="7"/>
      <c r="BA546" s="7"/>
      <c r="BB546" s="7"/>
      <c r="BC546" s="7"/>
      <c r="BD546" s="7"/>
      <c r="BE546" s="7"/>
      <c r="BF546" s="7"/>
      <c r="BG546" s="7"/>
      <c r="BH546" s="7"/>
      <c r="BI546" s="7"/>
      <c r="BJ546" s="7"/>
      <c r="BK546" s="7"/>
      <c r="BL546" s="7"/>
      <c r="BM546" s="7"/>
      <c r="BN546" s="7"/>
      <c r="BO546" s="7"/>
      <c r="BP546" s="7"/>
      <c r="BQ546" s="7"/>
      <c r="BR546" s="7"/>
      <c r="BS546" s="7"/>
      <c r="BT546" s="7"/>
      <c r="BU546" s="7"/>
      <c r="BV546" s="7"/>
      <c r="BW546" s="7"/>
      <c r="BX546" s="7"/>
      <c r="BY546" s="7"/>
      <c r="BZ546" s="7"/>
    </row>
    <row r="547" ht="16.5" customHeight="1">
      <c r="AT547" s="7"/>
      <c r="AU547" s="7"/>
      <c r="AV547" s="7"/>
      <c r="AW547" s="7"/>
      <c r="AX547" s="7"/>
      <c r="AY547" s="7"/>
      <c r="AZ547" s="7"/>
      <c r="BA547" s="7"/>
      <c r="BB547" s="7"/>
      <c r="BC547" s="7"/>
      <c r="BD547" s="7"/>
      <c r="BE547" s="7"/>
      <c r="BF547" s="7"/>
      <c r="BG547" s="7"/>
      <c r="BH547" s="7"/>
      <c r="BI547" s="7"/>
      <c r="BJ547" s="7"/>
      <c r="BK547" s="7"/>
      <c r="BL547" s="7"/>
      <c r="BM547" s="7"/>
      <c r="BN547" s="7"/>
      <c r="BO547" s="7"/>
      <c r="BP547" s="7"/>
      <c r="BQ547" s="7"/>
      <c r="BR547" s="7"/>
      <c r="BS547" s="7"/>
      <c r="BT547" s="7"/>
      <c r="BU547" s="7"/>
      <c r="BV547" s="7"/>
      <c r="BW547" s="7"/>
      <c r="BX547" s="7"/>
      <c r="BY547" s="7"/>
      <c r="BZ547" s="7"/>
    </row>
    <row r="548" ht="16.5" customHeight="1">
      <c r="AT548" s="7"/>
      <c r="AU548" s="7"/>
      <c r="AV548" s="7"/>
      <c r="AW548" s="7"/>
      <c r="AX548" s="7"/>
      <c r="AY548" s="7"/>
      <c r="AZ548" s="7"/>
      <c r="BA548" s="7"/>
      <c r="BB548" s="7"/>
      <c r="BC548" s="7"/>
      <c r="BD548" s="7"/>
      <c r="BE548" s="7"/>
      <c r="BF548" s="7"/>
      <c r="BG548" s="7"/>
      <c r="BH548" s="7"/>
      <c r="BI548" s="7"/>
      <c r="BJ548" s="7"/>
      <c r="BK548" s="7"/>
      <c r="BL548" s="7"/>
      <c r="BM548" s="7"/>
      <c r="BN548" s="7"/>
      <c r="BO548" s="7"/>
      <c r="BP548" s="7"/>
      <c r="BQ548" s="7"/>
      <c r="BR548" s="7"/>
      <c r="BS548" s="7"/>
      <c r="BT548" s="7"/>
      <c r="BU548" s="7"/>
      <c r="BV548" s="7"/>
      <c r="BW548" s="7"/>
      <c r="BX548" s="7"/>
      <c r="BY548" s="7"/>
      <c r="BZ548" s="7"/>
    </row>
    <row r="549" ht="16.5" customHeight="1">
      <c r="AT549" s="7"/>
      <c r="AU549" s="7"/>
      <c r="AV549" s="7"/>
      <c r="AW549" s="7"/>
      <c r="AX549" s="7"/>
      <c r="AY549" s="7"/>
      <c r="AZ549" s="7"/>
      <c r="BA549" s="7"/>
      <c r="BB549" s="7"/>
      <c r="BC549" s="7"/>
      <c r="BD549" s="7"/>
      <c r="BE549" s="7"/>
      <c r="BF549" s="7"/>
      <c r="BG549" s="7"/>
      <c r="BH549" s="7"/>
      <c r="BI549" s="7"/>
      <c r="BJ549" s="7"/>
      <c r="BK549" s="7"/>
      <c r="BL549" s="7"/>
      <c r="BM549" s="7"/>
      <c r="BN549" s="7"/>
      <c r="BO549" s="7"/>
      <c r="BP549" s="7"/>
      <c r="BQ549" s="7"/>
      <c r="BR549" s="7"/>
      <c r="BS549" s="7"/>
      <c r="BT549" s="7"/>
      <c r="BU549" s="7"/>
      <c r="BV549" s="7"/>
      <c r="BW549" s="7"/>
      <c r="BX549" s="7"/>
      <c r="BY549" s="7"/>
      <c r="BZ549" s="7"/>
    </row>
    <row r="550" ht="16.5" customHeight="1">
      <c r="AT550" s="7"/>
      <c r="AU550" s="7"/>
      <c r="AV550" s="7"/>
      <c r="AW550" s="7"/>
      <c r="AX550" s="7"/>
      <c r="AY550" s="7"/>
      <c r="AZ550" s="7"/>
      <c r="BA550" s="7"/>
      <c r="BB550" s="7"/>
      <c r="BC550" s="7"/>
      <c r="BD550" s="7"/>
      <c r="BE550" s="7"/>
      <c r="BF550" s="7"/>
      <c r="BG550" s="7"/>
      <c r="BH550" s="7"/>
      <c r="BI550" s="7"/>
      <c r="BJ550" s="7"/>
      <c r="BK550" s="7"/>
      <c r="BL550" s="7"/>
      <c r="BM550" s="7"/>
      <c r="BN550" s="7"/>
      <c r="BO550" s="7"/>
      <c r="BP550" s="7"/>
      <c r="BQ550" s="7"/>
      <c r="BR550" s="7"/>
      <c r="BS550" s="7"/>
      <c r="BT550" s="7"/>
      <c r="BU550" s="7"/>
      <c r="BV550" s="7"/>
      <c r="BW550" s="7"/>
      <c r="BX550" s="7"/>
      <c r="BY550" s="7"/>
      <c r="BZ550" s="7"/>
    </row>
    <row r="551" ht="16.5" customHeight="1">
      <c r="AT551" s="7"/>
      <c r="AU551" s="7"/>
      <c r="AV551" s="7"/>
      <c r="AW551" s="7"/>
      <c r="AX551" s="7"/>
      <c r="AY551" s="7"/>
      <c r="AZ551" s="7"/>
      <c r="BA551" s="7"/>
      <c r="BB551" s="7"/>
      <c r="BC551" s="7"/>
      <c r="BD551" s="7"/>
      <c r="BE551" s="7"/>
      <c r="BF551" s="7"/>
      <c r="BG551" s="7"/>
      <c r="BH551" s="7"/>
      <c r="BI551" s="7"/>
      <c r="BJ551" s="7"/>
      <c r="BK551" s="7"/>
      <c r="BL551" s="7"/>
      <c r="BM551" s="7"/>
      <c r="BN551" s="7"/>
      <c r="BO551" s="7"/>
      <c r="BP551" s="7"/>
      <c r="BQ551" s="7"/>
      <c r="BR551" s="7"/>
      <c r="BS551" s="7"/>
      <c r="BT551" s="7"/>
      <c r="BU551" s="7"/>
      <c r="BV551" s="7"/>
      <c r="BW551" s="7"/>
      <c r="BX551" s="7"/>
      <c r="BY551" s="7"/>
      <c r="BZ551" s="7"/>
    </row>
    <row r="552" ht="16.5" customHeight="1">
      <c r="AT552" s="7"/>
      <c r="AU552" s="7"/>
      <c r="AV552" s="7"/>
      <c r="AW552" s="7"/>
      <c r="AX552" s="7"/>
      <c r="AY552" s="7"/>
      <c r="AZ552" s="7"/>
      <c r="BA552" s="7"/>
      <c r="BB552" s="7"/>
      <c r="BC552" s="7"/>
      <c r="BD552" s="7"/>
      <c r="BE552" s="7"/>
      <c r="BF552" s="7"/>
      <c r="BG552" s="7"/>
      <c r="BH552" s="7"/>
      <c r="BI552" s="7"/>
      <c r="BJ552" s="7"/>
      <c r="BK552" s="7"/>
      <c r="BL552" s="7"/>
      <c r="BM552" s="7"/>
      <c r="BN552" s="7"/>
      <c r="BO552" s="7"/>
      <c r="BP552" s="7"/>
      <c r="BQ552" s="7"/>
      <c r="BR552" s="7"/>
      <c r="BS552" s="7"/>
      <c r="BT552" s="7"/>
      <c r="BU552" s="7"/>
      <c r="BV552" s="7"/>
      <c r="BW552" s="7"/>
      <c r="BX552" s="7"/>
      <c r="BY552" s="7"/>
      <c r="BZ552" s="7"/>
    </row>
    <row r="553" ht="16.5" customHeight="1">
      <c r="AT553" s="7"/>
      <c r="AU553" s="7"/>
      <c r="AV553" s="7"/>
      <c r="AW553" s="7"/>
      <c r="AX553" s="7"/>
      <c r="AY553" s="7"/>
      <c r="AZ553" s="7"/>
      <c r="BA553" s="7"/>
      <c r="BB553" s="7"/>
      <c r="BC553" s="7"/>
      <c r="BD553" s="7"/>
      <c r="BE553" s="7"/>
      <c r="BF553" s="7"/>
      <c r="BG553" s="7"/>
      <c r="BH553" s="7"/>
      <c r="BI553" s="7"/>
      <c r="BJ553" s="7"/>
      <c r="BK553" s="7"/>
      <c r="BL553" s="7"/>
      <c r="BM553" s="7"/>
      <c r="BN553" s="7"/>
      <c r="BO553" s="7"/>
      <c r="BP553" s="7"/>
      <c r="BQ553" s="7"/>
      <c r="BR553" s="7"/>
      <c r="BS553" s="7"/>
      <c r="BT553" s="7"/>
      <c r="BU553" s="7"/>
      <c r="BV553" s="7"/>
      <c r="BW553" s="7"/>
      <c r="BX553" s="7"/>
      <c r="BY553" s="7"/>
      <c r="BZ553" s="7"/>
    </row>
    <row r="554" ht="16.5" customHeight="1">
      <c r="AT554" s="7"/>
      <c r="AU554" s="7"/>
      <c r="AV554" s="7"/>
      <c r="AW554" s="7"/>
      <c r="AX554" s="7"/>
      <c r="AY554" s="7"/>
      <c r="AZ554" s="7"/>
      <c r="BA554" s="7"/>
      <c r="BB554" s="7"/>
      <c r="BC554" s="7"/>
      <c r="BD554" s="7"/>
      <c r="BE554" s="7"/>
      <c r="BF554" s="7"/>
      <c r="BG554" s="7"/>
      <c r="BH554" s="7"/>
      <c r="BI554" s="7"/>
      <c r="BJ554" s="7"/>
      <c r="BK554" s="7"/>
      <c r="BL554" s="7"/>
      <c r="BM554" s="7"/>
      <c r="BN554" s="7"/>
      <c r="BO554" s="7"/>
      <c r="BP554" s="7"/>
      <c r="BQ554" s="7"/>
      <c r="BR554" s="7"/>
      <c r="BS554" s="7"/>
      <c r="BT554" s="7"/>
      <c r="BU554" s="7"/>
      <c r="BV554" s="7"/>
      <c r="BW554" s="7"/>
      <c r="BX554" s="7"/>
      <c r="BY554" s="7"/>
      <c r="BZ554" s="7"/>
    </row>
    <row r="555" ht="16.5" customHeight="1">
      <c r="AT555" s="7"/>
      <c r="AU555" s="7"/>
      <c r="AV555" s="7"/>
      <c r="AW555" s="7"/>
      <c r="AX555" s="7"/>
      <c r="AY555" s="7"/>
      <c r="AZ555" s="7"/>
      <c r="BA555" s="7"/>
      <c r="BB555" s="7"/>
      <c r="BC555" s="7"/>
      <c r="BD555" s="7"/>
      <c r="BE555" s="7"/>
      <c r="BF555" s="7"/>
      <c r="BG555" s="7"/>
      <c r="BH555" s="7"/>
      <c r="BI555" s="7"/>
      <c r="BJ555" s="7"/>
      <c r="BK555" s="7"/>
      <c r="BL555" s="7"/>
      <c r="BM555" s="7"/>
      <c r="BN555" s="7"/>
      <c r="BO555" s="7"/>
      <c r="BP555" s="7"/>
      <c r="BQ555" s="7"/>
      <c r="BR555" s="7"/>
      <c r="BS555" s="7"/>
      <c r="BT555" s="7"/>
      <c r="BU555" s="7"/>
      <c r="BV555" s="7"/>
      <c r="BW555" s="7"/>
      <c r="BX555" s="7"/>
      <c r="BY555" s="7"/>
      <c r="BZ555" s="7"/>
    </row>
    <row r="556" ht="16.5" customHeight="1">
      <c r="AT556" s="7"/>
      <c r="AU556" s="7"/>
      <c r="AV556" s="7"/>
      <c r="AW556" s="7"/>
      <c r="AX556" s="7"/>
      <c r="AY556" s="7"/>
      <c r="AZ556" s="7"/>
      <c r="BA556" s="7"/>
      <c r="BB556" s="7"/>
      <c r="BC556" s="7"/>
      <c r="BD556" s="7"/>
      <c r="BE556" s="7"/>
      <c r="BF556" s="7"/>
      <c r="BG556" s="7"/>
      <c r="BH556" s="7"/>
      <c r="BI556" s="7"/>
      <c r="BJ556" s="7"/>
      <c r="BK556" s="7"/>
      <c r="BL556" s="7"/>
      <c r="BM556" s="7"/>
      <c r="BN556" s="7"/>
      <c r="BO556" s="7"/>
      <c r="BP556" s="7"/>
      <c r="BQ556" s="7"/>
      <c r="BR556" s="7"/>
      <c r="BS556" s="7"/>
      <c r="BT556" s="7"/>
      <c r="BU556" s="7"/>
      <c r="BV556" s="7"/>
      <c r="BW556" s="7"/>
      <c r="BX556" s="7"/>
      <c r="BY556" s="7"/>
      <c r="BZ556" s="7"/>
    </row>
    <row r="557" ht="16.5" customHeight="1">
      <c r="AT557" s="7"/>
      <c r="AU557" s="7"/>
      <c r="AV557" s="7"/>
      <c r="AW557" s="7"/>
      <c r="AX557" s="7"/>
      <c r="AY557" s="7"/>
      <c r="AZ557" s="7"/>
      <c r="BA557" s="7"/>
      <c r="BB557" s="7"/>
      <c r="BC557" s="7"/>
      <c r="BD557" s="7"/>
      <c r="BE557" s="7"/>
      <c r="BF557" s="7"/>
      <c r="BG557" s="7"/>
      <c r="BH557" s="7"/>
      <c r="BI557" s="7"/>
      <c r="BJ557" s="7"/>
      <c r="BK557" s="7"/>
      <c r="BL557" s="7"/>
      <c r="BM557" s="7"/>
      <c r="BN557" s="7"/>
      <c r="BO557" s="7"/>
      <c r="BP557" s="7"/>
      <c r="BQ557" s="7"/>
      <c r="BR557" s="7"/>
      <c r="BS557" s="7"/>
      <c r="BT557" s="7"/>
      <c r="BU557" s="7"/>
      <c r="BV557" s="7"/>
      <c r="BW557" s="7"/>
      <c r="BX557" s="7"/>
      <c r="BY557" s="7"/>
      <c r="BZ557" s="7"/>
    </row>
    <row r="558" ht="16.5" customHeight="1">
      <c r="AT558" s="7"/>
      <c r="AU558" s="7"/>
      <c r="AV558" s="7"/>
      <c r="AW558" s="7"/>
      <c r="AX558" s="7"/>
      <c r="AY558" s="7"/>
      <c r="AZ558" s="7"/>
      <c r="BA558" s="7"/>
      <c r="BB558" s="7"/>
      <c r="BC558" s="7"/>
      <c r="BD558" s="7"/>
      <c r="BE558" s="7"/>
      <c r="BF558" s="7"/>
      <c r="BG558" s="7"/>
      <c r="BH558" s="7"/>
      <c r="BI558" s="7"/>
      <c r="BJ558" s="7"/>
      <c r="BK558" s="7"/>
      <c r="BL558" s="7"/>
      <c r="BM558" s="7"/>
      <c r="BN558" s="7"/>
      <c r="BO558" s="7"/>
      <c r="BP558" s="7"/>
      <c r="BQ558" s="7"/>
      <c r="BR558" s="7"/>
      <c r="BS558" s="7"/>
      <c r="BT558" s="7"/>
      <c r="BU558" s="7"/>
      <c r="BV558" s="7"/>
      <c r="BW558" s="7"/>
      <c r="BX558" s="7"/>
      <c r="BY558" s="7"/>
      <c r="BZ558" s="7"/>
    </row>
    <row r="559" ht="16.5" customHeight="1">
      <c r="AT559" s="7"/>
      <c r="AU559" s="7"/>
      <c r="AV559" s="7"/>
      <c r="AW559" s="7"/>
      <c r="AX559" s="7"/>
      <c r="AY559" s="7"/>
      <c r="AZ559" s="7"/>
      <c r="BA559" s="7"/>
      <c r="BB559" s="7"/>
      <c r="BC559" s="7"/>
      <c r="BD559" s="7"/>
      <c r="BE559" s="7"/>
      <c r="BF559" s="7"/>
      <c r="BG559" s="7"/>
      <c r="BH559" s="7"/>
      <c r="BI559" s="7"/>
      <c r="BJ559" s="7"/>
      <c r="BK559" s="7"/>
      <c r="BL559" s="7"/>
      <c r="BM559" s="7"/>
      <c r="BN559" s="7"/>
      <c r="BO559" s="7"/>
      <c r="BP559" s="7"/>
      <c r="BQ559" s="7"/>
      <c r="BR559" s="7"/>
      <c r="BS559" s="7"/>
      <c r="BT559" s="7"/>
      <c r="BU559" s="7"/>
      <c r="BV559" s="7"/>
      <c r="BW559" s="7"/>
      <c r="BX559" s="7"/>
      <c r="BY559" s="7"/>
      <c r="BZ559" s="7"/>
    </row>
    <row r="560" ht="16.5" customHeight="1">
      <c r="AT560" s="7"/>
      <c r="AU560" s="7"/>
      <c r="AV560" s="7"/>
      <c r="AW560" s="7"/>
      <c r="AX560" s="7"/>
      <c r="AY560" s="7"/>
      <c r="AZ560" s="7"/>
      <c r="BA560" s="7"/>
      <c r="BB560" s="7"/>
      <c r="BC560" s="7"/>
      <c r="BD560" s="7"/>
      <c r="BE560" s="7"/>
      <c r="BF560" s="7"/>
      <c r="BG560" s="7"/>
      <c r="BH560" s="7"/>
      <c r="BI560" s="7"/>
      <c r="BJ560" s="7"/>
      <c r="BK560" s="7"/>
      <c r="BL560" s="7"/>
      <c r="BM560" s="7"/>
      <c r="BN560" s="7"/>
      <c r="BO560" s="7"/>
      <c r="BP560" s="7"/>
      <c r="BQ560" s="7"/>
      <c r="BR560" s="7"/>
      <c r="BS560" s="7"/>
      <c r="BT560" s="7"/>
      <c r="BU560" s="7"/>
      <c r="BV560" s="7"/>
      <c r="BW560" s="7"/>
      <c r="BX560" s="7"/>
      <c r="BY560" s="7"/>
      <c r="BZ560" s="7"/>
    </row>
    <row r="561" ht="16.5" customHeight="1">
      <c r="AT561" s="7"/>
      <c r="AU561" s="7"/>
      <c r="AV561" s="7"/>
      <c r="AW561" s="7"/>
      <c r="AX561" s="7"/>
      <c r="AY561" s="7"/>
      <c r="AZ561" s="7"/>
      <c r="BA561" s="7"/>
      <c r="BB561" s="7"/>
      <c r="BC561" s="7"/>
      <c r="BD561" s="7"/>
      <c r="BE561" s="7"/>
      <c r="BF561" s="7"/>
      <c r="BG561" s="7"/>
      <c r="BH561" s="7"/>
      <c r="BI561" s="7"/>
      <c r="BJ561" s="7"/>
      <c r="BK561" s="7"/>
      <c r="BL561" s="7"/>
      <c r="BM561" s="7"/>
      <c r="BN561" s="7"/>
      <c r="BO561" s="7"/>
      <c r="BP561" s="7"/>
      <c r="BQ561" s="7"/>
      <c r="BR561" s="7"/>
      <c r="BS561" s="7"/>
      <c r="BT561" s="7"/>
      <c r="BU561" s="7"/>
      <c r="BV561" s="7"/>
      <c r="BW561" s="7"/>
      <c r="BX561" s="7"/>
      <c r="BY561" s="7"/>
      <c r="BZ561" s="7"/>
    </row>
    <row r="562" ht="16.5" customHeight="1">
      <c r="AT562" s="7"/>
      <c r="AU562" s="7"/>
      <c r="AV562" s="7"/>
      <c r="AW562" s="7"/>
      <c r="AX562" s="7"/>
      <c r="AY562" s="7"/>
      <c r="AZ562" s="7"/>
      <c r="BA562" s="7"/>
      <c r="BB562" s="7"/>
      <c r="BC562" s="7"/>
      <c r="BD562" s="7"/>
      <c r="BE562" s="7"/>
      <c r="BF562" s="7"/>
      <c r="BG562" s="7"/>
      <c r="BH562" s="7"/>
      <c r="BI562" s="7"/>
      <c r="BJ562" s="7"/>
      <c r="BK562" s="7"/>
      <c r="BL562" s="7"/>
      <c r="BM562" s="7"/>
      <c r="BN562" s="7"/>
      <c r="BO562" s="7"/>
      <c r="BP562" s="7"/>
      <c r="BQ562" s="7"/>
      <c r="BR562" s="7"/>
      <c r="BS562" s="7"/>
      <c r="BT562" s="7"/>
      <c r="BU562" s="7"/>
      <c r="BV562" s="7"/>
      <c r="BW562" s="7"/>
      <c r="BX562" s="7"/>
      <c r="BY562" s="7"/>
      <c r="BZ562" s="7"/>
    </row>
    <row r="563" ht="16.5" customHeight="1">
      <c r="AT563" s="7"/>
      <c r="AU563" s="7"/>
      <c r="AV563" s="7"/>
      <c r="AW563" s="7"/>
      <c r="AX563" s="7"/>
      <c r="AY563" s="7"/>
      <c r="AZ563" s="7"/>
      <c r="BA563" s="7"/>
      <c r="BB563" s="7"/>
      <c r="BC563" s="7"/>
      <c r="BD563" s="7"/>
      <c r="BE563" s="7"/>
      <c r="BF563" s="7"/>
      <c r="BG563" s="7"/>
      <c r="BH563" s="7"/>
      <c r="BI563" s="7"/>
      <c r="BJ563" s="7"/>
      <c r="BK563" s="7"/>
      <c r="BL563" s="7"/>
      <c r="BM563" s="7"/>
      <c r="BN563" s="7"/>
      <c r="BO563" s="7"/>
      <c r="BP563" s="7"/>
      <c r="BQ563" s="7"/>
      <c r="BR563" s="7"/>
      <c r="BS563" s="7"/>
      <c r="BT563" s="7"/>
      <c r="BU563" s="7"/>
      <c r="BV563" s="7"/>
      <c r="BW563" s="7"/>
      <c r="BX563" s="7"/>
      <c r="BY563" s="7"/>
      <c r="BZ563" s="7"/>
    </row>
    <row r="564" ht="16.5" customHeight="1">
      <c r="AT564" s="7"/>
      <c r="AU564" s="7"/>
      <c r="AV564" s="7"/>
      <c r="AW564" s="7"/>
      <c r="AX564" s="7"/>
      <c r="AY564" s="7"/>
      <c r="AZ564" s="7"/>
      <c r="BA564" s="7"/>
      <c r="BB564" s="7"/>
      <c r="BC564" s="7"/>
      <c r="BD564" s="7"/>
      <c r="BE564" s="7"/>
      <c r="BF564" s="7"/>
      <c r="BG564" s="7"/>
      <c r="BH564" s="7"/>
      <c r="BI564" s="7"/>
      <c r="BJ564" s="7"/>
      <c r="BK564" s="7"/>
      <c r="BL564" s="7"/>
      <c r="BM564" s="7"/>
      <c r="BN564" s="7"/>
      <c r="BO564" s="7"/>
      <c r="BP564" s="7"/>
      <c r="BQ564" s="7"/>
      <c r="BR564" s="7"/>
      <c r="BS564" s="7"/>
      <c r="BT564" s="7"/>
      <c r="BU564" s="7"/>
      <c r="BV564" s="7"/>
      <c r="BW564" s="7"/>
      <c r="BX564" s="7"/>
      <c r="BY564" s="7"/>
      <c r="BZ564" s="7"/>
    </row>
    <row r="565" ht="16.5" customHeight="1">
      <c r="AT565" s="7"/>
      <c r="AU565" s="7"/>
      <c r="AV565" s="7"/>
      <c r="AW565" s="7"/>
      <c r="AX565" s="7"/>
      <c r="AY565" s="7"/>
      <c r="AZ565" s="7"/>
      <c r="BA565" s="7"/>
      <c r="BB565" s="7"/>
      <c r="BC565" s="7"/>
      <c r="BD565" s="7"/>
      <c r="BE565" s="7"/>
      <c r="BF565" s="7"/>
      <c r="BG565" s="7"/>
      <c r="BH565" s="7"/>
      <c r="BI565" s="7"/>
      <c r="BJ565" s="7"/>
      <c r="BK565" s="7"/>
      <c r="BL565" s="7"/>
      <c r="BM565" s="7"/>
      <c r="BN565" s="7"/>
      <c r="BO565" s="7"/>
      <c r="BP565" s="7"/>
      <c r="BQ565" s="7"/>
      <c r="BR565" s="7"/>
      <c r="BS565" s="7"/>
      <c r="BT565" s="7"/>
      <c r="BU565" s="7"/>
      <c r="BV565" s="7"/>
      <c r="BW565" s="7"/>
      <c r="BX565" s="7"/>
      <c r="BY565" s="7"/>
      <c r="BZ565" s="7"/>
    </row>
    <row r="566" ht="16.5" customHeight="1">
      <c r="AT566" s="7"/>
      <c r="AU566" s="7"/>
      <c r="AV566" s="7"/>
      <c r="AW566" s="7"/>
      <c r="AX566" s="7"/>
      <c r="AY566" s="7"/>
      <c r="AZ566" s="7"/>
      <c r="BA566" s="7"/>
      <c r="BB566" s="7"/>
      <c r="BC566" s="7"/>
      <c r="BD566" s="7"/>
      <c r="BE566" s="7"/>
      <c r="BF566" s="7"/>
      <c r="BG566" s="7"/>
      <c r="BH566" s="7"/>
      <c r="BI566" s="7"/>
      <c r="BJ566" s="7"/>
      <c r="BK566" s="7"/>
      <c r="BL566" s="7"/>
      <c r="BM566" s="7"/>
      <c r="BN566" s="7"/>
      <c r="BO566" s="7"/>
      <c r="BP566" s="7"/>
      <c r="BQ566" s="7"/>
      <c r="BR566" s="7"/>
      <c r="BS566" s="7"/>
      <c r="BT566" s="7"/>
      <c r="BU566" s="7"/>
      <c r="BV566" s="7"/>
      <c r="BW566" s="7"/>
      <c r="BX566" s="7"/>
      <c r="BY566" s="7"/>
      <c r="BZ566" s="7"/>
    </row>
    <row r="567" ht="16.5" customHeight="1">
      <c r="AT567" s="7"/>
      <c r="AU567" s="7"/>
      <c r="AV567" s="7"/>
      <c r="AW567" s="7"/>
      <c r="AX567" s="7"/>
      <c r="AY567" s="7"/>
      <c r="AZ567" s="7"/>
      <c r="BA567" s="7"/>
      <c r="BB567" s="7"/>
      <c r="BC567" s="7"/>
      <c r="BD567" s="7"/>
      <c r="BE567" s="7"/>
      <c r="BF567" s="7"/>
      <c r="BG567" s="7"/>
      <c r="BH567" s="7"/>
      <c r="BI567" s="7"/>
      <c r="BJ567" s="7"/>
      <c r="BK567" s="7"/>
      <c r="BL567" s="7"/>
      <c r="BM567" s="7"/>
      <c r="BN567" s="7"/>
      <c r="BO567" s="7"/>
      <c r="BP567" s="7"/>
      <c r="BQ567" s="7"/>
      <c r="BR567" s="7"/>
      <c r="BS567" s="7"/>
      <c r="BT567" s="7"/>
      <c r="BU567" s="7"/>
      <c r="BV567" s="7"/>
      <c r="BW567" s="7"/>
      <c r="BX567" s="7"/>
      <c r="BY567" s="7"/>
      <c r="BZ567" s="7"/>
    </row>
    <row r="568" ht="16.5" customHeight="1">
      <c r="AT568" s="7"/>
      <c r="AU568" s="7"/>
      <c r="AV568" s="7"/>
      <c r="AW568" s="7"/>
      <c r="AX568" s="7"/>
      <c r="AY568" s="7"/>
      <c r="AZ568" s="7"/>
      <c r="BA568" s="7"/>
      <c r="BB568" s="7"/>
      <c r="BC568" s="7"/>
      <c r="BD568" s="7"/>
      <c r="BE568" s="7"/>
      <c r="BF568" s="7"/>
      <c r="BG568" s="7"/>
      <c r="BH568" s="7"/>
      <c r="BI568" s="7"/>
      <c r="BJ568" s="7"/>
      <c r="BK568" s="7"/>
      <c r="BL568" s="7"/>
      <c r="BM568" s="7"/>
      <c r="BN568" s="7"/>
      <c r="BO568" s="7"/>
      <c r="BP568" s="7"/>
      <c r="BQ568" s="7"/>
      <c r="BR568" s="7"/>
      <c r="BS568" s="7"/>
      <c r="BT568" s="7"/>
      <c r="BU568" s="7"/>
      <c r="BV568" s="7"/>
      <c r="BW568" s="7"/>
      <c r="BX568" s="7"/>
      <c r="BY568" s="7"/>
      <c r="BZ568" s="7"/>
    </row>
    <row r="569" ht="16.5" customHeight="1">
      <c r="AT569" s="7"/>
      <c r="AU569" s="7"/>
      <c r="AV569" s="7"/>
      <c r="AW569" s="7"/>
      <c r="AX569" s="7"/>
      <c r="AY569" s="7"/>
      <c r="AZ569" s="7"/>
      <c r="BA569" s="7"/>
      <c r="BB569" s="7"/>
      <c r="BC569" s="7"/>
      <c r="BD569" s="7"/>
      <c r="BE569" s="7"/>
      <c r="BF569" s="7"/>
      <c r="BG569" s="7"/>
      <c r="BH569" s="7"/>
      <c r="BI569" s="7"/>
      <c r="BJ569" s="7"/>
      <c r="BK569" s="7"/>
      <c r="BL569" s="7"/>
      <c r="BM569" s="7"/>
      <c r="BN569" s="7"/>
      <c r="BO569" s="7"/>
      <c r="BP569" s="7"/>
      <c r="BQ569" s="7"/>
      <c r="BR569" s="7"/>
      <c r="BS569" s="7"/>
      <c r="BT569" s="7"/>
      <c r="BU569" s="7"/>
      <c r="BV569" s="7"/>
      <c r="BW569" s="7"/>
      <c r="BX569" s="7"/>
      <c r="BY569" s="7"/>
      <c r="BZ569" s="7"/>
    </row>
    <row r="570" ht="16.5" customHeight="1">
      <c r="AT570" s="7"/>
      <c r="AU570" s="7"/>
      <c r="AV570" s="7"/>
      <c r="AW570" s="7"/>
      <c r="AX570" s="7"/>
      <c r="AY570" s="7"/>
      <c r="AZ570" s="7"/>
      <c r="BA570" s="7"/>
      <c r="BB570" s="7"/>
      <c r="BC570" s="7"/>
      <c r="BD570" s="7"/>
      <c r="BE570" s="7"/>
      <c r="BF570" s="7"/>
      <c r="BG570" s="7"/>
      <c r="BH570" s="7"/>
      <c r="BI570" s="7"/>
      <c r="BJ570" s="7"/>
      <c r="BK570" s="7"/>
      <c r="BL570" s="7"/>
      <c r="BM570" s="7"/>
      <c r="BN570" s="7"/>
      <c r="BO570" s="7"/>
      <c r="BP570" s="7"/>
      <c r="BQ570" s="7"/>
      <c r="BR570" s="7"/>
      <c r="BS570" s="7"/>
      <c r="BT570" s="7"/>
      <c r="BU570" s="7"/>
      <c r="BV570" s="7"/>
      <c r="BW570" s="7"/>
      <c r="BX570" s="7"/>
      <c r="BY570" s="7"/>
      <c r="BZ570" s="7"/>
    </row>
    <row r="571" ht="16.5" customHeight="1">
      <c r="AT571" s="7"/>
      <c r="AU571" s="7"/>
      <c r="AV571" s="7"/>
      <c r="AW571" s="7"/>
      <c r="AX571" s="7"/>
      <c r="AY571" s="7"/>
      <c r="AZ571" s="7"/>
      <c r="BA571" s="7"/>
      <c r="BB571" s="7"/>
      <c r="BC571" s="7"/>
      <c r="BD571" s="7"/>
      <c r="BE571" s="7"/>
      <c r="BF571" s="7"/>
      <c r="BG571" s="7"/>
      <c r="BH571" s="7"/>
      <c r="BI571" s="7"/>
      <c r="BJ571" s="7"/>
      <c r="BK571" s="7"/>
      <c r="BL571" s="7"/>
      <c r="BM571" s="7"/>
      <c r="BN571" s="7"/>
      <c r="BO571" s="7"/>
      <c r="BP571" s="7"/>
      <c r="BQ571" s="7"/>
      <c r="BR571" s="7"/>
      <c r="BS571" s="7"/>
      <c r="BT571" s="7"/>
      <c r="BU571" s="7"/>
      <c r="BV571" s="7"/>
      <c r="BW571" s="7"/>
      <c r="BX571" s="7"/>
      <c r="BY571" s="7"/>
      <c r="BZ571" s="7"/>
    </row>
    <row r="572" ht="16.5" customHeight="1">
      <c r="AT572" s="7"/>
      <c r="AU572" s="7"/>
      <c r="AV572" s="7"/>
      <c r="AW572" s="7"/>
      <c r="AX572" s="7"/>
      <c r="AY572" s="7"/>
      <c r="AZ572" s="7"/>
      <c r="BA572" s="7"/>
      <c r="BB572" s="7"/>
      <c r="BC572" s="7"/>
      <c r="BD572" s="7"/>
      <c r="BE572" s="7"/>
      <c r="BF572" s="7"/>
      <c r="BG572" s="7"/>
      <c r="BH572" s="7"/>
      <c r="BI572" s="7"/>
      <c r="BJ572" s="7"/>
      <c r="BK572" s="7"/>
      <c r="BL572" s="7"/>
      <c r="BM572" s="7"/>
      <c r="BN572" s="7"/>
      <c r="BO572" s="7"/>
      <c r="BP572" s="7"/>
      <c r="BQ572" s="7"/>
      <c r="BR572" s="7"/>
      <c r="BS572" s="7"/>
      <c r="BT572" s="7"/>
      <c r="BU572" s="7"/>
      <c r="BV572" s="7"/>
      <c r="BW572" s="7"/>
      <c r="BX572" s="7"/>
      <c r="BY572" s="7"/>
      <c r="BZ572" s="7"/>
    </row>
    <row r="573" ht="16.5" customHeight="1">
      <c r="AT573" s="7"/>
      <c r="AU573" s="7"/>
      <c r="AV573" s="7"/>
      <c r="AW573" s="7"/>
      <c r="AX573" s="7"/>
      <c r="AY573" s="7"/>
      <c r="AZ573" s="7"/>
      <c r="BA573" s="7"/>
      <c r="BB573" s="7"/>
      <c r="BC573" s="7"/>
      <c r="BD573" s="7"/>
      <c r="BE573" s="7"/>
      <c r="BF573" s="7"/>
      <c r="BG573" s="7"/>
      <c r="BH573" s="7"/>
      <c r="BI573" s="7"/>
      <c r="BJ573" s="7"/>
      <c r="BK573" s="7"/>
      <c r="BL573" s="7"/>
      <c r="BM573" s="7"/>
      <c r="BN573" s="7"/>
      <c r="BO573" s="7"/>
      <c r="BP573" s="7"/>
      <c r="BQ573" s="7"/>
      <c r="BR573" s="7"/>
      <c r="BS573" s="7"/>
      <c r="BT573" s="7"/>
      <c r="BU573" s="7"/>
      <c r="BV573" s="7"/>
      <c r="BW573" s="7"/>
      <c r="BX573" s="7"/>
      <c r="BY573" s="7"/>
      <c r="BZ573" s="7"/>
    </row>
    <row r="574" ht="16.5" customHeight="1">
      <c r="AT574" s="7"/>
      <c r="AU574" s="7"/>
      <c r="AV574" s="7"/>
      <c r="AW574" s="7"/>
      <c r="AX574" s="7"/>
      <c r="AY574" s="7"/>
      <c r="AZ574" s="7"/>
      <c r="BA574" s="7"/>
      <c r="BB574" s="7"/>
      <c r="BC574" s="7"/>
      <c r="BD574" s="7"/>
      <c r="BE574" s="7"/>
      <c r="BF574" s="7"/>
      <c r="BG574" s="7"/>
      <c r="BH574" s="7"/>
      <c r="BI574" s="7"/>
      <c r="BJ574" s="7"/>
      <c r="BK574" s="7"/>
      <c r="BL574" s="7"/>
      <c r="BM574" s="7"/>
      <c r="BN574" s="7"/>
      <c r="BO574" s="7"/>
      <c r="BP574" s="7"/>
      <c r="BQ574" s="7"/>
      <c r="BR574" s="7"/>
      <c r="BS574" s="7"/>
      <c r="BT574" s="7"/>
      <c r="BU574" s="7"/>
      <c r="BV574" s="7"/>
      <c r="BW574" s="7"/>
      <c r="BX574" s="7"/>
      <c r="BY574" s="7"/>
      <c r="BZ574" s="7"/>
    </row>
    <row r="575" ht="16.5" customHeight="1">
      <c r="AT575" s="7"/>
      <c r="AU575" s="7"/>
      <c r="AV575" s="7"/>
      <c r="AW575" s="7"/>
      <c r="AX575" s="7"/>
      <c r="AY575" s="7"/>
      <c r="AZ575" s="7"/>
      <c r="BA575" s="7"/>
      <c r="BB575" s="7"/>
      <c r="BC575" s="7"/>
      <c r="BD575" s="7"/>
      <c r="BE575" s="7"/>
      <c r="BF575" s="7"/>
      <c r="BG575" s="7"/>
      <c r="BH575" s="7"/>
      <c r="BI575" s="7"/>
      <c r="BJ575" s="7"/>
      <c r="BK575" s="7"/>
      <c r="BL575" s="7"/>
      <c r="BM575" s="7"/>
      <c r="BN575" s="7"/>
      <c r="BO575" s="7"/>
      <c r="BP575" s="7"/>
      <c r="BQ575" s="7"/>
      <c r="BR575" s="7"/>
      <c r="BS575" s="7"/>
      <c r="BT575" s="7"/>
      <c r="BU575" s="7"/>
      <c r="BV575" s="7"/>
      <c r="BW575" s="7"/>
      <c r="BX575" s="7"/>
      <c r="BY575" s="7"/>
      <c r="BZ575" s="7"/>
    </row>
    <row r="576" ht="16.5" customHeight="1">
      <c r="AT576" s="7"/>
      <c r="AU576" s="7"/>
      <c r="AV576" s="7"/>
      <c r="AW576" s="7"/>
      <c r="AX576" s="7"/>
      <c r="AY576" s="7"/>
      <c r="AZ576" s="7"/>
      <c r="BA576" s="7"/>
      <c r="BB576" s="7"/>
      <c r="BC576" s="7"/>
      <c r="BD576" s="7"/>
      <c r="BE576" s="7"/>
      <c r="BF576" s="7"/>
      <c r="BG576" s="7"/>
      <c r="BH576" s="7"/>
      <c r="BI576" s="7"/>
      <c r="BJ576" s="7"/>
      <c r="BK576" s="7"/>
      <c r="BL576" s="7"/>
      <c r="BM576" s="7"/>
      <c r="BN576" s="7"/>
      <c r="BO576" s="7"/>
      <c r="BP576" s="7"/>
      <c r="BQ576" s="7"/>
      <c r="BR576" s="7"/>
      <c r="BS576" s="7"/>
      <c r="BT576" s="7"/>
      <c r="BU576" s="7"/>
      <c r="BV576" s="7"/>
      <c r="BW576" s="7"/>
      <c r="BX576" s="7"/>
      <c r="BY576" s="7"/>
      <c r="BZ576" s="7"/>
    </row>
    <row r="577" ht="16.5" customHeight="1">
      <c r="AT577" s="7"/>
      <c r="AU577" s="7"/>
      <c r="AV577" s="7"/>
      <c r="AW577" s="7"/>
      <c r="AX577" s="7"/>
      <c r="AY577" s="7"/>
      <c r="AZ577" s="7"/>
      <c r="BA577" s="7"/>
      <c r="BB577" s="7"/>
      <c r="BC577" s="7"/>
      <c r="BD577" s="7"/>
      <c r="BE577" s="7"/>
      <c r="BF577" s="7"/>
      <c r="BG577" s="7"/>
      <c r="BH577" s="7"/>
      <c r="BI577" s="7"/>
      <c r="BJ577" s="7"/>
      <c r="BK577" s="7"/>
      <c r="BL577" s="7"/>
      <c r="BM577" s="7"/>
      <c r="BN577" s="7"/>
      <c r="BO577" s="7"/>
      <c r="BP577" s="7"/>
      <c r="BQ577" s="7"/>
      <c r="BR577" s="7"/>
      <c r="BS577" s="7"/>
      <c r="BT577" s="7"/>
      <c r="BU577" s="7"/>
      <c r="BV577" s="7"/>
      <c r="BW577" s="7"/>
      <c r="BX577" s="7"/>
      <c r="BY577" s="7"/>
      <c r="BZ577" s="7"/>
    </row>
    <row r="578" ht="16.5" customHeight="1">
      <c r="AT578" s="7"/>
      <c r="AU578" s="7"/>
      <c r="AV578" s="7"/>
      <c r="AW578" s="7"/>
      <c r="AX578" s="7"/>
      <c r="AY578" s="7"/>
      <c r="AZ578" s="7"/>
      <c r="BA578" s="7"/>
      <c r="BB578" s="7"/>
      <c r="BC578" s="7"/>
      <c r="BD578" s="7"/>
      <c r="BE578" s="7"/>
      <c r="BF578" s="7"/>
      <c r="BG578" s="7"/>
      <c r="BH578" s="7"/>
      <c r="BI578" s="7"/>
      <c r="BJ578" s="7"/>
      <c r="BK578" s="7"/>
      <c r="BL578" s="7"/>
      <c r="BM578" s="7"/>
      <c r="BN578" s="7"/>
      <c r="BO578" s="7"/>
      <c r="BP578" s="7"/>
      <c r="BQ578" s="7"/>
      <c r="BR578" s="7"/>
      <c r="BS578" s="7"/>
      <c r="BT578" s="7"/>
      <c r="BU578" s="7"/>
      <c r="BV578" s="7"/>
      <c r="BW578" s="7"/>
      <c r="BX578" s="7"/>
      <c r="BY578" s="7"/>
      <c r="BZ578" s="7"/>
    </row>
    <row r="579" ht="16.5" customHeight="1">
      <c r="AT579" s="7"/>
      <c r="AU579" s="7"/>
      <c r="AV579" s="7"/>
      <c r="AW579" s="7"/>
      <c r="AX579" s="7"/>
      <c r="AY579" s="7"/>
      <c r="AZ579" s="7"/>
      <c r="BA579" s="7"/>
      <c r="BB579" s="7"/>
      <c r="BC579" s="7"/>
      <c r="BD579" s="7"/>
      <c r="BE579" s="7"/>
      <c r="BF579" s="7"/>
      <c r="BG579" s="7"/>
      <c r="BH579" s="7"/>
      <c r="BI579" s="7"/>
      <c r="BJ579" s="7"/>
      <c r="BK579" s="7"/>
      <c r="BL579" s="7"/>
      <c r="BM579" s="7"/>
      <c r="BN579" s="7"/>
      <c r="BO579" s="7"/>
      <c r="BP579" s="7"/>
      <c r="BQ579" s="7"/>
      <c r="BR579" s="7"/>
      <c r="BS579" s="7"/>
      <c r="BT579" s="7"/>
      <c r="BU579" s="7"/>
      <c r="BV579" s="7"/>
      <c r="BW579" s="7"/>
      <c r="BX579" s="7"/>
      <c r="BY579" s="7"/>
      <c r="BZ579" s="7"/>
    </row>
    <row r="580" ht="16.5" customHeight="1">
      <c r="AT580" s="7"/>
      <c r="AU580" s="7"/>
      <c r="AV580" s="7"/>
      <c r="AW580" s="7"/>
      <c r="AX580" s="7"/>
      <c r="AY580" s="7"/>
      <c r="AZ580" s="7"/>
      <c r="BA580" s="7"/>
      <c r="BB580" s="7"/>
      <c r="BC580" s="7"/>
      <c r="BD580" s="7"/>
      <c r="BE580" s="7"/>
      <c r="BF580" s="7"/>
      <c r="BG580" s="7"/>
      <c r="BH580" s="7"/>
      <c r="BI580" s="7"/>
      <c r="BJ580" s="7"/>
      <c r="BK580" s="7"/>
      <c r="BL580" s="7"/>
      <c r="BM580" s="7"/>
      <c r="BN580" s="7"/>
      <c r="BO580" s="7"/>
      <c r="BP580" s="7"/>
      <c r="BQ580" s="7"/>
      <c r="BR580" s="7"/>
      <c r="BS580" s="7"/>
      <c r="BT580" s="7"/>
      <c r="BU580" s="7"/>
      <c r="BV580" s="7"/>
      <c r="BW580" s="7"/>
      <c r="BX580" s="7"/>
      <c r="BY580" s="7"/>
      <c r="BZ580" s="7"/>
    </row>
    <row r="581" ht="16.5" customHeight="1">
      <c r="AT581" s="7"/>
      <c r="AU581" s="7"/>
      <c r="AV581" s="7"/>
      <c r="AW581" s="7"/>
      <c r="AX581" s="7"/>
      <c r="AY581" s="7"/>
      <c r="AZ581" s="7"/>
      <c r="BA581" s="7"/>
      <c r="BB581" s="7"/>
      <c r="BC581" s="7"/>
      <c r="BD581" s="7"/>
      <c r="BE581" s="7"/>
      <c r="BF581" s="7"/>
      <c r="BG581" s="7"/>
      <c r="BH581" s="7"/>
      <c r="BI581" s="7"/>
      <c r="BJ581" s="7"/>
      <c r="BK581" s="7"/>
      <c r="BL581" s="7"/>
      <c r="BM581" s="7"/>
      <c r="BN581" s="7"/>
      <c r="BO581" s="7"/>
      <c r="BP581" s="7"/>
      <c r="BQ581" s="7"/>
      <c r="BR581" s="7"/>
      <c r="BS581" s="7"/>
      <c r="BT581" s="7"/>
      <c r="BU581" s="7"/>
      <c r="BV581" s="7"/>
      <c r="BW581" s="7"/>
      <c r="BX581" s="7"/>
      <c r="BY581" s="7"/>
      <c r="BZ581" s="7"/>
    </row>
    <row r="582" ht="16.5" customHeight="1">
      <c r="AT582" s="7"/>
      <c r="AU582" s="7"/>
      <c r="AV582" s="7"/>
      <c r="AW582" s="7"/>
      <c r="AX582" s="7"/>
      <c r="AY582" s="7"/>
      <c r="AZ582" s="7"/>
      <c r="BA582" s="7"/>
      <c r="BB582" s="7"/>
      <c r="BC582" s="7"/>
      <c r="BD582" s="7"/>
      <c r="BE582" s="7"/>
      <c r="BF582" s="7"/>
      <c r="BG582" s="7"/>
      <c r="BH582" s="7"/>
      <c r="BI582" s="7"/>
      <c r="BJ582" s="7"/>
      <c r="BK582" s="7"/>
      <c r="BL582" s="7"/>
      <c r="BM582" s="7"/>
      <c r="BN582" s="7"/>
      <c r="BO582" s="7"/>
      <c r="BP582" s="7"/>
      <c r="BQ582" s="7"/>
      <c r="BR582" s="7"/>
      <c r="BS582" s="7"/>
      <c r="BT582" s="7"/>
      <c r="BU582" s="7"/>
      <c r="BV582" s="7"/>
      <c r="BW582" s="7"/>
      <c r="BX582" s="7"/>
      <c r="BY582" s="7"/>
      <c r="BZ582" s="7"/>
    </row>
    <row r="583" ht="16.5" customHeight="1">
      <c r="AT583" s="7"/>
      <c r="AU583" s="7"/>
      <c r="AV583" s="7"/>
      <c r="AW583" s="7"/>
      <c r="AX583" s="7"/>
      <c r="AY583" s="7"/>
      <c r="AZ583" s="7"/>
      <c r="BA583" s="7"/>
      <c r="BB583" s="7"/>
      <c r="BC583" s="7"/>
      <c r="BD583" s="7"/>
      <c r="BE583" s="7"/>
      <c r="BF583" s="7"/>
      <c r="BG583" s="7"/>
      <c r="BH583" s="7"/>
      <c r="BI583" s="7"/>
      <c r="BJ583" s="7"/>
      <c r="BK583" s="7"/>
      <c r="BL583" s="7"/>
      <c r="BM583" s="7"/>
      <c r="BN583" s="7"/>
      <c r="BO583" s="7"/>
      <c r="BP583" s="7"/>
      <c r="BQ583" s="7"/>
      <c r="BR583" s="7"/>
      <c r="BS583" s="7"/>
      <c r="BT583" s="7"/>
      <c r="BU583" s="7"/>
      <c r="BV583" s="7"/>
      <c r="BW583" s="7"/>
      <c r="BX583" s="7"/>
      <c r="BY583" s="7"/>
      <c r="BZ583" s="7"/>
    </row>
    <row r="584" ht="16.5" customHeight="1">
      <c r="AT584" s="7"/>
      <c r="AU584" s="7"/>
      <c r="AV584" s="7"/>
      <c r="AW584" s="7"/>
      <c r="AX584" s="7"/>
      <c r="AY584" s="7"/>
      <c r="AZ584" s="7"/>
      <c r="BA584" s="7"/>
      <c r="BB584" s="7"/>
      <c r="BC584" s="7"/>
      <c r="BD584" s="7"/>
      <c r="BE584" s="7"/>
      <c r="BF584" s="7"/>
      <c r="BG584" s="7"/>
      <c r="BH584" s="7"/>
      <c r="BI584" s="7"/>
      <c r="BJ584" s="7"/>
      <c r="BK584" s="7"/>
      <c r="BL584" s="7"/>
      <c r="BM584" s="7"/>
      <c r="BN584" s="7"/>
      <c r="BO584" s="7"/>
      <c r="BP584" s="7"/>
      <c r="BQ584" s="7"/>
      <c r="BR584" s="7"/>
      <c r="BS584" s="7"/>
      <c r="BT584" s="7"/>
      <c r="BU584" s="7"/>
      <c r="BV584" s="7"/>
      <c r="BW584" s="7"/>
      <c r="BX584" s="7"/>
      <c r="BY584" s="7"/>
      <c r="BZ584" s="7"/>
    </row>
    <row r="585" ht="16.5" customHeight="1">
      <c r="AT585" s="7"/>
      <c r="AU585" s="7"/>
      <c r="AV585" s="7"/>
      <c r="AW585" s="7"/>
      <c r="AX585" s="7"/>
      <c r="AY585" s="7"/>
      <c r="AZ585" s="7"/>
      <c r="BA585" s="7"/>
      <c r="BB585" s="7"/>
      <c r="BC585" s="7"/>
      <c r="BD585" s="7"/>
      <c r="BE585" s="7"/>
      <c r="BF585" s="7"/>
      <c r="BG585" s="7"/>
      <c r="BH585" s="7"/>
      <c r="BI585" s="7"/>
      <c r="BJ585" s="7"/>
      <c r="BK585" s="7"/>
      <c r="BL585" s="7"/>
      <c r="BM585" s="7"/>
      <c r="BN585" s="7"/>
      <c r="BO585" s="7"/>
      <c r="BP585" s="7"/>
      <c r="BQ585" s="7"/>
      <c r="BR585" s="7"/>
      <c r="BS585" s="7"/>
      <c r="BT585" s="7"/>
      <c r="BU585" s="7"/>
      <c r="BV585" s="7"/>
      <c r="BW585" s="7"/>
      <c r="BX585" s="7"/>
      <c r="BY585" s="7"/>
      <c r="BZ585" s="7"/>
    </row>
    <row r="586" ht="16.5" customHeight="1">
      <c r="AT586" s="7"/>
      <c r="AU586" s="7"/>
      <c r="AV586" s="7"/>
      <c r="AW586" s="7"/>
      <c r="AX586" s="7"/>
      <c r="AY586" s="7"/>
      <c r="AZ586" s="7"/>
      <c r="BA586" s="7"/>
      <c r="BB586" s="7"/>
      <c r="BC586" s="7"/>
      <c r="BD586" s="7"/>
      <c r="BE586" s="7"/>
      <c r="BF586" s="7"/>
      <c r="BG586" s="7"/>
      <c r="BH586" s="7"/>
      <c r="BI586" s="7"/>
      <c r="BJ586" s="7"/>
      <c r="BK586" s="7"/>
      <c r="BL586" s="7"/>
      <c r="BM586" s="7"/>
      <c r="BN586" s="7"/>
      <c r="BO586" s="7"/>
      <c r="BP586" s="7"/>
      <c r="BQ586" s="7"/>
      <c r="BR586" s="7"/>
      <c r="BS586" s="7"/>
      <c r="BT586" s="7"/>
      <c r="BU586" s="7"/>
      <c r="BV586" s="7"/>
      <c r="BW586" s="7"/>
      <c r="BX586" s="7"/>
      <c r="BY586" s="7"/>
      <c r="BZ586" s="7"/>
    </row>
    <row r="587" ht="16.5" customHeight="1">
      <c r="AT587" s="7"/>
      <c r="AU587" s="7"/>
      <c r="AV587" s="7"/>
      <c r="AW587" s="7"/>
      <c r="AX587" s="7"/>
      <c r="AY587" s="7"/>
      <c r="AZ587" s="7"/>
      <c r="BA587" s="7"/>
      <c r="BB587" s="7"/>
      <c r="BC587" s="7"/>
      <c r="BD587" s="7"/>
      <c r="BE587" s="7"/>
      <c r="BF587" s="7"/>
      <c r="BG587" s="7"/>
      <c r="BH587" s="7"/>
      <c r="BI587" s="7"/>
      <c r="BJ587" s="7"/>
      <c r="BK587" s="7"/>
      <c r="BL587" s="7"/>
      <c r="BM587" s="7"/>
      <c r="BN587" s="7"/>
      <c r="BO587" s="7"/>
      <c r="BP587" s="7"/>
      <c r="BQ587" s="7"/>
      <c r="BR587" s="7"/>
      <c r="BS587" s="7"/>
      <c r="BT587" s="7"/>
      <c r="BU587" s="7"/>
      <c r="BV587" s="7"/>
      <c r="BW587" s="7"/>
      <c r="BX587" s="7"/>
      <c r="BY587" s="7"/>
      <c r="BZ587" s="7"/>
    </row>
    <row r="588" ht="16.5" customHeight="1">
      <c r="AT588" s="7"/>
      <c r="AU588" s="7"/>
      <c r="AV588" s="7"/>
      <c r="AW588" s="7"/>
      <c r="AX588" s="7"/>
      <c r="AY588" s="7"/>
      <c r="AZ588" s="7"/>
      <c r="BA588" s="7"/>
      <c r="BB588" s="7"/>
      <c r="BC588" s="7"/>
      <c r="BD588" s="7"/>
      <c r="BE588" s="7"/>
      <c r="BF588" s="7"/>
      <c r="BG588" s="7"/>
      <c r="BH588" s="7"/>
      <c r="BI588" s="7"/>
      <c r="BJ588" s="7"/>
      <c r="BK588" s="7"/>
      <c r="BL588" s="7"/>
      <c r="BM588" s="7"/>
      <c r="BN588" s="7"/>
      <c r="BO588" s="7"/>
      <c r="BP588" s="7"/>
      <c r="BQ588" s="7"/>
      <c r="BR588" s="7"/>
      <c r="BS588" s="7"/>
      <c r="BT588" s="7"/>
      <c r="BU588" s="7"/>
      <c r="BV588" s="7"/>
      <c r="BW588" s="7"/>
      <c r="BX588" s="7"/>
      <c r="BY588" s="7"/>
      <c r="BZ588" s="7"/>
    </row>
    <row r="589" ht="16.5" customHeight="1">
      <c r="AT589" s="7"/>
      <c r="AU589" s="7"/>
      <c r="AV589" s="7"/>
      <c r="AW589" s="7"/>
      <c r="AX589" s="7"/>
      <c r="AY589" s="7"/>
      <c r="AZ589" s="7"/>
      <c r="BA589" s="7"/>
      <c r="BB589" s="7"/>
      <c r="BC589" s="7"/>
      <c r="BD589" s="7"/>
      <c r="BE589" s="7"/>
      <c r="BF589" s="7"/>
      <c r="BG589" s="7"/>
      <c r="BH589" s="7"/>
      <c r="BI589" s="7"/>
      <c r="BJ589" s="7"/>
      <c r="BK589" s="7"/>
      <c r="BL589" s="7"/>
      <c r="BM589" s="7"/>
      <c r="BN589" s="7"/>
      <c r="BO589" s="7"/>
      <c r="BP589" s="7"/>
      <c r="BQ589" s="7"/>
      <c r="BR589" s="7"/>
      <c r="BS589" s="7"/>
      <c r="BT589" s="7"/>
      <c r="BU589" s="7"/>
      <c r="BV589" s="7"/>
      <c r="BW589" s="7"/>
      <c r="BX589" s="7"/>
      <c r="BY589" s="7"/>
      <c r="BZ589" s="7"/>
    </row>
    <row r="590" ht="16.5" customHeight="1">
      <c r="AT590" s="7"/>
      <c r="AU590" s="7"/>
      <c r="AV590" s="7"/>
      <c r="AW590" s="7"/>
      <c r="AX590" s="7"/>
      <c r="AY590" s="7"/>
      <c r="AZ590" s="7"/>
      <c r="BA590" s="7"/>
      <c r="BB590" s="7"/>
      <c r="BC590" s="7"/>
      <c r="BD590" s="7"/>
      <c r="BE590" s="7"/>
      <c r="BF590" s="7"/>
      <c r="BG590" s="7"/>
      <c r="BH590" s="7"/>
      <c r="BI590" s="7"/>
      <c r="BJ590" s="7"/>
      <c r="BK590" s="7"/>
      <c r="BL590" s="7"/>
      <c r="BM590" s="7"/>
      <c r="BN590" s="7"/>
      <c r="BO590" s="7"/>
      <c r="BP590" s="7"/>
      <c r="BQ590" s="7"/>
      <c r="BR590" s="7"/>
      <c r="BS590" s="7"/>
      <c r="BT590" s="7"/>
      <c r="BU590" s="7"/>
      <c r="BV590" s="7"/>
      <c r="BW590" s="7"/>
      <c r="BX590" s="7"/>
      <c r="BY590" s="7"/>
      <c r="BZ590" s="7"/>
    </row>
    <row r="591" ht="16.5" customHeight="1">
      <c r="AT591" s="7"/>
      <c r="AU591" s="7"/>
      <c r="AV591" s="7"/>
      <c r="AW591" s="7"/>
      <c r="AX591" s="7"/>
      <c r="AY591" s="7"/>
      <c r="AZ591" s="7"/>
      <c r="BA591" s="7"/>
      <c r="BB591" s="7"/>
      <c r="BC591" s="7"/>
      <c r="BD591" s="7"/>
      <c r="BE591" s="7"/>
      <c r="BF591" s="7"/>
      <c r="BG591" s="7"/>
      <c r="BH591" s="7"/>
      <c r="BI591" s="7"/>
      <c r="BJ591" s="7"/>
      <c r="BK591" s="7"/>
      <c r="BL591" s="7"/>
      <c r="BM591" s="7"/>
      <c r="BN591" s="7"/>
      <c r="BO591" s="7"/>
      <c r="BP591" s="7"/>
      <c r="BQ591" s="7"/>
      <c r="BR591" s="7"/>
      <c r="BS591" s="7"/>
      <c r="BT591" s="7"/>
      <c r="BU591" s="7"/>
      <c r="BV591" s="7"/>
      <c r="BW591" s="7"/>
      <c r="BX591" s="7"/>
      <c r="BY591" s="7"/>
      <c r="BZ591" s="7"/>
    </row>
    <row r="592" ht="16.5" customHeight="1">
      <c r="AT592" s="7"/>
      <c r="AU592" s="7"/>
      <c r="AV592" s="7"/>
      <c r="AW592" s="7"/>
      <c r="AX592" s="7"/>
      <c r="AY592" s="7"/>
      <c r="AZ592" s="7"/>
      <c r="BA592" s="7"/>
      <c r="BB592" s="7"/>
      <c r="BC592" s="7"/>
      <c r="BD592" s="7"/>
      <c r="BE592" s="7"/>
      <c r="BF592" s="7"/>
      <c r="BG592" s="7"/>
      <c r="BH592" s="7"/>
      <c r="BI592" s="7"/>
      <c r="BJ592" s="7"/>
      <c r="BK592" s="7"/>
      <c r="BL592" s="7"/>
      <c r="BM592" s="7"/>
      <c r="BN592" s="7"/>
      <c r="BO592" s="7"/>
      <c r="BP592" s="7"/>
      <c r="BQ592" s="7"/>
      <c r="BR592" s="7"/>
      <c r="BS592" s="7"/>
      <c r="BT592" s="7"/>
      <c r="BU592" s="7"/>
      <c r="BV592" s="7"/>
      <c r="BW592" s="7"/>
      <c r="BX592" s="7"/>
      <c r="BY592" s="7"/>
      <c r="BZ592" s="7"/>
    </row>
    <row r="593" ht="16.5" customHeight="1">
      <c r="AT593" s="7"/>
      <c r="AU593" s="7"/>
      <c r="AV593" s="7"/>
      <c r="AW593" s="7"/>
      <c r="AX593" s="7"/>
      <c r="AY593" s="7"/>
      <c r="AZ593" s="7"/>
      <c r="BA593" s="7"/>
      <c r="BB593" s="7"/>
      <c r="BC593" s="7"/>
      <c r="BD593" s="7"/>
      <c r="BE593" s="7"/>
      <c r="BF593" s="7"/>
      <c r="BG593" s="7"/>
      <c r="BH593" s="7"/>
      <c r="BI593" s="7"/>
      <c r="BJ593" s="7"/>
      <c r="BK593" s="7"/>
      <c r="BL593" s="7"/>
      <c r="BM593" s="7"/>
      <c r="BN593" s="7"/>
      <c r="BO593" s="7"/>
      <c r="BP593" s="7"/>
      <c r="BQ593" s="7"/>
      <c r="BR593" s="7"/>
      <c r="BS593" s="7"/>
      <c r="BT593" s="7"/>
      <c r="BU593" s="7"/>
      <c r="BV593" s="7"/>
      <c r="BW593" s="7"/>
      <c r="BX593" s="7"/>
      <c r="BY593" s="7"/>
      <c r="BZ593" s="7"/>
    </row>
    <row r="594" ht="16.5" customHeight="1">
      <c r="AT594" s="7"/>
      <c r="AU594" s="7"/>
      <c r="AV594" s="7"/>
      <c r="AW594" s="7"/>
      <c r="AX594" s="7"/>
      <c r="AY594" s="7"/>
      <c r="AZ594" s="7"/>
      <c r="BA594" s="7"/>
      <c r="BB594" s="7"/>
      <c r="BC594" s="7"/>
      <c r="BD594" s="7"/>
      <c r="BE594" s="7"/>
      <c r="BF594" s="7"/>
      <c r="BG594" s="7"/>
      <c r="BH594" s="7"/>
      <c r="BI594" s="7"/>
      <c r="BJ594" s="7"/>
      <c r="BK594" s="7"/>
      <c r="BL594" s="7"/>
      <c r="BM594" s="7"/>
      <c r="BN594" s="7"/>
      <c r="BO594" s="7"/>
      <c r="BP594" s="7"/>
      <c r="BQ594" s="7"/>
      <c r="BR594" s="7"/>
      <c r="BS594" s="7"/>
      <c r="BT594" s="7"/>
      <c r="BU594" s="7"/>
      <c r="BV594" s="7"/>
      <c r="BW594" s="7"/>
      <c r="BX594" s="7"/>
      <c r="BY594" s="7"/>
      <c r="BZ594" s="7"/>
    </row>
    <row r="595" ht="16.5" customHeight="1">
      <c r="AT595" s="7"/>
      <c r="AU595" s="7"/>
      <c r="AV595" s="7"/>
      <c r="AW595" s="7"/>
      <c r="AX595" s="7"/>
      <c r="AY595" s="7"/>
      <c r="AZ595" s="7"/>
      <c r="BA595" s="7"/>
      <c r="BB595" s="7"/>
      <c r="BC595" s="7"/>
      <c r="BD595" s="7"/>
      <c r="BE595" s="7"/>
      <c r="BF595" s="7"/>
      <c r="BG595" s="7"/>
      <c r="BH595" s="7"/>
      <c r="BI595" s="7"/>
      <c r="BJ595" s="7"/>
      <c r="BK595" s="7"/>
      <c r="BL595" s="7"/>
      <c r="BM595" s="7"/>
      <c r="BN595" s="7"/>
      <c r="BO595" s="7"/>
      <c r="BP595" s="7"/>
      <c r="BQ595" s="7"/>
      <c r="BR595" s="7"/>
      <c r="BS595" s="7"/>
      <c r="BT595" s="7"/>
      <c r="BU595" s="7"/>
      <c r="BV595" s="7"/>
      <c r="BW595" s="7"/>
      <c r="BX595" s="7"/>
      <c r="BY595" s="7"/>
      <c r="BZ595" s="7"/>
    </row>
    <row r="596" ht="16.5" customHeight="1">
      <c r="AT596" s="7"/>
      <c r="AU596" s="7"/>
      <c r="AV596" s="7"/>
      <c r="AW596" s="7"/>
      <c r="AX596" s="7"/>
      <c r="AY596" s="7"/>
      <c r="AZ596" s="7"/>
      <c r="BA596" s="7"/>
      <c r="BB596" s="7"/>
      <c r="BC596" s="7"/>
      <c r="BD596" s="7"/>
      <c r="BE596" s="7"/>
      <c r="BF596" s="7"/>
      <c r="BG596" s="7"/>
      <c r="BH596" s="7"/>
      <c r="BI596" s="7"/>
      <c r="BJ596" s="7"/>
      <c r="BK596" s="7"/>
      <c r="BL596" s="7"/>
      <c r="BM596" s="7"/>
      <c r="BN596" s="7"/>
      <c r="BO596" s="7"/>
      <c r="BP596" s="7"/>
      <c r="BQ596" s="7"/>
      <c r="BR596" s="7"/>
      <c r="BS596" s="7"/>
      <c r="BT596" s="7"/>
      <c r="BU596" s="7"/>
      <c r="BV596" s="7"/>
      <c r="BW596" s="7"/>
      <c r="BX596" s="7"/>
      <c r="BY596" s="7"/>
      <c r="BZ596" s="7"/>
    </row>
    <row r="597" ht="16.5" customHeight="1">
      <c r="AT597" s="7"/>
      <c r="AU597" s="7"/>
      <c r="AV597" s="7"/>
      <c r="AW597" s="7"/>
      <c r="AX597" s="7"/>
      <c r="AY597" s="7"/>
      <c r="AZ597" s="7"/>
      <c r="BA597" s="7"/>
      <c r="BB597" s="7"/>
      <c r="BC597" s="7"/>
      <c r="BD597" s="7"/>
      <c r="BE597" s="7"/>
      <c r="BF597" s="7"/>
      <c r="BG597" s="7"/>
      <c r="BH597" s="7"/>
      <c r="BI597" s="7"/>
      <c r="BJ597" s="7"/>
      <c r="BK597" s="7"/>
      <c r="BL597" s="7"/>
      <c r="BM597" s="7"/>
      <c r="BN597" s="7"/>
      <c r="BO597" s="7"/>
      <c r="BP597" s="7"/>
      <c r="BQ597" s="7"/>
      <c r="BR597" s="7"/>
      <c r="BS597" s="7"/>
      <c r="BT597" s="7"/>
      <c r="BU597" s="7"/>
      <c r="BV597" s="7"/>
      <c r="BW597" s="7"/>
      <c r="BX597" s="7"/>
      <c r="BY597" s="7"/>
      <c r="BZ597" s="7"/>
    </row>
    <row r="598" ht="16.5" customHeight="1">
      <c r="AT598" s="7"/>
      <c r="AU598" s="7"/>
      <c r="AV598" s="7"/>
      <c r="AW598" s="7"/>
      <c r="AX598" s="7"/>
      <c r="AY598" s="7"/>
      <c r="AZ598" s="7"/>
      <c r="BA598" s="7"/>
      <c r="BB598" s="7"/>
      <c r="BC598" s="7"/>
      <c r="BD598" s="7"/>
      <c r="BE598" s="7"/>
      <c r="BF598" s="7"/>
      <c r="BG598" s="7"/>
      <c r="BH598" s="7"/>
      <c r="BI598" s="7"/>
      <c r="BJ598" s="7"/>
      <c r="BK598" s="7"/>
      <c r="BL598" s="7"/>
      <c r="BM598" s="7"/>
      <c r="BN598" s="7"/>
      <c r="BO598" s="7"/>
      <c r="BP598" s="7"/>
      <c r="BQ598" s="7"/>
      <c r="BR598" s="7"/>
      <c r="BS598" s="7"/>
      <c r="BT598" s="7"/>
      <c r="BU598" s="7"/>
      <c r="BV598" s="7"/>
      <c r="BW598" s="7"/>
      <c r="BX598" s="7"/>
      <c r="BY598" s="7"/>
      <c r="BZ598" s="7"/>
    </row>
    <row r="599" ht="16.5" customHeight="1">
      <c r="AT599" s="7"/>
      <c r="AU599" s="7"/>
      <c r="AV599" s="7"/>
      <c r="AW599" s="7"/>
      <c r="AX599" s="7"/>
      <c r="AY599" s="7"/>
      <c r="AZ599" s="7"/>
      <c r="BA599" s="7"/>
      <c r="BB599" s="7"/>
      <c r="BC599" s="7"/>
      <c r="BD599" s="7"/>
      <c r="BE599" s="7"/>
      <c r="BF599" s="7"/>
      <c r="BG599" s="7"/>
      <c r="BH599" s="7"/>
      <c r="BI599" s="7"/>
      <c r="BJ599" s="7"/>
      <c r="BK599" s="7"/>
      <c r="BL599" s="7"/>
      <c r="BM599" s="7"/>
      <c r="BN599" s="7"/>
      <c r="BO599" s="7"/>
      <c r="BP599" s="7"/>
      <c r="BQ599" s="7"/>
      <c r="BR599" s="7"/>
      <c r="BS599" s="7"/>
      <c r="BT599" s="7"/>
      <c r="BU599" s="7"/>
      <c r="BV599" s="7"/>
      <c r="BW599" s="7"/>
      <c r="BX599" s="7"/>
      <c r="BY599" s="7"/>
      <c r="BZ599" s="7"/>
    </row>
    <row r="600" ht="16.5" customHeight="1">
      <c r="AT600" s="7"/>
      <c r="AU600" s="7"/>
      <c r="AV600" s="7"/>
      <c r="AW600" s="7"/>
      <c r="AX600" s="7"/>
      <c r="AY600" s="7"/>
      <c r="AZ600" s="7"/>
      <c r="BA600" s="7"/>
      <c r="BB600" s="7"/>
      <c r="BC600" s="7"/>
      <c r="BD600" s="7"/>
      <c r="BE600" s="7"/>
      <c r="BF600" s="7"/>
      <c r="BG600" s="7"/>
      <c r="BH600" s="7"/>
      <c r="BI600" s="7"/>
      <c r="BJ600" s="7"/>
      <c r="BK600" s="7"/>
      <c r="BL600" s="7"/>
      <c r="BM600" s="7"/>
      <c r="BN600" s="7"/>
      <c r="BO600" s="7"/>
      <c r="BP600" s="7"/>
      <c r="BQ600" s="7"/>
      <c r="BR600" s="7"/>
      <c r="BS600" s="7"/>
      <c r="BT600" s="7"/>
      <c r="BU600" s="7"/>
      <c r="BV600" s="7"/>
      <c r="BW600" s="7"/>
      <c r="BX600" s="7"/>
      <c r="BY600" s="7"/>
      <c r="BZ600" s="7"/>
    </row>
    <row r="601" ht="16.5" customHeight="1">
      <c r="AT601" s="7"/>
      <c r="AU601" s="7"/>
      <c r="AV601" s="7"/>
      <c r="AW601" s="7"/>
      <c r="AX601" s="7"/>
      <c r="AY601" s="7"/>
      <c r="AZ601" s="7"/>
      <c r="BA601" s="7"/>
      <c r="BB601" s="7"/>
      <c r="BC601" s="7"/>
      <c r="BD601" s="7"/>
      <c r="BE601" s="7"/>
      <c r="BF601" s="7"/>
      <c r="BG601" s="7"/>
      <c r="BH601" s="7"/>
      <c r="BI601" s="7"/>
      <c r="BJ601" s="7"/>
      <c r="BK601" s="7"/>
      <c r="BL601" s="7"/>
      <c r="BM601" s="7"/>
      <c r="BN601" s="7"/>
      <c r="BO601" s="7"/>
      <c r="BP601" s="7"/>
      <c r="BQ601" s="7"/>
      <c r="BR601" s="7"/>
      <c r="BS601" s="7"/>
      <c r="BT601" s="7"/>
      <c r="BU601" s="7"/>
      <c r="BV601" s="7"/>
      <c r="BW601" s="7"/>
      <c r="BX601" s="7"/>
      <c r="BY601" s="7"/>
      <c r="BZ601" s="7"/>
    </row>
    <row r="602" ht="16.5" customHeight="1">
      <c r="AT602" s="7"/>
      <c r="AU602" s="7"/>
      <c r="AV602" s="7"/>
      <c r="AW602" s="7"/>
      <c r="AX602" s="7"/>
      <c r="AY602" s="7"/>
      <c r="AZ602" s="7"/>
      <c r="BA602" s="7"/>
      <c r="BB602" s="7"/>
      <c r="BC602" s="7"/>
      <c r="BD602" s="7"/>
      <c r="BE602" s="7"/>
      <c r="BF602" s="7"/>
      <c r="BG602" s="7"/>
      <c r="BH602" s="7"/>
      <c r="BI602" s="7"/>
      <c r="BJ602" s="7"/>
      <c r="BK602" s="7"/>
      <c r="BL602" s="7"/>
      <c r="BM602" s="7"/>
      <c r="BN602" s="7"/>
      <c r="BO602" s="7"/>
      <c r="BP602" s="7"/>
      <c r="BQ602" s="7"/>
      <c r="BR602" s="7"/>
      <c r="BS602" s="7"/>
      <c r="BT602" s="7"/>
      <c r="BU602" s="7"/>
      <c r="BV602" s="7"/>
      <c r="BW602" s="7"/>
      <c r="BX602" s="7"/>
      <c r="BY602" s="7"/>
      <c r="BZ602" s="7"/>
    </row>
    <row r="603" ht="16.5" customHeight="1">
      <c r="AT603" s="7"/>
      <c r="AU603" s="7"/>
      <c r="AV603" s="7"/>
      <c r="AW603" s="7"/>
      <c r="AX603" s="7"/>
      <c r="AY603" s="7"/>
      <c r="AZ603" s="7"/>
      <c r="BA603" s="7"/>
      <c r="BB603" s="7"/>
      <c r="BC603" s="7"/>
      <c r="BD603" s="7"/>
      <c r="BE603" s="7"/>
      <c r="BF603" s="7"/>
      <c r="BG603" s="7"/>
      <c r="BH603" s="7"/>
      <c r="BI603" s="7"/>
      <c r="BJ603" s="7"/>
      <c r="BK603" s="7"/>
      <c r="BL603" s="7"/>
      <c r="BM603" s="7"/>
      <c r="BN603" s="7"/>
      <c r="BO603" s="7"/>
      <c r="BP603" s="7"/>
      <c r="BQ603" s="7"/>
      <c r="BR603" s="7"/>
      <c r="BS603" s="7"/>
      <c r="BT603" s="7"/>
      <c r="BU603" s="7"/>
      <c r="BV603" s="7"/>
      <c r="BW603" s="7"/>
      <c r="BX603" s="7"/>
      <c r="BY603" s="7"/>
      <c r="BZ603" s="7"/>
    </row>
    <row r="604" ht="16.5" customHeight="1">
      <c r="AT604" s="7"/>
      <c r="AU604" s="7"/>
      <c r="AV604" s="7"/>
      <c r="AW604" s="7"/>
      <c r="AX604" s="7"/>
      <c r="AY604" s="7"/>
      <c r="AZ604" s="7"/>
      <c r="BA604" s="7"/>
      <c r="BB604" s="7"/>
      <c r="BC604" s="7"/>
      <c r="BD604" s="7"/>
      <c r="BE604" s="7"/>
      <c r="BF604" s="7"/>
      <c r="BG604" s="7"/>
      <c r="BH604" s="7"/>
      <c r="BI604" s="7"/>
      <c r="BJ604" s="7"/>
      <c r="BK604" s="7"/>
      <c r="BL604" s="7"/>
      <c r="BM604" s="7"/>
      <c r="BN604" s="7"/>
      <c r="BO604" s="7"/>
      <c r="BP604" s="7"/>
      <c r="BQ604" s="7"/>
      <c r="BR604" s="7"/>
      <c r="BS604" s="7"/>
      <c r="BT604" s="7"/>
      <c r="BU604" s="7"/>
      <c r="BV604" s="7"/>
      <c r="BW604" s="7"/>
      <c r="BX604" s="7"/>
      <c r="BY604" s="7"/>
      <c r="BZ604" s="7"/>
    </row>
    <row r="605" ht="16.5" customHeight="1">
      <c r="AT605" s="7"/>
      <c r="AU605" s="7"/>
      <c r="AV605" s="7"/>
      <c r="AW605" s="7"/>
      <c r="AX605" s="7"/>
      <c r="AY605" s="7"/>
      <c r="AZ605" s="7"/>
      <c r="BA605" s="7"/>
      <c r="BB605" s="7"/>
      <c r="BC605" s="7"/>
      <c r="BD605" s="7"/>
      <c r="BE605" s="7"/>
      <c r="BF605" s="7"/>
      <c r="BG605" s="7"/>
      <c r="BH605" s="7"/>
      <c r="BI605" s="7"/>
      <c r="BJ605" s="7"/>
      <c r="BK605" s="7"/>
      <c r="BL605" s="7"/>
      <c r="BM605" s="7"/>
      <c r="BN605" s="7"/>
      <c r="BO605" s="7"/>
      <c r="BP605" s="7"/>
      <c r="BQ605" s="7"/>
      <c r="BR605" s="7"/>
      <c r="BS605" s="7"/>
      <c r="BT605" s="7"/>
      <c r="BU605" s="7"/>
      <c r="BV605" s="7"/>
      <c r="BW605" s="7"/>
      <c r="BX605" s="7"/>
      <c r="BY605" s="7"/>
      <c r="BZ605" s="7"/>
    </row>
    <row r="606" ht="16.5" customHeight="1">
      <c r="AT606" s="7"/>
      <c r="AU606" s="7"/>
      <c r="AV606" s="7"/>
      <c r="AW606" s="7"/>
      <c r="AX606" s="7"/>
      <c r="AY606" s="7"/>
      <c r="AZ606" s="7"/>
      <c r="BA606" s="7"/>
      <c r="BB606" s="7"/>
      <c r="BC606" s="7"/>
      <c r="BD606" s="7"/>
      <c r="BE606" s="7"/>
      <c r="BF606" s="7"/>
      <c r="BG606" s="7"/>
      <c r="BH606" s="7"/>
      <c r="BI606" s="7"/>
      <c r="BJ606" s="7"/>
      <c r="BK606" s="7"/>
      <c r="BL606" s="7"/>
      <c r="BM606" s="7"/>
      <c r="BN606" s="7"/>
      <c r="BO606" s="7"/>
      <c r="BP606" s="7"/>
      <c r="BQ606" s="7"/>
      <c r="BR606" s="7"/>
      <c r="BS606" s="7"/>
      <c r="BT606" s="7"/>
      <c r="BU606" s="7"/>
      <c r="BV606" s="7"/>
      <c r="BW606" s="7"/>
      <c r="BX606" s="7"/>
      <c r="BY606" s="7"/>
      <c r="BZ606" s="7"/>
    </row>
    <row r="607" ht="16.5" customHeight="1">
      <c r="AT607" s="7"/>
      <c r="AU607" s="7"/>
      <c r="AV607" s="7"/>
      <c r="AW607" s="7"/>
      <c r="AX607" s="7"/>
      <c r="AY607" s="7"/>
      <c r="AZ607" s="7"/>
      <c r="BA607" s="7"/>
      <c r="BB607" s="7"/>
      <c r="BC607" s="7"/>
      <c r="BD607" s="7"/>
      <c r="BE607" s="7"/>
      <c r="BF607" s="7"/>
      <c r="BG607" s="7"/>
      <c r="BH607" s="7"/>
      <c r="BI607" s="7"/>
      <c r="BJ607" s="7"/>
      <c r="BK607" s="7"/>
      <c r="BL607" s="7"/>
      <c r="BM607" s="7"/>
      <c r="BN607" s="7"/>
      <c r="BO607" s="7"/>
      <c r="BP607" s="7"/>
      <c r="BQ607" s="7"/>
      <c r="BR607" s="7"/>
      <c r="BS607" s="7"/>
      <c r="BT607" s="7"/>
      <c r="BU607" s="7"/>
      <c r="BV607" s="7"/>
      <c r="BW607" s="7"/>
      <c r="BX607" s="7"/>
      <c r="BY607" s="7"/>
      <c r="BZ607" s="7"/>
    </row>
    <row r="608" ht="16.5" customHeight="1">
      <c r="AT608" s="7"/>
      <c r="AU608" s="7"/>
      <c r="AV608" s="7"/>
      <c r="AW608" s="7"/>
      <c r="AX608" s="7"/>
      <c r="AY608" s="7"/>
      <c r="AZ608" s="7"/>
      <c r="BA608" s="7"/>
      <c r="BB608" s="7"/>
      <c r="BC608" s="7"/>
      <c r="BD608" s="7"/>
      <c r="BE608" s="7"/>
      <c r="BF608" s="7"/>
      <c r="BG608" s="7"/>
      <c r="BH608" s="7"/>
      <c r="BI608" s="7"/>
      <c r="BJ608" s="7"/>
      <c r="BK608" s="7"/>
      <c r="BL608" s="7"/>
      <c r="BM608" s="7"/>
      <c r="BN608" s="7"/>
      <c r="BO608" s="7"/>
      <c r="BP608" s="7"/>
      <c r="BQ608" s="7"/>
      <c r="BR608" s="7"/>
      <c r="BS608" s="7"/>
      <c r="BT608" s="7"/>
      <c r="BU608" s="7"/>
      <c r="BV608" s="7"/>
      <c r="BW608" s="7"/>
      <c r="BX608" s="7"/>
      <c r="BY608" s="7"/>
      <c r="BZ608" s="7"/>
    </row>
    <row r="609" ht="16.5" customHeight="1">
      <c r="AT609" s="7"/>
      <c r="AU609" s="7"/>
      <c r="AV609" s="7"/>
      <c r="AW609" s="7"/>
      <c r="AX609" s="7"/>
      <c r="AY609" s="7"/>
      <c r="AZ609" s="7"/>
      <c r="BA609" s="7"/>
      <c r="BB609" s="7"/>
      <c r="BC609" s="7"/>
      <c r="BD609" s="7"/>
      <c r="BE609" s="7"/>
      <c r="BF609" s="7"/>
      <c r="BG609" s="7"/>
      <c r="BH609" s="7"/>
      <c r="BI609" s="7"/>
      <c r="BJ609" s="7"/>
      <c r="BK609" s="7"/>
      <c r="BL609" s="7"/>
      <c r="BM609" s="7"/>
      <c r="BN609" s="7"/>
      <c r="BO609" s="7"/>
      <c r="BP609" s="7"/>
      <c r="BQ609" s="7"/>
      <c r="BR609" s="7"/>
      <c r="BS609" s="7"/>
      <c r="BT609" s="7"/>
      <c r="BU609" s="7"/>
      <c r="BV609" s="7"/>
      <c r="BW609" s="7"/>
      <c r="BX609" s="7"/>
      <c r="BY609" s="7"/>
      <c r="BZ609" s="7"/>
    </row>
    <row r="610" ht="16.5" customHeight="1">
      <c r="AT610" s="7"/>
      <c r="AU610" s="7"/>
      <c r="AV610" s="7"/>
      <c r="AW610" s="7"/>
      <c r="AX610" s="7"/>
      <c r="AY610" s="7"/>
      <c r="AZ610" s="7"/>
      <c r="BA610" s="7"/>
      <c r="BB610" s="7"/>
      <c r="BC610" s="7"/>
      <c r="BD610" s="7"/>
      <c r="BE610" s="7"/>
      <c r="BF610" s="7"/>
      <c r="BG610" s="7"/>
      <c r="BH610" s="7"/>
      <c r="BI610" s="7"/>
      <c r="BJ610" s="7"/>
      <c r="BK610" s="7"/>
      <c r="BL610" s="7"/>
      <c r="BM610" s="7"/>
      <c r="BN610" s="7"/>
      <c r="BO610" s="7"/>
      <c r="BP610" s="7"/>
      <c r="BQ610" s="7"/>
      <c r="BR610" s="7"/>
      <c r="BS610" s="7"/>
      <c r="BT610" s="7"/>
      <c r="BU610" s="7"/>
      <c r="BV610" s="7"/>
      <c r="BW610" s="7"/>
      <c r="BX610" s="7"/>
      <c r="BY610" s="7"/>
      <c r="BZ610" s="7"/>
    </row>
    <row r="611" ht="16.5" customHeight="1">
      <c r="AT611" s="7"/>
      <c r="AU611" s="7"/>
      <c r="AV611" s="7"/>
      <c r="AW611" s="7"/>
      <c r="AX611" s="7"/>
      <c r="AY611" s="7"/>
      <c r="AZ611" s="7"/>
      <c r="BA611" s="7"/>
      <c r="BB611" s="7"/>
      <c r="BC611" s="7"/>
      <c r="BD611" s="7"/>
      <c r="BE611" s="7"/>
      <c r="BF611" s="7"/>
      <c r="BG611" s="7"/>
      <c r="BH611" s="7"/>
      <c r="BI611" s="7"/>
      <c r="BJ611" s="7"/>
      <c r="BK611" s="7"/>
      <c r="BL611" s="7"/>
      <c r="BM611" s="7"/>
      <c r="BN611" s="7"/>
      <c r="BO611" s="7"/>
      <c r="BP611" s="7"/>
      <c r="BQ611" s="7"/>
      <c r="BR611" s="7"/>
      <c r="BS611" s="7"/>
      <c r="BT611" s="7"/>
      <c r="BU611" s="7"/>
      <c r="BV611" s="7"/>
      <c r="BW611" s="7"/>
      <c r="BX611" s="7"/>
      <c r="BY611" s="7"/>
      <c r="BZ611" s="7"/>
    </row>
    <row r="612" ht="16.5" customHeight="1">
      <c r="AT612" s="7"/>
      <c r="AU612" s="7"/>
      <c r="AV612" s="7"/>
      <c r="AW612" s="7"/>
      <c r="AX612" s="7"/>
      <c r="AY612" s="7"/>
      <c r="AZ612" s="7"/>
      <c r="BA612" s="7"/>
      <c r="BB612" s="7"/>
      <c r="BC612" s="7"/>
      <c r="BD612" s="7"/>
      <c r="BE612" s="7"/>
      <c r="BF612" s="7"/>
      <c r="BG612" s="7"/>
      <c r="BH612" s="7"/>
      <c r="BI612" s="7"/>
      <c r="BJ612" s="7"/>
      <c r="BK612" s="7"/>
      <c r="BL612" s="7"/>
      <c r="BM612" s="7"/>
      <c r="BN612" s="7"/>
      <c r="BO612" s="7"/>
      <c r="BP612" s="7"/>
      <c r="BQ612" s="7"/>
      <c r="BR612" s="7"/>
      <c r="BS612" s="7"/>
      <c r="BT612" s="7"/>
      <c r="BU612" s="7"/>
      <c r="BV612" s="7"/>
      <c r="BW612" s="7"/>
      <c r="BX612" s="7"/>
      <c r="BY612" s="7"/>
      <c r="BZ612" s="7"/>
    </row>
    <row r="613" ht="16.5" customHeight="1">
      <c r="AT613" s="7"/>
      <c r="AU613" s="7"/>
      <c r="AV613" s="7"/>
      <c r="AW613" s="7"/>
      <c r="AX613" s="7"/>
      <c r="AY613" s="7"/>
      <c r="AZ613" s="7"/>
      <c r="BA613" s="7"/>
      <c r="BB613" s="7"/>
      <c r="BC613" s="7"/>
      <c r="BD613" s="7"/>
      <c r="BE613" s="7"/>
      <c r="BF613" s="7"/>
      <c r="BG613" s="7"/>
      <c r="BH613" s="7"/>
      <c r="BI613" s="7"/>
      <c r="BJ613" s="7"/>
      <c r="BK613" s="7"/>
      <c r="BL613" s="7"/>
      <c r="BM613" s="7"/>
      <c r="BN613" s="7"/>
      <c r="BO613" s="7"/>
      <c r="BP613" s="7"/>
      <c r="BQ613" s="7"/>
      <c r="BR613" s="7"/>
      <c r="BS613" s="7"/>
      <c r="BT613" s="7"/>
      <c r="BU613" s="7"/>
      <c r="BV613" s="7"/>
      <c r="BW613" s="7"/>
      <c r="BX613" s="7"/>
      <c r="BY613" s="7"/>
      <c r="BZ613" s="7"/>
    </row>
    <row r="614" ht="16.5" customHeight="1">
      <c r="AT614" s="7"/>
      <c r="AU614" s="7"/>
      <c r="AV614" s="7"/>
      <c r="AW614" s="7"/>
      <c r="AX614" s="7"/>
      <c r="AY614" s="7"/>
      <c r="AZ614" s="7"/>
      <c r="BA614" s="7"/>
      <c r="BB614" s="7"/>
      <c r="BC614" s="7"/>
      <c r="BD614" s="7"/>
      <c r="BE614" s="7"/>
      <c r="BF614" s="7"/>
      <c r="BG614" s="7"/>
      <c r="BH614" s="7"/>
      <c r="BI614" s="7"/>
      <c r="BJ614" s="7"/>
      <c r="BK614" s="7"/>
      <c r="BL614" s="7"/>
      <c r="BM614" s="7"/>
      <c r="BN614" s="7"/>
      <c r="BO614" s="7"/>
      <c r="BP614" s="7"/>
      <c r="BQ614" s="7"/>
      <c r="BR614" s="7"/>
      <c r="BS614" s="7"/>
      <c r="BT614" s="7"/>
      <c r="BU614" s="7"/>
      <c r="BV614" s="7"/>
      <c r="BW614" s="7"/>
      <c r="BX614" s="7"/>
      <c r="BY614" s="7"/>
      <c r="BZ614" s="7"/>
    </row>
    <row r="615" ht="16.5" customHeight="1">
      <c r="AT615" s="7"/>
      <c r="AU615" s="7"/>
      <c r="AV615" s="7"/>
      <c r="AW615" s="7"/>
      <c r="AX615" s="7"/>
      <c r="AY615" s="7"/>
      <c r="AZ615" s="7"/>
      <c r="BA615" s="7"/>
      <c r="BB615" s="7"/>
      <c r="BC615" s="7"/>
      <c r="BD615" s="7"/>
      <c r="BE615" s="7"/>
      <c r="BF615" s="7"/>
      <c r="BG615" s="7"/>
      <c r="BH615" s="7"/>
      <c r="BI615" s="7"/>
      <c r="BJ615" s="7"/>
      <c r="BK615" s="7"/>
      <c r="BL615" s="7"/>
      <c r="BM615" s="7"/>
      <c r="BN615" s="7"/>
      <c r="BO615" s="7"/>
      <c r="BP615" s="7"/>
      <c r="BQ615" s="7"/>
      <c r="BR615" s="7"/>
      <c r="BS615" s="7"/>
      <c r="BT615" s="7"/>
      <c r="BU615" s="7"/>
      <c r="BV615" s="7"/>
      <c r="BW615" s="7"/>
      <c r="BX615" s="7"/>
      <c r="BY615" s="7"/>
      <c r="BZ615" s="7"/>
    </row>
    <row r="616" ht="16.5" customHeight="1">
      <c r="AT616" s="7"/>
      <c r="AU616" s="7"/>
      <c r="AV616" s="7"/>
      <c r="AW616" s="7"/>
      <c r="AX616" s="7"/>
      <c r="AY616" s="7"/>
      <c r="AZ616" s="7"/>
      <c r="BA616" s="7"/>
      <c r="BB616" s="7"/>
      <c r="BC616" s="7"/>
      <c r="BD616" s="7"/>
      <c r="BE616" s="7"/>
      <c r="BF616" s="7"/>
      <c r="BG616" s="7"/>
      <c r="BH616" s="7"/>
      <c r="BI616" s="7"/>
      <c r="BJ616" s="7"/>
      <c r="BK616" s="7"/>
      <c r="BL616" s="7"/>
      <c r="BM616" s="7"/>
      <c r="BN616" s="7"/>
      <c r="BO616" s="7"/>
      <c r="BP616" s="7"/>
      <c r="BQ616" s="7"/>
      <c r="BR616" s="7"/>
      <c r="BS616" s="7"/>
      <c r="BT616" s="7"/>
      <c r="BU616" s="7"/>
      <c r="BV616" s="7"/>
      <c r="BW616" s="7"/>
      <c r="BX616" s="7"/>
      <c r="BY616" s="7"/>
      <c r="BZ616" s="7"/>
    </row>
    <row r="617" ht="16.5" customHeight="1">
      <c r="AT617" s="7"/>
      <c r="AU617" s="7"/>
      <c r="AV617" s="7"/>
      <c r="AW617" s="7"/>
      <c r="AX617" s="7"/>
      <c r="AY617" s="7"/>
      <c r="AZ617" s="7"/>
      <c r="BA617" s="7"/>
      <c r="BB617" s="7"/>
      <c r="BC617" s="7"/>
      <c r="BD617" s="7"/>
      <c r="BE617" s="7"/>
      <c r="BF617" s="7"/>
      <c r="BG617" s="7"/>
      <c r="BH617" s="7"/>
      <c r="BI617" s="7"/>
      <c r="BJ617" s="7"/>
      <c r="BK617" s="7"/>
      <c r="BL617" s="7"/>
      <c r="BM617" s="7"/>
      <c r="BN617" s="7"/>
      <c r="BO617" s="7"/>
      <c r="BP617" s="7"/>
      <c r="BQ617" s="7"/>
      <c r="BR617" s="7"/>
      <c r="BS617" s="7"/>
      <c r="BT617" s="7"/>
      <c r="BU617" s="7"/>
      <c r="BV617" s="7"/>
      <c r="BW617" s="7"/>
      <c r="BX617" s="7"/>
      <c r="BY617" s="7"/>
      <c r="BZ617" s="7"/>
    </row>
    <row r="618" ht="16.5" customHeight="1">
      <c r="AT618" s="7"/>
      <c r="AU618" s="7"/>
      <c r="AV618" s="7"/>
      <c r="AW618" s="7"/>
      <c r="AX618" s="7"/>
      <c r="AY618" s="7"/>
      <c r="AZ618" s="7"/>
      <c r="BA618" s="7"/>
      <c r="BB618" s="7"/>
      <c r="BC618" s="7"/>
      <c r="BD618" s="7"/>
      <c r="BE618" s="7"/>
      <c r="BF618" s="7"/>
      <c r="BG618" s="7"/>
      <c r="BH618" s="7"/>
      <c r="BI618" s="7"/>
      <c r="BJ618" s="7"/>
      <c r="BK618" s="7"/>
      <c r="BL618" s="7"/>
      <c r="BM618" s="7"/>
      <c r="BN618" s="7"/>
      <c r="BO618" s="7"/>
      <c r="BP618" s="7"/>
      <c r="BQ618" s="7"/>
      <c r="BR618" s="7"/>
      <c r="BS618" s="7"/>
      <c r="BT618" s="7"/>
      <c r="BU618" s="7"/>
      <c r="BV618" s="7"/>
      <c r="BW618" s="7"/>
      <c r="BX618" s="7"/>
      <c r="BY618" s="7"/>
      <c r="BZ618" s="7"/>
    </row>
    <row r="619" ht="16.5" customHeight="1">
      <c r="AT619" s="7"/>
      <c r="AU619" s="7"/>
      <c r="AV619" s="7"/>
      <c r="AW619" s="7"/>
      <c r="AX619" s="7"/>
      <c r="AY619" s="7"/>
      <c r="AZ619" s="7"/>
      <c r="BA619" s="7"/>
      <c r="BB619" s="7"/>
      <c r="BC619" s="7"/>
      <c r="BD619" s="7"/>
      <c r="BE619" s="7"/>
      <c r="BF619" s="7"/>
      <c r="BG619" s="7"/>
      <c r="BH619" s="7"/>
      <c r="BI619" s="7"/>
      <c r="BJ619" s="7"/>
      <c r="BK619" s="7"/>
      <c r="BL619" s="7"/>
      <c r="BM619" s="7"/>
      <c r="BN619" s="7"/>
      <c r="BO619" s="7"/>
      <c r="BP619" s="7"/>
      <c r="BQ619" s="7"/>
      <c r="BR619" s="7"/>
      <c r="BS619" s="7"/>
      <c r="BT619" s="7"/>
      <c r="BU619" s="7"/>
      <c r="BV619" s="7"/>
      <c r="BW619" s="7"/>
      <c r="BX619" s="7"/>
      <c r="BY619" s="7"/>
      <c r="BZ619" s="7"/>
    </row>
    <row r="620" ht="16.5" customHeight="1">
      <c r="AT620" s="7"/>
      <c r="AU620" s="7"/>
      <c r="AV620" s="7"/>
      <c r="AW620" s="7"/>
      <c r="AX620" s="7"/>
      <c r="AY620" s="7"/>
      <c r="AZ620" s="7"/>
      <c r="BA620" s="7"/>
      <c r="BB620" s="7"/>
      <c r="BC620" s="7"/>
      <c r="BD620" s="7"/>
      <c r="BE620" s="7"/>
      <c r="BF620" s="7"/>
      <c r="BG620" s="7"/>
      <c r="BH620" s="7"/>
      <c r="BI620" s="7"/>
      <c r="BJ620" s="7"/>
      <c r="BK620" s="7"/>
      <c r="BL620" s="7"/>
      <c r="BM620" s="7"/>
      <c r="BN620" s="7"/>
      <c r="BO620" s="7"/>
      <c r="BP620" s="7"/>
      <c r="BQ620" s="7"/>
      <c r="BR620" s="7"/>
      <c r="BS620" s="7"/>
      <c r="BT620" s="7"/>
      <c r="BU620" s="7"/>
      <c r="BV620" s="7"/>
      <c r="BW620" s="7"/>
      <c r="BX620" s="7"/>
      <c r="BY620" s="7"/>
      <c r="BZ620" s="7"/>
    </row>
    <row r="621" ht="16.5" customHeight="1">
      <c r="AT621" s="7"/>
      <c r="AU621" s="7"/>
      <c r="AV621" s="7"/>
      <c r="AW621" s="7"/>
      <c r="AX621" s="7"/>
      <c r="AY621" s="7"/>
      <c r="AZ621" s="7"/>
      <c r="BA621" s="7"/>
      <c r="BB621" s="7"/>
      <c r="BC621" s="7"/>
      <c r="BD621" s="7"/>
      <c r="BE621" s="7"/>
      <c r="BF621" s="7"/>
      <c r="BG621" s="7"/>
      <c r="BH621" s="7"/>
      <c r="BI621" s="7"/>
      <c r="BJ621" s="7"/>
      <c r="BK621" s="7"/>
      <c r="BL621" s="7"/>
      <c r="BM621" s="7"/>
      <c r="BN621" s="7"/>
      <c r="BO621" s="7"/>
      <c r="BP621" s="7"/>
      <c r="BQ621" s="7"/>
      <c r="BR621" s="7"/>
      <c r="BS621" s="7"/>
      <c r="BT621" s="7"/>
      <c r="BU621" s="7"/>
      <c r="BV621" s="7"/>
      <c r="BW621" s="7"/>
      <c r="BX621" s="7"/>
      <c r="BY621" s="7"/>
      <c r="BZ621" s="7"/>
    </row>
    <row r="622" ht="16.5" customHeight="1">
      <c r="AT622" s="7"/>
      <c r="AU622" s="7"/>
      <c r="AV622" s="7"/>
      <c r="AW622" s="7"/>
      <c r="AX622" s="7"/>
      <c r="AY622" s="7"/>
      <c r="AZ622" s="7"/>
      <c r="BA622" s="7"/>
      <c r="BB622" s="7"/>
      <c r="BC622" s="7"/>
      <c r="BD622" s="7"/>
      <c r="BE622" s="7"/>
      <c r="BF622" s="7"/>
      <c r="BG622" s="7"/>
      <c r="BH622" s="7"/>
      <c r="BI622" s="7"/>
      <c r="BJ622" s="7"/>
      <c r="BK622" s="7"/>
      <c r="BL622" s="7"/>
      <c r="BM622" s="7"/>
      <c r="BN622" s="7"/>
      <c r="BO622" s="7"/>
      <c r="BP622" s="7"/>
      <c r="BQ622" s="7"/>
      <c r="BR622" s="7"/>
      <c r="BS622" s="7"/>
      <c r="BT622" s="7"/>
      <c r="BU622" s="7"/>
      <c r="BV622" s="7"/>
      <c r="BW622" s="7"/>
      <c r="BX622" s="7"/>
      <c r="BY622" s="7"/>
      <c r="BZ622" s="7"/>
    </row>
    <row r="623" ht="16.5" customHeight="1">
      <c r="AT623" s="7"/>
      <c r="AU623" s="7"/>
      <c r="AV623" s="7"/>
      <c r="AW623" s="7"/>
      <c r="AX623" s="7"/>
      <c r="AY623" s="7"/>
      <c r="AZ623" s="7"/>
      <c r="BA623" s="7"/>
      <c r="BB623" s="7"/>
      <c r="BC623" s="7"/>
      <c r="BD623" s="7"/>
      <c r="BE623" s="7"/>
      <c r="BF623" s="7"/>
      <c r="BG623" s="7"/>
      <c r="BH623" s="7"/>
      <c r="BI623" s="7"/>
      <c r="BJ623" s="7"/>
      <c r="BK623" s="7"/>
      <c r="BL623" s="7"/>
      <c r="BM623" s="7"/>
      <c r="BN623" s="7"/>
      <c r="BO623" s="7"/>
      <c r="BP623" s="7"/>
      <c r="BQ623" s="7"/>
      <c r="BR623" s="7"/>
      <c r="BS623" s="7"/>
      <c r="BT623" s="7"/>
      <c r="BU623" s="7"/>
      <c r="BV623" s="7"/>
      <c r="BW623" s="7"/>
      <c r="BX623" s="7"/>
      <c r="BY623" s="7"/>
      <c r="BZ623" s="7"/>
    </row>
    <row r="624" ht="16.5" customHeight="1">
      <c r="AT624" s="7"/>
      <c r="AU624" s="7"/>
      <c r="AV624" s="7"/>
      <c r="AW624" s="7"/>
      <c r="AX624" s="7"/>
      <c r="AY624" s="7"/>
      <c r="AZ624" s="7"/>
      <c r="BA624" s="7"/>
      <c r="BB624" s="7"/>
      <c r="BC624" s="7"/>
      <c r="BD624" s="7"/>
      <c r="BE624" s="7"/>
      <c r="BF624" s="7"/>
      <c r="BG624" s="7"/>
      <c r="BH624" s="7"/>
      <c r="BI624" s="7"/>
      <c r="BJ624" s="7"/>
      <c r="BK624" s="7"/>
      <c r="BL624" s="7"/>
      <c r="BM624" s="7"/>
      <c r="BN624" s="7"/>
      <c r="BO624" s="7"/>
      <c r="BP624" s="7"/>
      <c r="BQ624" s="7"/>
      <c r="BR624" s="7"/>
      <c r="BS624" s="7"/>
      <c r="BT624" s="7"/>
      <c r="BU624" s="7"/>
      <c r="BV624" s="7"/>
      <c r="BW624" s="7"/>
      <c r="BX624" s="7"/>
      <c r="BY624" s="7"/>
      <c r="BZ624" s="7"/>
    </row>
    <row r="625" ht="16.5" customHeight="1">
      <c r="AT625" s="7"/>
      <c r="AU625" s="7"/>
      <c r="AV625" s="7"/>
      <c r="AW625" s="7"/>
      <c r="AX625" s="7"/>
      <c r="AY625" s="7"/>
      <c r="AZ625" s="7"/>
      <c r="BA625" s="7"/>
      <c r="BB625" s="7"/>
      <c r="BC625" s="7"/>
      <c r="BD625" s="7"/>
      <c r="BE625" s="7"/>
      <c r="BF625" s="7"/>
      <c r="BG625" s="7"/>
      <c r="BH625" s="7"/>
      <c r="BI625" s="7"/>
      <c r="BJ625" s="7"/>
      <c r="BK625" s="7"/>
      <c r="BL625" s="7"/>
      <c r="BM625" s="7"/>
      <c r="BN625" s="7"/>
      <c r="BO625" s="7"/>
      <c r="BP625" s="7"/>
      <c r="BQ625" s="7"/>
      <c r="BR625" s="7"/>
      <c r="BS625" s="7"/>
      <c r="BT625" s="7"/>
      <c r="BU625" s="7"/>
      <c r="BV625" s="7"/>
      <c r="BW625" s="7"/>
      <c r="BX625" s="7"/>
      <c r="BY625" s="7"/>
      <c r="BZ625" s="7"/>
    </row>
    <row r="626" ht="16.5" customHeight="1">
      <c r="AT626" s="7"/>
      <c r="AU626" s="7"/>
      <c r="AV626" s="7"/>
      <c r="AW626" s="7"/>
      <c r="AX626" s="7"/>
      <c r="AY626" s="7"/>
      <c r="AZ626" s="7"/>
      <c r="BA626" s="7"/>
      <c r="BB626" s="7"/>
      <c r="BC626" s="7"/>
      <c r="BD626" s="7"/>
      <c r="BE626" s="7"/>
      <c r="BF626" s="7"/>
      <c r="BG626" s="7"/>
      <c r="BH626" s="7"/>
      <c r="BI626" s="7"/>
      <c r="BJ626" s="7"/>
      <c r="BK626" s="7"/>
      <c r="BL626" s="7"/>
      <c r="BM626" s="7"/>
      <c r="BN626" s="7"/>
      <c r="BO626" s="7"/>
      <c r="BP626" s="7"/>
      <c r="BQ626" s="7"/>
      <c r="BR626" s="7"/>
      <c r="BS626" s="7"/>
      <c r="BT626" s="7"/>
      <c r="BU626" s="7"/>
      <c r="BV626" s="7"/>
      <c r="BW626" s="7"/>
      <c r="BX626" s="7"/>
      <c r="BY626" s="7"/>
      <c r="BZ626" s="7"/>
    </row>
    <row r="627" ht="16.5" customHeight="1">
      <c r="AT627" s="7"/>
      <c r="AU627" s="7"/>
      <c r="AV627" s="7"/>
      <c r="AW627" s="7"/>
      <c r="AX627" s="7"/>
      <c r="AY627" s="7"/>
      <c r="AZ627" s="7"/>
      <c r="BA627" s="7"/>
      <c r="BB627" s="7"/>
      <c r="BC627" s="7"/>
      <c r="BD627" s="7"/>
      <c r="BE627" s="7"/>
      <c r="BF627" s="7"/>
      <c r="BG627" s="7"/>
      <c r="BH627" s="7"/>
      <c r="BI627" s="7"/>
      <c r="BJ627" s="7"/>
      <c r="BK627" s="7"/>
      <c r="BL627" s="7"/>
      <c r="BM627" s="7"/>
      <c r="BN627" s="7"/>
      <c r="BO627" s="7"/>
      <c r="BP627" s="7"/>
      <c r="BQ627" s="7"/>
      <c r="BR627" s="7"/>
      <c r="BS627" s="7"/>
      <c r="BT627" s="7"/>
      <c r="BU627" s="7"/>
      <c r="BV627" s="7"/>
      <c r="BW627" s="7"/>
      <c r="BX627" s="7"/>
      <c r="BY627" s="7"/>
      <c r="BZ627" s="7"/>
    </row>
    <row r="628" ht="16.5" customHeight="1">
      <c r="AT628" s="7"/>
      <c r="AU628" s="7"/>
      <c r="AV628" s="7"/>
      <c r="AW628" s="7"/>
      <c r="AX628" s="7"/>
      <c r="AY628" s="7"/>
      <c r="AZ628" s="7"/>
      <c r="BA628" s="7"/>
      <c r="BB628" s="7"/>
      <c r="BC628" s="7"/>
      <c r="BD628" s="7"/>
      <c r="BE628" s="7"/>
      <c r="BF628" s="7"/>
      <c r="BG628" s="7"/>
      <c r="BH628" s="7"/>
      <c r="BI628" s="7"/>
      <c r="BJ628" s="7"/>
      <c r="BK628" s="7"/>
      <c r="BL628" s="7"/>
      <c r="BM628" s="7"/>
      <c r="BN628" s="7"/>
      <c r="BO628" s="7"/>
      <c r="BP628" s="7"/>
      <c r="BQ628" s="7"/>
      <c r="BR628" s="7"/>
      <c r="BS628" s="7"/>
      <c r="BT628" s="7"/>
      <c r="BU628" s="7"/>
      <c r="BV628" s="7"/>
      <c r="BW628" s="7"/>
      <c r="BX628" s="7"/>
      <c r="BY628" s="7"/>
      <c r="BZ628" s="7"/>
    </row>
    <row r="629" ht="16.5" customHeight="1">
      <c r="AT629" s="7"/>
      <c r="AU629" s="7"/>
      <c r="AV629" s="7"/>
      <c r="AW629" s="7"/>
      <c r="AX629" s="7"/>
      <c r="AY629" s="7"/>
      <c r="AZ629" s="7"/>
      <c r="BA629" s="7"/>
      <c r="BB629" s="7"/>
      <c r="BC629" s="7"/>
      <c r="BD629" s="7"/>
      <c r="BE629" s="7"/>
      <c r="BF629" s="7"/>
      <c r="BG629" s="7"/>
      <c r="BH629" s="7"/>
      <c r="BI629" s="7"/>
      <c r="BJ629" s="7"/>
      <c r="BK629" s="7"/>
      <c r="BL629" s="7"/>
      <c r="BM629" s="7"/>
      <c r="BN629" s="7"/>
      <c r="BO629" s="7"/>
      <c r="BP629" s="7"/>
      <c r="BQ629" s="7"/>
      <c r="BR629" s="7"/>
      <c r="BS629" s="7"/>
      <c r="BT629" s="7"/>
      <c r="BU629" s="7"/>
      <c r="BV629" s="7"/>
      <c r="BW629" s="7"/>
      <c r="BX629" s="7"/>
      <c r="BY629" s="7"/>
      <c r="BZ629" s="7"/>
    </row>
    <row r="630" ht="16.5" customHeight="1">
      <c r="AT630" s="7"/>
      <c r="AU630" s="7"/>
      <c r="AV630" s="7"/>
      <c r="AW630" s="7"/>
      <c r="AX630" s="7"/>
      <c r="AY630" s="7"/>
      <c r="AZ630" s="7"/>
      <c r="BA630" s="7"/>
      <c r="BB630" s="7"/>
      <c r="BC630" s="7"/>
      <c r="BD630" s="7"/>
      <c r="BE630" s="7"/>
      <c r="BF630" s="7"/>
      <c r="BG630" s="7"/>
      <c r="BH630" s="7"/>
      <c r="BI630" s="7"/>
      <c r="BJ630" s="7"/>
      <c r="BK630" s="7"/>
      <c r="BL630" s="7"/>
      <c r="BM630" s="7"/>
      <c r="BN630" s="7"/>
      <c r="BO630" s="7"/>
      <c r="BP630" s="7"/>
      <c r="BQ630" s="7"/>
      <c r="BR630" s="7"/>
      <c r="BS630" s="7"/>
      <c r="BT630" s="7"/>
      <c r="BU630" s="7"/>
      <c r="BV630" s="7"/>
      <c r="BW630" s="7"/>
      <c r="BX630" s="7"/>
      <c r="BY630" s="7"/>
      <c r="BZ630" s="7"/>
    </row>
    <row r="631" ht="16.5" customHeight="1">
      <c r="AT631" s="7"/>
      <c r="AU631" s="7"/>
      <c r="AV631" s="7"/>
      <c r="AW631" s="7"/>
      <c r="AX631" s="7"/>
      <c r="AY631" s="7"/>
      <c r="AZ631" s="7"/>
      <c r="BA631" s="7"/>
      <c r="BB631" s="7"/>
      <c r="BC631" s="7"/>
      <c r="BD631" s="7"/>
      <c r="BE631" s="7"/>
      <c r="BF631" s="7"/>
      <c r="BG631" s="7"/>
      <c r="BH631" s="7"/>
      <c r="BI631" s="7"/>
      <c r="BJ631" s="7"/>
      <c r="BK631" s="7"/>
      <c r="BL631" s="7"/>
      <c r="BM631" s="7"/>
      <c r="BN631" s="7"/>
      <c r="BO631" s="7"/>
      <c r="BP631" s="7"/>
      <c r="BQ631" s="7"/>
      <c r="BR631" s="7"/>
      <c r="BS631" s="7"/>
      <c r="BT631" s="7"/>
      <c r="BU631" s="7"/>
      <c r="BV631" s="7"/>
      <c r="BW631" s="7"/>
      <c r="BX631" s="7"/>
      <c r="BY631" s="7"/>
      <c r="BZ631" s="7"/>
    </row>
    <row r="632" ht="16.5" customHeight="1">
      <c r="AT632" s="7"/>
      <c r="AU632" s="7"/>
      <c r="AV632" s="7"/>
      <c r="AW632" s="7"/>
      <c r="AX632" s="7"/>
      <c r="AY632" s="7"/>
      <c r="AZ632" s="7"/>
      <c r="BA632" s="7"/>
      <c r="BB632" s="7"/>
      <c r="BC632" s="7"/>
      <c r="BD632" s="7"/>
      <c r="BE632" s="7"/>
      <c r="BF632" s="7"/>
      <c r="BG632" s="7"/>
      <c r="BH632" s="7"/>
      <c r="BI632" s="7"/>
      <c r="BJ632" s="7"/>
      <c r="BK632" s="7"/>
      <c r="BL632" s="7"/>
      <c r="BM632" s="7"/>
      <c r="BN632" s="7"/>
      <c r="BO632" s="7"/>
      <c r="BP632" s="7"/>
      <c r="BQ632" s="7"/>
      <c r="BR632" s="7"/>
      <c r="BS632" s="7"/>
      <c r="BT632" s="7"/>
      <c r="BU632" s="7"/>
      <c r="BV632" s="7"/>
      <c r="BW632" s="7"/>
      <c r="BX632" s="7"/>
      <c r="BY632" s="7"/>
      <c r="BZ632" s="7"/>
    </row>
    <row r="633" ht="16.5" customHeight="1">
      <c r="AT633" s="7"/>
      <c r="AU633" s="7"/>
      <c r="AV633" s="7"/>
      <c r="AW633" s="7"/>
      <c r="AX633" s="7"/>
      <c r="AY633" s="7"/>
      <c r="AZ633" s="7"/>
      <c r="BA633" s="7"/>
      <c r="BB633" s="7"/>
      <c r="BC633" s="7"/>
      <c r="BD633" s="7"/>
      <c r="BE633" s="7"/>
      <c r="BF633" s="7"/>
      <c r="BG633" s="7"/>
      <c r="BH633" s="7"/>
      <c r="BI633" s="7"/>
      <c r="BJ633" s="7"/>
      <c r="BK633" s="7"/>
      <c r="BL633" s="7"/>
      <c r="BM633" s="7"/>
      <c r="BN633" s="7"/>
      <c r="BO633" s="7"/>
      <c r="BP633" s="7"/>
      <c r="BQ633" s="7"/>
      <c r="BR633" s="7"/>
      <c r="BS633" s="7"/>
      <c r="BT633" s="7"/>
      <c r="BU633" s="7"/>
      <c r="BV633" s="7"/>
      <c r="BW633" s="7"/>
      <c r="BX633" s="7"/>
      <c r="BY633" s="7"/>
      <c r="BZ633" s="7"/>
    </row>
    <row r="634" ht="16.5" customHeight="1">
      <c r="AT634" s="7"/>
      <c r="AU634" s="7"/>
      <c r="AV634" s="7"/>
      <c r="AW634" s="7"/>
      <c r="AX634" s="7"/>
      <c r="AY634" s="7"/>
      <c r="AZ634" s="7"/>
      <c r="BA634" s="7"/>
      <c r="BB634" s="7"/>
      <c r="BC634" s="7"/>
      <c r="BD634" s="7"/>
      <c r="BE634" s="7"/>
      <c r="BF634" s="7"/>
      <c r="BG634" s="7"/>
      <c r="BH634" s="7"/>
      <c r="BI634" s="7"/>
      <c r="BJ634" s="7"/>
      <c r="BK634" s="7"/>
      <c r="BL634" s="7"/>
      <c r="BM634" s="7"/>
      <c r="BN634" s="7"/>
      <c r="BO634" s="7"/>
      <c r="BP634" s="7"/>
      <c r="BQ634" s="7"/>
      <c r="BR634" s="7"/>
      <c r="BS634" s="7"/>
      <c r="BT634" s="7"/>
      <c r="BU634" s="7"/>
      <c r="BV634" s="7"/>
      <c r="BW634" s="7"/>
      <c r="BX634" s="7"/>
      <c r="BY634" s="7"/>
      <c r="BZ634" s="7"/>
    </row>
    <row r="635" ht="16.5" customHeight="1">
      <c r="AT635" s="7"/>
      <c r="AU635" s="7"/>
      <c r="AV635" s="7"/>
      <c r="AW635" s="7"/>
      <c r="AX635" s="7"/>
      <c r="AY635" s="7"/>
      <c r="AZ635" s="7"/>
      <c r="BA635" s="7"/>
      <c r="BB635" s="7"/>
      <c r="BC635" s="7"/>
      <c r="BD635" s="7"/>
      <c r="BE635" s="7"/>
      <c r="BF635" s="7"/>
      <c r="BG635" s="7"/>
      <c r="BH635" s="7"/>
      <c r="BI635" s="7"/>
      <c r="BJ635" s="7"/>
      <c r="BK635" s="7"/>
      <c r="BL635" s="7"/>
      <c r="BM635" s="7"/>
      <c r="BN635" s="7"/>
      <c r="BO635" s="7"/>
      <c r="BP635" s="7"/>
      <c r="BQ635" s="7"/>
      <c r="BR635" s="7"/>
      <c r="BS635" s="7"/>
      <c r="BT635" s="7"/>
      <c r="BU635" s="7"/>
      <c r="BV635" s="7"/>
      <c r="BW635" s="7"/>
      <c r="BX635" s="7"/>
      <c r="BY635" s="7"/>
      <c r="BZ635" s="7"/>
    </row>
    <row r="636" ht="16.5" customHeight="1">
      <c r="AT636" s="7"/>
      <c r="AU636" s="7"/>
      <c r="AV636" s="7"/>
      <c r="AW636" s="7"/>
      <c r="AX636" s="7"/>
      <c r="AY636" s="7"/>
      <c r="AZ636" s="7"/>
      <c r="BA636" s="7"/>
      <c r="BB636" s="7"/>
      <c r="BC636" s="7"/>
      <c r="BD636" s="7"/>
      <c r="BE636" s="7"/>
      <c r="BF636" s="7"/>
      <c r="BG636" s="7"/>
      <c r="BH636" s="7"/>
      <c r="BI636" s="7"/>
      <c r="BJ636" s="7"/>
      <c r="BK636" s="7"/>
      <c r="BL636" s="7"/>
      <c r="BM636" s="7"/>
      <c r="BN636" s="7"/>
      <c r="BO636" s="7"/>
      <c r="BP636" s="7"/>
      <c r="BQ636" s="7"/>
      <c r="BR636" s="7"/>
      <c r="BS636" s="7"/>
      <c r="BT636" s="7"/>
      <c r="BU636" s="7"/>
      <c r="BV636" s="7"/>
      <c r="BW636" s="7"/>
      <c r="BX636" s="7"/>
      <c r="BY636" s="7"/>
      <c r="BZ636" s="7"/>
    </row>
    <row r="637" ht="16.5" customHeight="1">
      <c r="AT637" s="7"/>
      <c r="AU637" s="7"/>
      <c r="AV637" s="7"/>
      <c r="AW637" s="7"/>
      <c r="AX637" s="7"/>
      <c r="AY637" s="7"/>
      <c r="AZ637" s="7"/>
      <c r="BA637" s="7"/>
      <c r="BB637" s="7"/>
      <c r="BC637" s="7"/>
      <c r="BD637" s="7"/>
      <c r="BE637" s="7"/>
      <c r="BF637" s="7"/>
      <c r="BG637" s="7"/>
      <c r="BH637" s="7"/>
      <c r="BI637" s="7"/>
      <c r="BJ637" s="7"/>
      <c r="BK637" s="7"/>
      <c r="BL637" s="7"/>
      <c r="BM637" s="7"/>
      <c r="BN637" s="7"/>
      <c r="BO637" s="7"/>
      <c r="BP637" s="7"/>
      <c r="BQ637" s="7"/>
      <c r="BR637" s="7"/>
      <c r="BS637" s="7"/>
      <c r="BT637" s="7"/>
      <c r="BU637" s="7"/>
      <c r="BV637" s="7"/>
      <c r="BW637" s="7"/>
      <c r="BX637" s="7"/>
      <c r="BY637" s="7"/>
      <c r="BZ637" s="7"/>
    </row>
    <row r="638" ht="16.5" customHeight="1">
      <c r="AT638" s="7"/>
      <c r="AU638" s="7"/>
      <c r="AV638" s="7"/>
      <c r="AW638" s="7"/>
      <c r="AX638" s="7"/>
      <c r="AY638" s="7"/>
      <c r="AZ638" s="7"/>
      <c r="BA638" s="7"/>
      <c r="BB638" s="7"/>
      <c r="BC638" s="7"/>
      <c r="BD638" s="7"/>
      <c r="BE638" s="7"/>
      <c r="BF638" s="7"/>
      <c r="BG638" s="7"/>
      <c r="BH638" s="7"/>
      <c r="BI638" s="7"/>
      <c r="BJ638" s="7"/>
      <c r="BK638" s="7"/>
      <c r="BL638" s="7"/>
      <c r="BM638" s="7"/>
      <c r="BN638" s="7"/>
      <c r="BO638" s="7"/>
      <c r="BP638" s="7"/>
      <c r="BQ638" s="7"/>
      <c r="BR638" s="7"/>
      <c r="BS638" s="7"/>
      <c r="BT638" s="7"/>
      <c r="BU638" s="7"/>
      <c r="BV638" s="7"/>
      <c r="BW638" s="7"/>
      <c r="BX638" s="7"/>
      <c r="BY638" s="7"/>
      <c r="BZ638" s="7"/>
    </row>
    <row r="639" ht="16.5" customHeight="1">
      <c r="AT639" s="7"/>
      <c r="AU639" s="7"/>
      <c r="AV639" s="7"/>
      <c r="AW639" s="7"/>
      <c r="AX639" s="7"/>
      <c r="AY639" s="7"/>
      <c r="AZ639" s="7"/>
      <c r="BA639" s="7"/>
      <c r="BB639" s="7"/>
      <c r="BC639" s="7"/>
      <c r="BD639" s="7"/>
      <c r="BE639" s="7"/>
      <c r="BF639" s="7"/>
      <c r="BG639" s="7"/>
      <c r="BH639" s="7"/>
      <c r="BI639" s="7"/>
      <c r="BJ639" s="7"/>
      <c r="BK639" s="7"/>
      <c r="BL639" s="7"/>
      <c r="BM639" s="7"/>
      <c r="BN639" s="7"/>
      <c r="BO639" s="7"/>
      <c r="BP639" s="7"/>
      <c r="BQ639" s="7"/>
      <c r="BR639" s="7"/>
      <c r="BS639" s="7"/>
      <c r="BT639" s="7"/>
      <c r="BU639" s="7"/>
      <c r="BV639" s="7"/>
      <c r="BW639" s="7"/>
      <c r="BX639" s="7"/>
      <c r="BY639" s="7"/>
      <c r="BZ639" s="7"/>
    </row>
    <row r="640" ht="16.5" customHeight="1">
      <c r="AT640" s="7"/>
      <c r="AU640" s="7"/>
      <c r="AV640" s="7"/>
      <c r="AW640" s="7"/>
      <c r="AX640" s="7"/>
      <c r="AY640" s="7"/>
      <c r="AZ640" s="7"/>
      <c r="BA640" s="7"/>
      <c r="BB640" s="7"/>
      <c r="BC640" s="7"/>
      <c r="BD640" s="7"/>
      <c r="BE640" s="7"/>
      <c r="BF640" s="7"/>
      <c r="BG640" s="7"/>
      <c r="BH640" s="7"/>
      <c r="BI640" s="7"/>
      <c r="BJ640" s="7"/>
      <c r="BK640" s="7"/>
      <c r="BL640" s="7"/>
      <c r="BM640" s="7"/>
      <c r="BN640" s="7"/>
      <c r="BO640" s="7"/>
      <c r="BP640" s="7"/>
      <c r="BQ640" s="7"/>
      <c r="BR640" s="7"/>
      <c r="BS640" s="7"/>
      <c r="BT640" s="7"/>
      <c r="BU640" s="7"/>
      <c r="BV640" s="7"/>
      <c r="BW640" s="7"/>
      <c r="BX640" s="7"/>
      <c r="BY640" s="7"/>
      <c r="BZ640" s="7"/>
    </row>
    <row r="641" ht="16.5" customHeight="1">
      <c r="AT641" s="7"/>
      <c r="AU641" s="7"/>
      <c r="AV641" s="7"/>
      <c r="AW641" s="7"/>
      <c r="AX641" s="7"/>
      <c r="AY641" s="7"/>
      <c r="AZ641" s="7"/>
      <c r="BA641" s="7"/>
      <c r="BB641" s="7"/>
      <c r="BC641" s="7"/>
      <c r="BD641" s="7"/>
      <c r="BE641" s="7"/>
      <c r="BF641" s="7"/>
      <c r="BG641" s="7"/>
      <c r="BH641" s="7"/>
      <c r="BI641" s="7"/>
      <c r="BJ641" s="7"/>
      <c r="BK641" s="7"/>
      <c r="BL641" s="7"/>
      <c r="BM641" s="7"/>
      <c r="BN641" s="7"/>
      <c r="BO641" s="7"/>
      <c r="BP641" s="7"/>
      <c r="BQ641" s="7"/>
      <c r="BR641" s="7"/>
      <c r="BS641" s="7"/>
      <c r="BT641" s="7"/>
      <c r="BU641" s="7"/>
      <c r="BV641" s="7"/>
      <c r="BW641" s="7"/>
      <c r="BX641" s="7"/>
      <c r="BY641" s="7"/>
      <c r="BZ641" s="7"/>
    </row>
    <row r="642" ht="16.5" customHeight="1">
      <c r="AT642" s="7"/>
      <c r="AU642" s="7"/>
      <c r="AV642" s="7"/>
      <c r="AW642" s="7"/>
      <c r="AX642" s="7"/>
      <c r="AY642" s="7"/>
      <c r="AZ642" s="7"/>
      <c r="BA642" s="7"/>
      <c r="BB642" s="7"/>
      <c r="BC642" s="7"/>
      <c r="BD642" s="7"/>
      <c r="BE642" s="7"/>
      <c r="BF642" s="7"/>
      <c r="BG642" s="7"/>
      <c r="BH642" s="7"/>
      <c r="BI642" s="7"/>
      <c r="BJ642" s="7"/>
      <c r="BK642" s="7"/>
      <c r="BL642" s="7"/>
      <c r="BM642" s="7"/>
      <c r="BN642" s="7"/>
      <c r="BO642" s="7"/>
      <c r="BP642" s="7"/>
      <c r="BQ642" s="7"/>
      <c r="BR642" s="7"/>
      <c r="BS642" s="7"/>
      <c r="BT642" s="7"/>
      <c r="BU642" s="7"/>
      <c r="BV642" s="7"/>
      <c r="BW642" s="7"/>
      <c r="BX642" s="7"/>
      <c r="BY642" s="7"/>
      <c r="BZ642" s="7"/>
    </row>
    <row r="643" ht="16.5" customHeight="1">
      <c r="AT643" s="7"/>
      <c r="AU643" s="7"/>
      <c r="AV643" s="7"/>
      <c r="AW643" s="7"/>
      <c r="AX643" s="7"/>
      <c r="AY643" s="7"/>
      <c r="AZ643" s="7"/>
      <c r="BA643" s="7"/>
      <c r="BB643" s="7"/>
      <c r="BC643" s="7"/>
      <c r="BD643" s="7"/>
      <c r="BE643" s="7"/>
      <c r="BF643" s="7"/>
      <c r="BG643" s="7"/>
      <c r="BH643" s="7"/>
      <c r="BI643" s="7"/>
      <c r="BJ643" s="7"/>
      <c r="BK643" s="7"/>
      <c r="BL643" s="7"/>
      <c r="BM643" s="7"/>
      <c r="BN643" s="7"/>
      <c r="BO643" s="7"/>
      <c r="BP643" s="7"/>
      <c r="BQ643" s="7"/>
      <c r="BR643" s="7"/>
      <c r="BS643" s="7"/>
      <c r="BT643" s="7"/>
      <c r="BU643" s="7"/>
      <c r="BV643" s="7"/>
      <c r="BW643" s="7"/>
      <c r="BX643" s="7"/>
      <c r="BY643" s="7"/>
      <c r="BZ643" s="7"/>
    </row>
    <row r="644" ht="16.5" customHeight="1">
      <c r="AT644" s="7"/>
      <c r="AU644" s="7"/>
      <c r="AV644" s="7"/>
      <c r="AW644" s="7"/>
      <c r="AX644" s="7"/>
      <c r="AY644" s="7"/>
      <c r="AZ644" s="7"/>
      <c r="BA644" s="7"/>
      <c r="BB644" s="7"/>
      <c r="BC644" s="7"/>
      <c r="BD644" s="7"/>
      <c r="BE644" s="7"/>
      <c r="BF644" s="7"/>
      <c r="BG644" s="7"/>
      <c r="BH644" s="7"/>
      <c r="BI644" s="7"/>
      <c r="BJ644" s="7"/>
      <c r="BK644" s="7"/>
      <c r="BL644" s="7"/>
      <c r="BM644" s="7"/>
      <c r="BN644" s="7"/>
      <c r="BO644" s="7"/>
      <c r="BP644" s="7"/>
      <c r="BQ644" s="7"/>
      <c r="BR644" s="7"/>
      <c r="BS644" s="7"/>
      <c r="BT644" s="7"/>
      <c r="BU644" s="7"/>
      <c r="BV644" s="7"/>
      <c r="BW644" s="7"/>
      <c r="BX644" s="7"/>
      <c r="BY644" s="7"/>
      <c r="BZ644" s="7"/>
    </row>
    <row r="645" ht="16.5" customHeight="1">
      <c r="AT645" s="7"/>
      <c r="AU645" s="7"/>
      <c r="AV645" s="7"/>
      <c r="AW645" s="7"/>
      <c r="AX645" s="7"/>
      <c r="AY645" s="7"/>
      <c r="AZ645" s="7"/>
      <c r="BA645" s="7"/>
      <c r="BB645" s="7"/>
      <c r="BC645" s="7"/>
      <c r="BD645" s="7"/>
      <c r="BE645" s="7"/>
      <c r="BF645" s="7"/>
      <c r="BG645" s="7"/>
      <c r="BH645" s="7"/>
      <c r="BI645" s="7"/>
      <c r="BJ645" s="7"/>
      <c r="BK645" s="7"/>
      <c r="BL645" s="7"/>
      <c r="BM645" s="7"/>
      <c r="BN645" s="7"/>
      <c r="BO645" s="7"/>
      <c r="BP645" s="7"/>
      <c r="BQ645" s="7"/>
      <c r="BR645" s="7"/>
      <c r="BS645" s="7"/>
      <c r="BT645" s="7"/>
      <c r="BU645" s="7"/>
      <c r="BV645" s="7"/>
      <c r="BW645" s="7"/>
      <c r="BX645" s="7"/>
      <c r="BY645" s="7"/>
      <c r="BZ645" s="7"/>
    </row>
    <row r="646" ht="16.5" customHeight="1">
      <c r="AT646" s="7"/>
      <c r="AU646" s="7"/>
      <c r="AV646" s="7"/>
      <c r="AW646" s="7"/>
      <c r="AX646" s="7"/>
      <c r="AY646" s="7"/>
      <c r="AZ646" s="7"/>
      <c r="BA646" s="7"/>
      <c r="BB646" s="7"/>
      <c r="BC646" s="7"/>
      <c r="BD646" s="7"/>
      <c r="BE646" s="7"/>
      <c r="BF646" s="7"/>
      <c r="BG646" s="7"/>
      <c r="BH646" s="7"/>
      <c r="BI646" s="7"/>
      <c r="BJ646" s="7"/>
      <c r="BK646" s="7"/>
      <c r="BL646" s="7"/>
      <c r="BM646" s="7"/>
      <c r="BN646" s="7"/>
      <c r="BO646" s="7"/>
      <c r="BP646" s="7"/>
      <c r="BQ646" s="7"/>
      <c r="BR646" s="7"/>
      <c r="BS646" s="7"/>
      <c r="BT646" s="7"/>
      <c r="BU646" s="7"/>
      <c r="BV646" s="7"/>
      <c r="BW646" s="7"/>
      <c r="BX646" s="7"/>
      <c r="BY646" s="7"/>
      <c r="BZ646" s="7"/>
    </row>
    <row r="647" ht="16.5" customHeight="1">
      <c r="AT647" s="7"/>
      <c r="AU647" s="7"/>
      <c r="AV647" s="7"/>
      <c r="AW647" s="7"/>
      <c r="AX647" s="7"/>
      <c r="AY647" s="7"/>
      <c r="AZ647" s="7"/>
      <c r="BA647" s="7"/>
      <c r="BB647" s="7"/>
      <c r="BC647" s="7"/>
      <c r="BD647" s="7"/>
      <c r="BE647" s="7"/>
      <c r="BF647" s="7"/>
      <c r="BG647" s="7"/>
      <c r="BH647" s="7"/>
      <c r="BI647" s="7"/>
      <c r="BJ647" s="7"/>
      <c r="BK647" s="7"/>
      <c r="BL647" s="7"/>
      <c r="BM647" s="7"/>
      <c r="BN647" s="7"/>
      <c r="BO647" s="7"/>
      <c r="BP647" s="7"/>
      <c r="BQ647" s="7"/>
      <c r="BR647" s="7"/>
      <c r="BS647" s="7"/>
      <c r="BT647" s="7"/>
      <c r="BU647" s="7"/>
      <c r="BV647" s="7"/>
      <c r="BW647" s="7"/>
      <c r="BX647" s="7"/>
      <c r="BY647" s="7"/>
      <c r="BZ647" s="7"/>
    </row>
    <row r="648" ht="16.5" customHeight="1">
      <c r="AT648" s="7"/>
      <c r="AU648" s="7"/>
      <c r="AV648" s="7"/>
      <c r="AW648" s="7"/>
      <c r="AX648" s="7"/>
      <c r="AY648" s="7"/>
      <c r="AZ648" s="7"/>
      <c r="BA648" s="7"/>
      <c r="BB648" s="7"/>
      <c r="BC648" s="7"/>
      <c r="BD648" s="7"/>
      <c r="BE648" s="7"/>
      <c r="BF648" s="7"/>
      <c r="BG648" s="7"/>
      <c r="BH648" s="7"/>
      <c r="BI648" s="7"/>
      <c r="BJ648" s="7"/>
      <c r="BK648" s="7"/>
      <c r="BL648" s="7"/>
      <c r="BM648" s="7"/>
      <c r="BN648" s="7"/>
      <c r="BO648" s="7"/>
      <c r="BP648" s="7"/>
      <c r="BQ648" s="7"/>
      <c r="BR648" s="7"/>
      <c r="BS648" s="7"/>
      <c r="BT648" s="7"/>
      <c r="BU648" s="7"/>
      <c r="BV648" s="7"/>
      <c r="BW648" s="7"/>
      <c r="BX648" s="7"/>
      <c r="BY648" s="7"/>
      <c r="BZ648" s="7"/>
    </row>
    <row r="649" ht="16.5" customHeight="1">
      <c r="AT649" s="7"/>
      <c r="AU649" s="7"/>
      <c r="AV649" s="7"/>
      <c r="AW649" s="7"/>
      <c r="AX649" s="7"/>
      <c r="AY649" s="7"/>
      <c r="AZ649" s="7"/>
      <c r="BA649" s="7"/>
      <c r="BB649" s="7"/>
      <c r="BC649" s="7"/>
      <c r="BD649" s="7"/>
      <c r="BE649" s="7"/>
      <c r="BF649" s="7"/>
      <c r="BG649" s="7"/>
      <c r="BH649" s="7"/>
      <c r="BI649" s="7"/>
      <c r="BJ649" s="7"/>
      <c r="BK649" s="7"/>
      <c r="BL649" s="7"/>
      <c r="BM649" s="7"/>
      <c r="BN649" s="7"/>
      <c r="BO649" s="7"/>
      <c r="BP649" s="7"/>
      <c r="BQ649" s="7"/>
      <c r="BR649" s="7"/>
      <c r="BS649" s="7"/>
      <c r="BT649" s="7"/>
      <c r="BU649" s="7"/>
      <c r="BV649" s="7"/>
      <c r="BW649" s="7"/>
      <c r="BX649" s="7"/>
      <c r="BY649" s="7"/>
      <c r="BZ649" s="7"/>
    </row>
    <row r="650" ht="16.5" customHeight="1">
      <c r="AT650" s="7"/>
      <c r="AU650" s="7"/>
      <c r="AV650" s="7"/>
      <c r="AW650" s="7"/>
      <c r="AX650" s="7"/>
      <c r="AY650" s="7"/>
      <c r="AZ650" s="7"/>
      <c r="BA650" s="7"/>
      <c r="BB650" s="7"/>
      <c r="BC650" s="7"/>
      <c r="BD650" s="7"/>
      <c r="BE650" s="7"/>
      <c r="BF650" s="7"/>
      <c r="BG650" s="7"/>
      <c r="BH650" s="7"/>
      <c r="BI650" s="7"/>
      <c r="BJ650" s="7"/>
      <c r="BK650" s="7"/>
      <c r="BL650" s="7"/>
      <c r="BM650" s="7"/>
      <c r="BN650" s="7"/>
      <c r="BO650" s="7"/>
      <c r="BP650" s="7"/>
      <c r="BQ650" s="7"/>
      <c r="BR650" s="7"/>
      <c r="BS650" s="7"/>
      <c r="BT650" s="7"/>
      <c r="BU650" s="7"/>
      <c r="BV650" s="7"/>
      <c r="BW650" s="7"/>
      <c r="BX650" s="7"/>
      <c r="BY650" s="7"/>
      <c r="BZ650" s="7"/>
    </row>
    <row r="651" ht="16.5" customHeight="1">
      <c r="AT651" s="7"/>
      <c r="AU651" s="7"/>
      <c r="AV651" s="7"/>
      <c r="AW651" s="7"/>
      <c r="AX651" s="7"/>
      <c r="AY651" s="7"/>
      <c r="AZ651" s="7"/>
      <c r="BA651" s="7"/>
      <c r="BB651" s="7"/>
      <c r="BC651" s="7"/>
      <c r="BD651" s="7"/>
      <c r="BE651" s="7"/>
      <c r="BF651" s="7"/>
      <c r="BG651" s="7"/>
      <c r="BH651" s="7"/>
      <c r="BI651" s="7"/>
      <c r="BJ651" s="7"/>
      <c r="BK651" s="7"/>
      <c r="BL651" s="7"/>
      <c r="BM651" s="7"/>
      <c r="BN651" s="7"/>
      <c r="BO651" s="7"/>
      <c r="BP651" s="7"/>
      <c r="BQ651" s="7"/>
      <c r="BR651" s="7"/>
      <c r="BS651" s="7"/>
      <c r="BT651" s="7"/>
      <c r="BU651" s="7"/>
      <c r="BV651" s="7"/>
      <c r="BW651" s="7"/>
      <c r="BX651" s="7"/>
      <c r="BY651" s="7"/>
      <c r="BZ651" s="7"/>
    </row>
    <row r="652" ht="16.5" customHeight="1">
      <c r="AT652" s="7"/>
      <c r="AU652" s="7"/>
      <c r="AV652" s="7"/>
      <c r="AW652" s="7"/>
      <c r="AX652" s="7"/>
      <c r="AY652" s="7"/>
      <c r="AZ652" s="7"/>
      <c r="BA652" s="7"/>
      <c r="BB652" s="7"/>
      <c r="BC652" s="7"/>
      <c r="BD652" s="7"/>
      <c r="BE652" s="7"/>
      <c r="BF652" s="7"/>
      <c r="BG652" s="7"/>
      <c r="BH652" s="7"/>
      <c r="BI652" s="7"/>
      <c r="BJ652" s="7"/>
      <c r="BK652" s="7"/>
      <c r="BL652" s="7"/>
      <c r="BM652" s="7"/>
      <c r="BN652" s="7"/>
      <c r="BO652" s="7"/>
      <c r="BP652" s="7"/>
      <c r="BQ652" s="7"/>
      <c r="BR652" s="7"/>
      <c r="BS652" s="7"/>
      <c r="BT652" s="7"/>
      <c r="BU652" s="7"/>
      <c r="BV652" s="7"/>
      <c r="BW652" s="7"/>
      <c r="BX652" s="7"/>
      <c r="BY652" s="7"/>
      <c r="BZ652" s="7"/>
    </row>
    <row r="653" ht="16.5" customHeight="1">
      <c r="AT653" s="7"/>
      <c r="AU653" s="7"/>
      <c r="AV653" s="7"/>
      <c r="AW653" s="7"/>
      <c r="AX653" s="7"/>
      <c r="AY653" s="7"/>
      <c r="AZ653" s="7"/>
      <c r="BA653" s="7"/>
      <c r="BB653" s="7"/>
      <c r="BC653" s="7"/>
      <c r="BD653" s="7"/>
      <c r="BE653" s="7"/>
      <c r="BF653" s="7"/>
      <c r="BG653" s="7"/>
      <c r="BH653" s="7"/>
      <c r="BI653" s="7"/>
      <c r="BJ653" s="7"/>
      <c r="BK653" s="7"/>
      <c r="BL653" s="7"/>
      <c r="BM653" s="7"/>
      <c r="BN653" s="7"/>
      <c r="BO653" s="7"/>
      <c r="BP653" s="7"/>
      <c r="BQ653" s="7"/>
      <c r="BR653" s="7"/>
      <c r="BS653" s="7"/>
      <c r="BT653" s="7"/>
      <c r="BU653" s="7"/>
      <c r="BV653" s="7"/>
      <c r="BW653" s="7"/>
      <c r="BX653" s="7"/>
      <c r="BY653" s="7"/>
      <c r="BZ653" s="7"/>
    </row>
    <row r="654" ht="16.5" customHeight="1">
      <c r="AT654" s="7"/>
      <c r="AU654" s="7"/>
      <c r="AV654" s="7"/>
      <c r="AW654" s="7"/>
      <c r="AX654" s="7"/>
      <c r="AY654" s="7"/>
      <c r="AZ654" s="7"/>
      <c r="BA654" s="7"/>
      <c r="BB654" s="7"/>
      <c r="BC654" s="7"/>
      <c r="BD654" s="7"/>
      <c r="BE654" s="7"/>
      <c r="BF654" s="7"/>
      <c r="BG654" s="7"/>
      <c r="BH654" s="7"/>
      <c r="BI654" s="7"/>
      <c r="BJ654" s="7"/>
      <c r="BK654" s="7"/>
      <c r="BL654" s="7"/>
      <c r="BM654" s="7"/>
      <c r="BN654" s="7"/>
      <c r="BO654" s="7"/>
      <c r="BP654" s="7"/>
      <c r="BQ654" s="7"/>
      <c r="BR654" s="7"/>
      <c r="BS654" s="7"/>
      <c r="BT654" s="7"/>
      <c r="BU654" s="7"/>
      <c r="BV654" s="7"/>
      <c r="BW654" s="7"/>
      <c r="BX654" s="7"/>
      <c r="BY654" s="7"/>
      <c r="BZ654" s="7"/>
    </row>
    <row r="655" ht="16.5" customHeight="1">
      <c r="AT655" s="7"/>
      <c r="AU655" s="7"/>
      <c r="AV655" s="7"/>
      <c r="AW655" s="7"/>
      <c r="AX655" s="7"/>
      <c r="AY655" s="7"/>
      <c r="AZ655" s="7"/>
      <c r="BA655" s="7"/>
      <c r="BB655" s="7"/>
      <c r="BC655" s="7"/>
      <c r="BD655" s="7"/>
      <c r="BE655" s="7"/>
      <c r="BF655" s="7"/>
      <c r="BG655" s="7"/>
      <c r="BH655" s="7"/>
      <c r="BI655" s="7"/>
      <c r="BJ655" s="7"/>
      <c r="BK655" s="7"/>
      <c r="BL655" s="7"/>
      <c r="BM655" s="7"/>
      <c r="BN655" s="7"/>
      <c r="BO655" s="7"/>
      <c r="BP655" s="7"/>
      <c r="BQ655" s="7"/>
      <c r="BR655" s="7"/>
      <c r="BS655" s="7"/>
      <c r="BT655" s="7"/>
      <c r="BU655" s="7"/>
      <c r="BV655" s="7"/>
      <c r="BW655" s="7"/>
      <c r="BX655" s="7"/>
      <c r="BY655" s="7"/>
      <c r="BZ655" s="7"/>
    </row>
    <row r="656" ht="16.5" customHeight="1">
      <c r="AT656" s="7"/>
      <c r="AU656" s="7"/>
      <c r="AV656" s="7"/>
      <c r="AW656" s="7"/>
      <c r="AX656" s="7"/>
      <c r="AY656" s="7"/>
      <c r="AZ656" s="7"/>
      <c r="BA656" s="7"/>
      <c r="BB656" s="7"/>
      <c r="BC656" s="7"/>
      <c r="BD656" s="7"/>
      <c r="BE656" s="7"/>
      <c r="BF656" s="7"/>
      <c r="BG656" s="7"/>
      <c r="BH656" s="7"/>
      <c r="BI656" s="7"/>
      <c r="BJ656" s="7"/>
      <c r="BK656" s="7"/>
      <c r="BL656" s="7"/>
      <c r="BM656" s="7"/>
      <c r="BN656" s="7"/>
      <c r="BO656" s="7"/>
      <c r="BP656" s="7"/>
      <c r="BQ656" s="7"/>
      <c r="BR656" s="7"/>
      <c r="BS656" s="7"/>
      <c r="BT656" s="7"/>
      <c r="BU656" s="7"/>
      <c r="BV656" s="7"/>
      <c r="BW656" s="7"/>
      <c r="BX656" s="7"/>
      <c r="BY656" s="7"/>
      <c r="BZ656" s="7"/>
    </row>
    <row r="657" ht="16.5" customHeight="1">
      <c r="AT657" s="7"/>
      <c r="AU657" s="7"/>
      <c r="AV657" s="7"/>
      <c r="AW657" s="7"/>
      <c r="AX657" s="7"/>
      <c r="AY657" s="7"/>
      <c r="AZ657" s="7"/>
      <c r="BA657" s="7"/>
      <c r="BB657" s="7"/>
      <c r="BC657" s="7"/>
      <c r="BD657" s="7"/>
      <c r="BE657" s="7"/>
      <c r="BF657" s="7"/>
      <c r="BG657" s="7"/>
      <c r="BH657" s="7"/>
      <c r="BI657" s="7"/>
      <c r="BJ657" s="7"/>
      <c r="BK657" s="7"/>
      <c r="BL657" s="7"/>
      <c r="BM657" s="7"/>
      <c r="BN657" s="7"/>
      <c r="BO657" s="7"/>
      <c r="BP657" s="7"/>
      <c r="BQ657" s="7"/>
      <c r="BR657" s="7"/>
      <c r="BS657" s="7"/>
      <c r="BT657" s="7"/>
      <c r="BU657" s="7"/>
      <c r="BV657" s="7"/>
      <c r="BW657" s="7"/>
      <c r="BX657" s="7"/>
      <c r="BY657" s="7"/>
      <c r="BZ657" s="7"/>
    </row>
    <row r="658" ht="16.5" customHeight="1">
      <c r="AT658" s="7"/>
      <c r="AU658" s="7"/>
      <c r="AV658" s="7"/>
      <c r="AW658" s="7"/>
      <c r="AX658" s="7"/>
      <c r="AY658" s="7"/>
      <c r="AZ658" s="7"/>
      <c r="BA658" s="7"/>
      <c r="BB658" s="7"/>
      <c r="BC658" s="7"/>
      <c r="BD658" s="7"/>
      <c r="BE658" s="7"/>
      <c r="BF658" s="7"/>
      <c r="BG658" s="7"/>
      <c r="BH658" s="7"/>
      <c r="BI658" s="7"/>
      <c r="BJ658" s="7"/>
      <c r="BK658" s="7"/>
      <c r="BL658" s="7"/>
      <c r="BM658" s="7"/>
      <c r="BN658" s="7"/>
      <c r="BO658" s="7"/>
      <c r="BP658" s="7"/>
      <c r="BQ658" s="7"/>
      <c r="BR658" s="7"/>
      <c r="BS658" s="7"/>
      <c r="BT658" s="7"/>
      <c r="BU658" s="7"/>
      <c r="BV658" s="7"/>
      <c r="BW658" s="7"/>
      <c r="BX658" s="7"/>
      <c r="BY658" s="7"/>
      <c r="BZ658" s="7"/>
    </row>
    <row r="659" ht="16.5" customHeight="1">
      <c r="AT659" s="7"/>
      <c r="AU659" s="7"/>
      <c r="AV659" s="7"/>
      <c r="AW659" s="7"/>
      <c r="AX659" s="7"/>
      <c r="AY659" s="7"/>
      <c r="AZ659" s="7"/>
      <c r="BA659" s="7"/>
      <c r="BB659" s="7"/>
      <c r="BC659" s="7"/>
      <c r="BD659" s="7"/>
      <c r="BE659" s="7"/>
      <c r="BF659" s="7"/>
      <c r="BG659" s="7"/>
      <c r="BH659" s="7"/>
      <c r="BI659" s="7"/>
      <c r="BJ659" s="7"/>
      <c r="BK659" s="7"/>
      <c r="BL659" s="7"/>
      <c r="BM659" s="7"/>
      <c r="BN659" s="7"/>
      <c r="BO659" s="7"/>
      <c r="BP659" s="7"/>
      <c r="BQ659" s="7"/>
      <c r="BR659" s="7"/>
      <c r="BS659" s="7"/>
      <c r="BT659" s="7"/>
      <c r="BU659" s="7"/>
      <c r="BV659" s="7"/>
      <c r="BW659" s="7"/>
      <c r="BX659" s="7"/>
      <c r="BY659" s="7"/>
      <c r="BZ659" s="7"/>
    </row>
    <row r="660" ht="16.5" customHeight="1">
      <c r="AT660" s="7"/>
      <c r="AU660" s="7"/>
      <c r="AV660" s="7"/>
      <c r="AW660" s="7"/>
      <c r="AX660" s="7"/>
      <c r="AY660" s="7"/>
      <c r="AZ660" s="7"/>
      <c r="BA660" s="7"/>
      <c r="BB660" s="7"/>
      <c r="BC660" s="7"/>
      <c r="BD660" s="7"/>
      <c r="BE660" s="7"/>
      <c r="BF660" s="7"/>
      <c r="BG660" s="7"/>
      <c r="BH660" s="7"/>
      <c r="BI660" s="7"/>
      <c r="BJ660" s="7"/>
      <c r="BK660" s="7"/>
      <c r="BL660" s="7"/>
      <c r="BM660" s="7"/>
      <c r="BN660" s="7"/>
      <c r="BO660" s="7"/>
      <c r="BP660" s="7"/>
      <c r="BQ660" s="7"/>
      <c r="BR660" s="7"/>
      <c r="BS660" s="7"/>
      <c r="BT660" s="7"/>
      <c r="BU660" s="7"/>
      <c r="BV660" s="7"/>
      <c r="BW660" s="7"/>
      <c r="BX660" s="7"/>
      <c r="BY660" s="7"/>
      <c r="BZ660" s="7"/>
    </row>
    <row r="661" ht="16.5" customHeight="1">
      <c r="AT661" s="7"/>
      <c r="AU661" s="7"/>
      <c r="AV661" s="7"/>
      <c r="AW661" s="7"/>
      <c r="AX661" s="7"/>
      <c r="AY661" s="7"/>
      <c r="AZ661" s="7"/>
      <c r="BA661" s="7"/>
      <c r="BB661" s="7"/>
      <c r="BC661" s="7"/>
      <c r="BD661" s="7"/>
      <c r="BE661" s="7"/>
      <c r="BF661" s="7"/>
      <c r="BG661" s="7"/>
      <c r="BH661" s="7"/>
      <c r="BI661" s="7"/>
      <c r="BJ661" s="7"/>
      <c r="BK661" s="7"/>
      <c r="BL661" s="7"/>
      <c r="BM661" s="7"/>
      <c r="BN661" s="7"/>
      <c r="BO661" s="7"/>
      <c r="BP661" s="7"/>
      <c r="BQ661" s="7"/>
      <c r="BR661" s="7"/>
      <c r="BS661" s="7"/>
      <c r="BT661" s="7"/>
      <c r="BU661" s="7"/>
      <c r="BV661" s="7"/>
      <c r="BW661" s="7"/>
      <c r="BX661" s="7"/>
      <c r="BY661" s="7"/>
      <c r="BZ661" s="7"/>
    </row>
    <row r="662" ht="16.5" customHeight="1">
      <c r="AT662" s="7"/>
      <c r="AU662" s="7"/>
      <c r="AV662" s="7"/>
      <c r="AW662" s="7"/>
      <c r="AX662" s="7"/>
      <c r="AY662" s="7"/>
      <c r="AZ662" s="7"/>
      <c r="BA662" s="7"/>
      <c r="BB662" s="7"/>
      <c r="BC662" s="7"/>
      <c r="BD662" s="7"/>
      <c r="BE662" s="7"/>
      <c r="BF662" s="7"/>
      <c r="BG662" s="7"/>
      <c r="BH662" s="7"/>
      <c r="BI662" s="7"/>
      <c r="BJ662" s="7"/>
      <c r="BK662" s="7"/>
      <c r="BL662" s="7"/>
      <c r="BM662" s="7"/>
      <c r="BN662" s="7"/>
      <c r="BO662" s="7"/>
      <c r="BP662" s="7"/>
      <c r="BQ662" s="7"/>
      <c r="BR662" s="7"/>
      <c r="BS662" s="7"/>
      <c r="BT662" s="7"/>
      <c r="BU662" s="7"/>
      <c r="BV662" s="7"/>
      <c r="BW662" s="7"/>
      <c r="BX662" s="7"/>
      <c r="BY662" s="7"/>
      <c r="BZ662" s="7"/>
    </row>
    <row r="663" ht="16.5" customHeight="1">
      <c r="AT663" s="7"/>
      <c r="AU663" s="7"/>
      <c r="AV663" s="7"/>
      <c r="AW663" s="7"/>
      <c r="AX663" s="7"/>
      <c r="AY663" s="7"/>
      <c r="AZ663" s="7"/>
      <c r="BA663" s="7"/>
      <c r="BB663" s="7"/>
      <c r="BC663" s="7"/>
      <c r="BD663" s="7"/>
      <c r="BE663" s="7"/>
      <c r="BF663" s="7"/>
      <c r="BG663" s="7"/>
      <c r="BH663" s="7"/>
      <c r="BI663" s="7"/>
      <c r="BJ663" s="7"/>
      <c r="BK663" s="7"/>
      <c r="BL663" s="7"/>
      <c r="BM663" s="7"/>
      <c r="BN663" s="7"/>
      <c r="BO663" s="7"/>
      <c r="BP663" s="7"/>
      <c r="BQ663" s="7"/>
      <c r="BR663" s="7"/>
      <c r="BS663" s="7"/>
      <c r="BT663" s="7"/>
      <c r="BU663" s="7"/>
      <c r="BV663" s="7"/>
      <c r="BW663" s="7"/>
      <c r="BX663" s="7"/>
      <c r="BY663" s="7"/>
      <c r="BZ663" s="7"/>
    </row>
    <row r="664" ht="16.5" customHeight="1">
      <c r="AT664" s="7"/>
      <c r="AU664" s="7"/>
      <c r="AV664" s="7"/>
      <c r="AW664" s="7"/>
      <c r="AX664" s="7"/>
      <c r="AY664" s="7"/>
      <c r="AZ664" s="7"/>
      <c r="BA664" s="7"/>
      <c r="BB664" s="7"/>
      <c r="BC664" s="7"/>
      <c r="BD664" s="7"/>
      <c r="BE664" s="7"/>
      <c r="BF664" s="7"/>
      <c r="BG664" s="7"/>
      <c r="BH664" s="7"/>
      <c r="BI664" s="7"/>
      <c r="BJ664" s="7"/>
      <c r="BK664" s="7"/>
      <c r="BL664" s="7"/>
      <c r="BM664" s="7"/>
      <c r="BN664" s="7"/>
      <c r="BO664" s="7"/>
      <c r="BP664" s="7"/>
      <c r="BQ664" s="7"/>
      <c r="BR664" s="7"/>
      <c r="BS664" s="7"/>
      <c r="BT664" s="7"/>
      <c r="BU664" s="7"/>
      <c r="BV664" s="7"/>
      <c r="BW664" s="7"/>
      <c r="BX664" s="7"/>
      <c r="BY664" s="7"/>
      <c r="BZ664" s="7"/>
    </row>
    <row r="665" ht="16.5" customHeight="1">
      <c r="AT665" s="7"/>
      <c r="AU665" s="7"/>
      <c r="AV665" s="7"/>
      <c r="AW665" s="7"/>
      <c r="AX665" s="7"/>
      <c r="AY665" s="7"/>
      <c r="AZ665" s="7"/>
      <c r="BA665" s="7"/>
      <c r="BB665" s="7"/>
      <c r="BC665" s="7"/>
      <c r="BD665" s="7"/>
      <c r="BE665" s="7"/>
      <c r="BF665" s="7"/>
      <c r="BG665" s="7"/>
      <c r="BH665" s="7"/>
      <c r="BI665" s="7"/>
      <c r="BJ665" s="7"/>
      <c r="BK665" s="7"/>
      <c r="BL665" s="7"/>
      <c r="BM665" s="7"/>
      <c r="BN665" s="7"/>
      <c r="BO665" s="7"/>
      <c r="BP665" s="7"/>
      <c r="BQ665" s="7"/>
      <c r="BR665" s="7"/>
      <c r="BS665" s="7"/>
      <c r="BT665" s="7"/>
      <c r="BU665" s="7"/>
      <c r="BV665" s="7"/>
      <c r="BW665" s="7"/>
      <c r="BX665" s="7"/>
      <c r="BY665" s="7"/>
      <c r="BZ665" s="7"/>
    </row>
    <row r="666" ht="16.5" customHeight="1">
      <c r="AT666" s="7"/>
      <c r="AU666" s="7"/>
      <c r="AV666" s="7"/>
      <c r="AW666" s="7"/>
      <c r="AX666" s="7"/>
      <c r="AY666" s="7"/>
      <c r="AZ666" s="7"/>
      <c r="BA666" s="7"/>
      <c r="BB666" s="7"/>
      <c r="BC666" s="7"/>
      <c r="BD666" s="7"/>
      <c r="BE666" s="7"/>
      <c r="BF666" s="7"/>
      <c r="BG666" s="7"/>
      <c r="BH666" s="7"/>
      <c r="BI666" s="7"/>
      <c r="BJ666" s="7"/>
      <c r="BK666" s="7"/>
      <c r="BL666" s="7"/>
      <c r="BM666" s="7"/>
      <c r="BN666" s="7"/>
      <c r="BO666" s="7"/>
      <c r="BP666" s="7"/>
      <c r="BQ666" s="7"/>
      <c r="BR666" s="7"/>
      <c r="BS666" s="7"/>
      <c r="BT666" s="7"/>
      <c r="BU666" s="7"/>
      <c r="BV666" s="7"/>
      <c r="BW666" s="7"/>
      <c r="BX666" s="7"/>
      <c r="BY666" s="7"/>
      <c r="BZ666" s="7"/>
    </row>
    <row r="667" ht="16.5" customHeight="1">
      <c r="AT667" s="7"/>
      <c r="AU667" s="7"/>
      <c r="AV667" s="7"/>
      <c r="AW667" s="7"/>
      <c r="AX667" s="7"/>
      <c r="AY667" s="7"/>
      <c r="AZ667" s="7"/>
      <c r="BA667" s="7"/>
      <c r="BB667" s="7"/>
      <c r="BC667" s="7"/>
      <c r="BD667" s="7"/>
      <c r="BE667" s="7"/>
      <c r="BF667" s="7"/>
      <c r="BG667" s="7"/>
      <c r="BH667" s="7"/>
      <c r="BI667" s="7"/>
      <c r="BJ667" s="7"/>
      <c r="BK667" s="7"/>
      <c r="BL667" s="7"/>
      <c r="BM667" s="7"/>
      <c r="BN667" s="7"/>
      <c r="BO667" s="7"/>
      <c r="BP667" s="7"/>
      <c r="BQ667" s="7"/>
      <c r="BR667" s="7"/>
      <c r="BS667" s="7"/>
      <c r="BT667" s="7"/>
      <c r="BU667" s="7"/>
      <c r="BV667" s="7"/>
      <c r="BW667" s="7"/>
      <c r="BX667" s="7"/>
      <c r="BY667" s="7"/>
      <c r="BZ667" s="7"/>
    </row>
    <row r="668" ht="16.5" customHeight="1">
      <c r="AT668" s="7"/>
      <c r="AU668" s="7"/>
      <c r="AV668" s="7"/>
      <c r="AW668" s="7"/>
      <c r="AX668" s="7"/>
      <c r="AY668" s="7"/>
      <c r="AZ668" s="7"/>
      <c r="BA668" s="7"/>
      <c r="BB668" s="7"/>
      <c r="BC668" s="7"/>
      <c r="BD668" s="7"/>
      <c r="BE668" s="7"/>
      <c r="BF668" s="7"/>
      <c r="BG668" s="7"/>
      <c r="BH668" s="7"/>
      <c r="BI668" s="7"/>
      <c r="BJ668" s="7"/>
      <c r="BK668" s="7"/>
      <c r="BL668" s="7"/>
      <c r="BM668" s="7"/>
      <c r="BN668" s="7"/>
      <c r="BO668" s="7"/>
      <c r="BP668" s="7"/>
      <c r="BQ668" s="7"/>
      <c r="BR668" s="7"/>
      <c r="BS668" s="7"/>
      <c r="BT668" s="7"/>
      <c r="BU668" s="7"/>
      <c r="BV668" s="7"/>
      <c r="BW668" s="7"/>
      <c r="BX668" s="7"/>
      <c r="BY668" s="7"/>
      <c r="BZ668" s="7"/>
    </row>
    <row r="669" ht="16.5" customHeight="1">
      <c r="AT669" s="7"/>
      <c r="AU669" s="7"/>
      <c r="AV669" s="7"/>
      <c r="AW669" s="7"/>
      <c r="AX669" s="7"/>
      <c r="AY669" s="7"/>
      <c r="AZ669" s="7"/>
      <c r="BA669" s="7"/>
      <c r="BB669" s="7"/>
      <c r="BC669" s="7"/>
      <c r="BD669" s="7"/>
      <c r="BE669" s="7"/>
      <c r="BF669" s="7"/>
      <c r="BG669" s="7"/>
      <c r="BH669" s="7"/>
      <c r="BI669" s="7"/>
      <c r="BJ669" s="7"/>
      <c r="BK669" s="7"/>
      <c r="BL669" s="7"/>
      <c r="BM669" s="7"/>
      <c r="BN669" s="7"/>
      <c r="BO669" s="7"/>
      <c r="BP669" s="7"/>
      <c r="BQ669" s="7"/>
      <c r="BR669" s="7"/>
      <c r="BS669" s="7"/>
      <c r="BT669" s="7"/>
      <c r="BU669" s="7"/>
      <c r="BV669" s="7"/>
      <c r="BW669" s="7"/>
      <c r="BX669" s="7"/>
      <c r="BY669" s="7"/>
      <c r="BZ669" s="7"/>
    </row>
    <row r="670" ht="16.5" customHeight="1">
      <c r="AT670" s="7"/>
      <c r="AU670" s="7"/>
      <c r="AV670" s="7"/>
      <c r="AW670" s="7"/>
      <c r="AX670" s="7"/>
      <c r="AY670" s="7"/>
      <c r="AZ670" s="7"/>
      <c r="BA670" s="7"/>
      <c r="BB670" s="7"/>
      <c r="BC670" s="7"/>
      <c r="BD670" s="7"/>
      <c r="BE670" s="7"/>
      <c r="BF670" s="7"/>
      <c r="BG670" s="7"/>
      <c r="BH670" s="7"/>
      <c r="BI670" s="7"/>
      <c r="BJ670" s="7"/>
      <c r="BK670" s="7"/>
      <c r="BL670" s="7"/>
      <c r="BM670" s="7"/>
      <c r="BN670" s="7"/>
      <c r="BO670" s="7"/>
      <c r="BP670" s="7"/>
      <c r="BQ670" s="7"/>
      <c r="BR670" s="7"/>
      <c r="BS670" s="7"/>
      <c r="BT670" s="7"/>
      <c r="BU670" s="7"/>
      <c r="BV670" s="7"/>
      <c r="BW670" s="7"/>
      <c r="BX670" s="7"/>
      <c r="BY670" s="7"/>
      <c r="BZ670" s="7"/>
    </row>
    <row r="671" ht="16.5" customHeight="1">
      <c r="AT671" s="7"/>
      <c r="AU671" s="7"/>
      <c r="AV671" s="7"/>
      <c r="AW671" s="7"/>
      <c r="AX671" s="7"/>
      <c r="AY671" s="7"/>
      <c r="AZ671" s="7"/>
      <c r="BA671" s="7"/>
      <c r="BB671" s="7"/>
      <c r="BC671" s="7"/>
      <c r="BD671" s="7"/>
      <c r="BE671" s="7"/>
      <c r="BF671" s="7"/>
      <c r="BG671" s="7"/>
      <c r="BH671" s="7"/>
      <c r="BI671" s="7"/>
      <c r="BJ671" s="7"/>
      <c r="BK671" s="7"/>
      <c r="BL671" s="7"/>
      <c r="BM671" s="7"/>
      <c r="BN671" s="7"/>
      <c r="BO671" s="7"/>
      <c r="BP671" s="7"/>
      <c r="BQ671" s="7"/>
      <c r="BR671" s="7"/>
      <c r="BS671" s="7"/>
      <c r="BT671" s="7"/>
      <c r="BU671" s="7"/>
      <c r="BV671" s="7"/>
      <c r="BW671" s="7"/>
      <c r="BX671" s="7"/>
      <c r="BY671" s="7"/>
      <c r="BZ671" s="7"/>
    </row>
    <row r="672" ht="16.5" customHeight="1">
      <c r="AT672" s="7"/>
      <c r="AU672" s="7"/>
      <c r="AV672" s="7"/>
      <c r="AW672" s="7"/>
      <c r="AX672" s="7"/>
      <c r="AY672" s="7"/>
      <c r="AZ672" s="7"/>
      <c r="BA672" s="7"/>
      <c r="BB672" s="7"/>
      <c r="BC672" s="7"/>
      <c r="BD672" s="7"/>
      <c r="BE672" s="7"/>
      <c r="BF672" s="7"/>
      <c r="BG672" s="7"/>
      <c r="BH672" s="7"/>
      <c r="BI672" s="7"/>
      <c r="BJ672" s="7"/>
      <c r="BK672" s="7"/>
      <c r="BL672" s="7"/>
      <c r="BM672" s="7"/>
      <c r="BN672" s="7"/>
      <c r="BO672" s="7"/>
      <c r="BP672" s="7"/>
      <c r="BQ672" s="7"/>
      <c r="BR672" s="7"/>
      <c r="BS672" s="7"/>
      <c r="BT672" s="7"/>
      <c r="BU672" s="7"/>
      <c r="BV672" s="7"/>
      <c r="BW672" s="7"/>
      <c r="BX672" s="7"/>
      <c r="BY672" s="7"/>
      <c r="BZ672" s="7"/>
    </row>
    <row r="673" ht="16.5" customHeight="1">
      <c r="AT673" s="7"/>
      <c r="AU673" s="7"/>
      <c r="AV673" s="7"/>
      <c r="AW673" s="7"/>
      <c r="AX673" s="7"/>
      <c r="AY673" s="7"/>
      <c r="AZ673" s="7"/>
      <c r="BA673" s="7"/>
      <c r="BB673" s="7"/>
      <c r="BC673" s="7"/>
      <c r="BD673" s="7"/>
      <c r="BE673" s="7"/>
      <c r="BF673" s="7"/>
      <c r="BG673" s="7"/>
      <c r="BH673" s="7"/>
      <c r="BI673" s="7"/>
      <c r="BJ673" s="7"/>
      <c r="BK673" s="7"/>
      <c r="BL673" s="7"/>
      <c r="BM673" s="7"/>
      <c r="BN673" s="7"/>
      <c r="BO673" s="7"/>
      <c r="BP673" s="7"/>
      <c r="BQ673" s="7"/>
      <c r="BR673" s="7"/>
      <c r="BS673" s="7"/>
      <c r="BT673" s="7"/>
      <c r="BU673" s="7"/>
      <c r="BV673" s="7"/>
      <c r="BW673" s="7"/>
      <c r="BX673" s="7"/>
      <c r="BY673" s="7"/>
      <c r="BZ673" s="7"/>
    </row>
    <row r="674" ht="16.5" customHeight="1">
      <c r="AT674" s="7"/>
      <c r="AU674" s="7"/>
      <c r="AV674" s="7"/>
      <c r="AW674" s="7"/>
      <c r="AX674" s="7"/>
      <c r="AY674" s="7"/>
      <c r="AZ674" s="7"/>
      <c r="BA674" s="7"/>
      <c r="BB674" s="7"/>
      <c r="BC674" s="7"/>
      <c r="BD674" s="7"/>
      <c r="BE674" s="7"/>
      <c r="BF674" s="7"/>
      <c r="BG674" s="7"/>
      <c r="BH674" s="7"/>
      <c r="BI674" s="7"/>
      <c r="BJ674" s="7"/>
      <c r="BK674" s="7"/>
      <c r="BL674" s="7"/>
      <c r="BM674" s="7"/>
      <c r="BN674" s="7"/>
      <c r="BO674" s="7"/>
      <c r="BP674" s="7"/>
      <c r="BQ674" s="7"/>
      <c r="BR674" s="7"/>
      <c r="BS674" s="7"/>
      <c r="BT674" s="7"/>
      <c r="BU674" s="7"/>
      <c r="BV674" s="7"/>
      <c r="BW674" s="7"/>
      <c r="BX674" s="7"/>
      <c r="BY674" s="7"/>
      <c r="BZ674" s="7"/>
    </row>
    <row r="675" ht="16.5" customHeight="1">
      <c r="AT675" s="7"/>
      <c r="AU675" s="7"/>
      <c r="AV675" s="7"/>
      <c r="AW675" s="7"/>
      <c r="AX675" s="7"/>
      <c r="AY675" s="7"/>
      <c r="AZ675" s="7"/>
      <c r="BA675" s="7"/>
      <c r="BB675" s="7"/>
      <c r="BC675" s="7"/>
      <c r="BD675" s="7"/>
      <c r="BE675" s="7"/>
      <c r="BF675" s="7"/>
      <c r="BG675" s="7"/>
      <c r="BH675" s="7"/>
      <c r="BI675" s="7"/>
      <c r="BJ675" s="7"/>
      <c r="BK675" s="7"/>
      <c r="BL675" s="7"/>
      <c r="BM675" s="7"/>
      <c r="BN675" s="7"/>
      <c r="BO675" s="7"/>
      <c r="BP675" s="7"/>
      <c r="BQ675" s="7"/>
      <c r="BR675" s="7"/>
      <c r="BS675" s="7"/>
      <c r="BT675" s="7"/>
      <c r="BU675" s="7"/>
      <c r="BV675" s="7"/>
      <c r="BW675" s="7"/>
      <c r="BX675" s="7"/>
      <c r="BY675" s="7"/>
      <c r="BZ675" s="7"/>
    </row>
    <row r="676" ht="16.5" customHeight="1">
      <c r="AT676" s="7"/>
      <c r="AU676" s="7"/>
      <c r="AV676" s="7"/>
      <c r="AW676" s="7"/>
      <c r="AX676" s="7"/>
      <c r="AY676" s="7"/>
      <c r="AZ676" s="7"/>
      <c r="BA676" s="7"/>
      <c r="BB676" s="7"/>
      <c r="BC676" s="7"/>
      <c r="BD676" s="7"/>
      <c r="BE676" s="7"/>
      <c r="BF676" s="7"/>
      <c r="BG676" s="7"/>
      <c r="BH676" s="7"/>
      <c r="BI676" s="7"/>
      <c r="BJ676" s="7"/>
      <c r="BK676" s="7"/>
      <c r="BL676" s="7"/>
      <c r="BM676" s="7"/>
      <c r="BN676" s="7"/>
      <c r="BO676" s="7"/>
      <c r="BP676" s="7"/>
      <c r="BQ676" s="7"/>
      <c r="BR676" s="7"/>
      <c r="BS676" s="7"/>
      <c r="BT676" s="7"/>
      <c r="BU676" s="7"/>
      <c r="BV676" s="7"/>
      <c r="BW676" s="7"/>
      <c r="BX676" s="7"/>
      <c r="BY676" s="7"/>
      <c r="BZ676" s="7"/>
    </row>
    <row r="677" ht="16.5" customHeight="1">
      <c r="AT677" s="7"/>
      <c r="AU677" s="7"/>
      <c r="AV677" s="7"/>
      <c r="AW677" s="7"/>
      <c r="AX677" s="7"/>
      <c r="AY677" s="7"/>
      <c r="AZ677" s="7"/>
      <c r="BA677" s="7"/>
      <c r="BB677" s="7"/>
      <c r="BC677" s="7"/>
      <c r="BD677" s="7"/>
      <c r="BE677" s="7"/>
      <c r="BF677" s="7"/>
      <c r="BG677" s="7"/>
      <c r="BH677" s="7"/>
      <c r="BI677" s="7"/>
      <c r="BJ677" s="7"/>
      <c r="BK677" s="7"/>
      <c r="BL677" s="7"/>
      <c r="BM677" s="7"/>
      <c r="BN677" s="7"/>
      <c r="BO677" s="7"/>
      <c r="BP677" s="7"/>
      <c r="BQ677" s="7"/>
      <c r="BR677" s="7"/>
      <c r="BS677" s="7"/>
      <c r="BT677" s="7"/>
      <c r="BU677" s="7"/>
      <c r="BV677" s="7"/>
      <c r="BW677" s="7"/>
      <c r="BX677" s="7"/>
      <c r="BY677" s="7"/>
      <c r="BZ677" s="7"/>
    </row>
    <row r="678" ht="16.5" customHeight="1">
      <c r="AT678" s="7"/>
      <c r="AU678" s="7"/>
      <c r="AV678" s="7"/>
      <c r="AW678" s="7"/>
      <c r="AX678" s="7"/>
      <c r="AY678" s="7"/>
      <c r="AZ678" s="7"/>
      <c r="BA678" s="7"/>
      <c r="BB678" s="7"/>
      <c r="BC678" s="7"/>
      <c r="BD678" s="7"/>
      <c r="BE678" s="7"/>
      <c r="BF678" s="7"/>
      <c r="BG678" s="7"/>
      <c r="BH678" s="7"/>
      <c r="BI678" s="7"/>
      <c r="BJ678" s="7"/>
      <c r="BK678" s="7"/>
      <c r="BL678" s="7"/>
      <c r="BM678" s="7"/>
      <c r="BN678" s="7"/>
      <c r="BO678" s="7"/>
      <c r="BP678" s="7"/>
      <c r="BQ678" s="7"/>
      <c r="BR678" s="7"/>
      <c r="BS678" s="7"/>
      <c r="BT678" s="7"/>
      <c r="BU678" s="7"/>
      <c r="BV678" s="7"/>
      <c r="BW678" s="7"/>
      <c r="BX678" s="7"/>
      <c r="BY678" s="7"/>
      <c r="BZ678" s="7"/>
    </row>
    <row r="679" ht="16.5" customHeight="1">
      <c r="AT679" s="7"/>
      <c r="AU679" s="7"/>
      <c r="AV679" s="7"/>
      <c r="AW679" s="7"/>
      <c r="AX679" s="7"/>
      <c r="AY679" s="7"/>
      <c r="AZ679" s="7"/>
      <c r="BA679" s="7"/>
      <c r="BB679" s="7"/>
      <c r="BC679" s="7"/>
      <c r="BD679" s="7"/>
      <c r="BE679" s="7"/>
      <c r="BF679" s="7"/>
      <c r="BG679" s="7"/>
      <c r="BH679" s="7"/>
      <c r="BI679" s="7"/>
      <c r="BJ679" s="7"/>
      <c r="BK679" s="7"/>
      <c r="BL679" s="7"/>
      <c r="BM679" s="7"/>
      <c r="BN679" s="7"/>
      <c r="BO679" s="7"/>
      <c r="BP679" s="7"/>
      <c r="BQ679" s="7"/>
      <c r="BR679" s="7"/>
      <c r="BS679" s="7"/>
      <c r="BT679" s="7"/>
      <c r="BU679" s="7"/>
      <c r="BV679" s="7"/>
      <c r="BW679" s="7"/>
      <c r="BX679" s="7"/>
      <c r="BY679" s="7"/>
      <c r="BZ679" s="7"/>
    </row>
    <row r="680" ht="16.5" customHeight="1">
      <c r="AT680" s="7"/>
      <c r="AU680" s="7"/>
      <c r="AV680" s="7"/>
      <c r="AW680" s="7"/>
      <c r="AX680" s="7"/>
      <c r="AY680" s="7"/>
      <c r="AZ680" s="7"/>
      <c r="BA680" s="7"/>
      <c r="BB680" s="7"/>
      <c r="BC680" s="7"/>
      <c r="BD680" s="7"/>
      <c r="BE680" s="7"/>
      <c r="BF680" s="7"/>
      <c r="BG680" s="7"/>
      <c r="BH680" s="7"/>
      <c r="BI680" s="7"/>
      <c r="BJ680" s="7"/>
      <c r="BK680" s="7"/>
      <c r="BL680" s="7"/>
      <c r="BM680" s="7"/>
      <c r="BN680" s="7"/>
      <c r="BO680" s="7"/>
      <c r="BP680" s="7"/>
      <c r="BQ680" s="7"/>
      <c r="BR680" s="7"/>
      <c r="BS680" s="7"/>
      <c r="BT680" s="7"/>
      <c r="BU680" s="7"/>
      <c r="BV680" s="7"/>
      <c r="BW680" s="7"/>
      <c r="BX680" s="7"/>
      <c r="BY680" s="7"/>
      <c r="BZ680" s="7"/>
    </row>
    <row r="681" ht="16.5" customHeight="1">
      <c r="AT681" s="7"/>
      <c r="AU681" s="7"/>
      <c r="AV681" s="7"/>
      <c r="AW681" s="7"/>
      <c r="AX681" s="7"/>
      <c r="AY681" s="7"/>
      <c r="AZ681" s="7"/>
      <c r="BA681" s="7"/>
      <c r="BB681" s="7"/>
      <c r="BC681" s="7"/>
      <c r="BD681" s="7"/>
      <c r="BE681" s="7"/>
      <c r="BF681" s="7"/>
      <c r="BG681" s="7"/>
      <c r="BH681" s="7"/>
      <c r="BI681" s="7"/>
      <c r="BJ681" s="7"/>
      <c r="BK681" s="7"/>
      <c r="BL681" s="7"/>
      <c r="BM681" s="7"/>
      <c r="BN681" s="7"/>
      <c r="BO681" s="7"/>
      <c r="BP681" s="7"/>
      <c r="BQ681" s="7"/>
      <c r="BR681" s="7"/>
      <c r="BS681" s="7"/>
      <c r="BT681" s="7"/>
      <c r="BU681" s="7"/>
      <c r="BV681" s="7"/>
      <c r="BW681" s="7"/>
      <c r="BX681" s="7"/>
      <c r="BY681" s="7"/>
      <c r="BZ681" s="7"/>
    </row>
    <row r="682" ht="16.5" customHeight="1">
      <c r="AT682" s="7"/>
      <c r="AU682" s="7"/>
      <c r="AV682" s="7"/>
      <c r="AW682" s="7"/>
      <c r="AX682" s="7"/>
      <c r="AY682" s="7"/>
      <c r="AZ682" s="7"/>
      <c r="BA682" s="7"/>
      <c r="BB682" s="7"/>
      <c r="BC682" s="7"/>
      <c r="BD682" s="7"/>
      <c r="BE682" s="7"/>
      <c r="BF682" s="7"/>
      <c r="BG682" s="7"/>
      <c r="BH682" s="7"/>
      <c r="BI682" s="7"/>
      <c r="BJ682" s="7"/>
      <c r="BK682" s="7"/>
      <c r="BL682" s="7"/>
      <c r="BM682" s="7"/>
      <c r="BN682" s="7"/>
      <c r="BO682" s="7"/>
      <c r="BP682" s="7"/>
      <c r="BQ682" s="7"/>
      <c r="BR682" s="7"/>
      <c r="BS682" s="7"/>
      <c r="BT682" s="7"/>
      <c r="BU682" s="7"/>
      <c r="BV682" s="7"/>
      <c r="BW682" s="7"/>
      <c r="BX682" s="7"/>
      <c r="BY682" s="7"/>
      <c r="BZ682" s="7"/>
    </row>
    <row r="683" ht="16.5" customHeight="1">
      <c r="AT683" s="7"/>
      <c r="AU683" s="7"/>
      <c r="AV683" s="7"/>
      <c r="AW683" s="7"/>
      <c r="AX683" s="7"/>
      <c r="AY683" s="7"/>
      <c r="AZ683" s="7"/>
      <c r="BA683" s="7"/>
      <c r="BB683" s="7"/>
      <c r="BC683" s="7"/>
      <c r="BD683" s="7"/>
      <c r="BE683" s="7"/>
      <c r="BF683" s="7"/>
      <c r="BG683" s="7"/>
      <c r="BH683" s="7"/>
      <c r="BI683" s="7"/>
      <c r="BJ683" s="7"/>
      <c r="BK683" s="7"/>
      <c r="BL683" s="7"/>
      <c r="BM683" s="7"/>
      <c r="BN683" s="7"/>
      <c r="BO683" s="7"/>
      <c r="BP683" s="7"/>
      <c r="BQ683" s="7"/>
      <c r="BR683" s="7"/>
      <c r="BS683" s="7"/>
      <c r="BT683" s="7"/>
      <c r="BU683" s="7"/>
      <c r="BV683" s="7"/>
      <c r="BW683" s="7"/>
      <c r="BX683" s="7"/>
      <c r="BY683" s="7"/>
      <c r="BZ683" s="7"/>
    </row>
    <row r="684" ht="16.5" customHeight="1">
      <c r="AT684" s="7"/>
      <c r="AU684" s="7"/>
      <c r="AV684" s="7"/>
      <c r="AW684" s="7"/>
      <c r="AX684" s="7"/>
      <c r="AY684" s="7"/>
      <c r="AZ684" s="7"/>
      <c r="BA684" s="7"/>
      <c r="BB684" s="7"/>
      <c r="BC684" s="7"/>
      <c r="BD684" s="7"/>
      <c r="BE684" s="7"/>
      <c r="BF684" s="7"/>
      <c r="BG684" s="7"/>
      <c r="BH684" s="7"/>
      <c r="BI684" s="7"/>
      <c r="BJ684" s="7"/>
      <c r="BK684" s="7"/>
      <c r="BL684" s="7"/>
      <c r="BM684" s="7"/>
      <c r="BN684" s="7"/>
      <c r="BO684" s="7"/>
      <c r="BP684" s="7"/>
      <c r="BQ684" s="7"/>
      <c r="BR684" s="7"/>
      <c r="BS684" s="7"/>
      <c r="BT684" s="7"/>
      <c r="BU684" s="7"/>
      <c r="BV684" s="7"/>
      <c r="BW684" s="7"/>
      <c r="BX684" s="7"/>
      <c r="BY684" s="7"/>
      <c r="BZ684" s="7"/>
    </row>
    <row r="685" ht="16.5" customHeight="1">
      <c r="AT685" s="7"/>
      <c r="AU685" s="7"/>
      <c r="AV685" s="7"/>
      <c r="AW685" s="7"/>
      <c r="AX685" s="7"/>
      <c r="AY685" s="7"/>
      <c r="AZ685" s="7"/>
      <c r="BA685" s="7"/>
      <c r="BB685" s="7"/>
      <c r="BC685" s="7"/>
      <c r="BD685" s="7"/>
      <c r="BE685" s="7"/>
      <c r="BF685" s="7"/>
      <c r="BG685" s="7"/>
      <c r="BH685" s="7"/>
      <c r="BI685" s="7"/>
      <c r="BJ685" s="7"/>
      <c r="BK685" s="7"/>
      <c r="BL685" s="7"/>
      <c r="BM685" s="7"/>
      <c r="BN685" s="7"/>
      <c r="BO685" s="7"/>
      <c r="BP685" s="7"/>
      <c r="BQ685" s="7"/>
      <c r="BR685" s="7"/>
      <c r="BS685" s="7"/>
      <c r="BT685" s="7"/>
      <c r="BU685" s="7"/>
      <c r="BV685" s="7"/>
      <c r="BW685" s="7"/>
      <c r="BX685" s="7"/>
      <c r="BY685" s="7"/>
      <c r="BZ685" s="7"/>
    </row>
    <row r="686" ht="16.5" customHeight="1">
      <c r="AT686" s="7"/>
      <c r="AU686" s="7"/>
      <c r="AV686" s="7"/>
      <c r="AW686" s="7"/>
      <c r="AX686" s="7"/>
      <c r="AY686" s="7"/>
      <c r="AZ686" s="7"/>
      <c r="BA686" s="7"/>
      <c r="BB686" s="7"/>
      <c r="BC686" s="7"/>
      <c r="BD686" s="7"/>
      <c r="BE686" s="7"/>
      <c r="BF686" s="7"/>
      <c r="BG686" s="7"/>
      <c r="BH686" s="7"/>
      <c r="BI686" s="7"/>
      <c r="BJ686" s="7"/>
      <c r="BK686" s="7"/>
      <c r="BL686" s="7"/>
      <c r="BM686" s="7"/>
      <c r="BN686" s="7"/>
      <c r="BO686" s="7"/>
      <c r="BP686" s="7"/>
      <c r="BQ686" s="7"/>
      <c r="BR686" s="7"/>
      <c r="BS686" s="7"/>
      <c r="BT686" s="7"/>
      <c r="BU686" s="7"/>
      <c r="BV686" s="7"/>
      <c r="BW686" s="7"/>
      <c r="BX686" s="7"/>
      <c r="BY686" s="7"/>
      <c r="BZ686" s="7"/>
    </row>
    <row r="687" ht="16.5" customHeight="1">
      <c r="AT687" s="7"/>
      <c r="AU687" s="7"/>
      <c r="AV687" s="7"/>
      <c r="AW687" s="7"/>
      <c r="AX687" s="7"/>
      <c r="AY687" s="7"/>
      <c r="AZ687" s="7"/>
      <c r="BA687" s="7"/>
      <c r="BB687" s="7"/>
      <c r="BC687" s="7"/>
      <c r="BD687" s="7"/>
      <c r="BE687" s="7"/>
      <c r="BF687" s="7"/>
      <c r="BG687" s="7"/>
      <c r="BH687" s="7"/>
      <c r="BI687" s="7"/>
      <c r="BJ687" s="7"/>
      <c r="BK687" s="7"/>
      <c r="BL687" s="7"/>
      <c r="BM687" s="7"/>
      <c r="BN687" s="7"/>
      <c r="BO687" s="7"/>
      <c r="BP687" s="7"/>
      <c r="BQ687" s="7"/>
      <c r="BR687" s="7"/>
      <c r="BS687" s="7"/>
      <c r="BT687" s="7"/>
      <c r="BU687" s="7"/>
      <c r="BV687" s="7"/>
      <c r="BW687" s="7"/>
      <c r="BX687" s="7"/>
      <c r="BY687" s="7"/>
      <c r="BZ687" s="7"/>
    </row>
    <row r="688" ht="16.5" customHeight="1">
      <c r="AT688" s="7"/>
      <c r="AU688" s="7"/>
      <c r="AV688" s="7"/>
      <c r="AW688" s="7"/>
      <c r="AX688" s="7"/>
      <c r="AY688" s="7"/>
      <c r="AZ688" s="7"/>
      <c r="BA688" s="7"/>
      <c r="BB688" s="7"/>
      <c r="BC688" s="7"/>
      <c r="BD688" s="7"/>
      <c r="BE688" s="7"/>
      <c r="BF688" s="7"/>
      <c r="BG688" s="7"/>
      <c r="BH688" s="7"/>
      <c r="BI688" s="7"/>
      <c r="BJ688" s="7"/>
      <c r="BK688" s="7"/>
      <c r="BL688" s="7"/>
      <c r="BM688" s="7"/>
      <c r="BN688" s="7"/>
      <c r="BO688" s="7"/>
      <c r="BP688" s="7"/>
      <c r="BQ688" s="7"/>
      <c r="BR688" s="7"/>
      <c r="BS688" s="7"/>
      <c r="BT688" s="7"/>
      <c r="BU688" s="7"/>
      <c r="BV688" s="7"/>
      <c r="BW688" s="7"/>
      <c r="BX688" s="7"/>
      <c r="BY688" s="7"/>
      <c r="BZ688" s="7"/>
    </row>
    <row r="689" ht="16.5" customHeight="1">
      <c r="AT689" s="7"/>
      <c r="AU689" s="7"/>
      <c r="AV689" s="7"/>
      <c r="AW689" s="7"/>
      <c r="AX689" s="7"/>
      <c r="AY689" s="7"/>
      <c r="AZ689" s="7"/>
      <c r="BA689" s="7"/>
      <c r="BB689" s="7"/>
      <c r="BC689" s="7"/>
      <c r="BD689" s="7"/>
      <c r="BE689" s="7"/>
      <c r="BF689" s="7"/>
      <c r="BG689" s="7"/>
      <c r="BH689" s="7"/>
      <c r="BI689" s="7"/>
      <c r="BJ689" s="7"/>
      <c r="BK689" s="7"/>
      <c r="BL689" s="7"/>
      <c r="BM689" s="7"/>
      <c r="BN689" s="7"/>
      <c r="BO689" s="7"/>
      <c r="BP689" s="7"/>
      <c r="BQ689" s="7"/>
      <c r="BR689" s="7"/>
      <c r="BS689" s="7"/>
      <c r="BT689" s="7"/>
      <c r="BU689" s="7"/>
      <c r="BV689" s="7"/>
      <c r="BW689" s="7"/>
      <c r="BX689" s="7"/>
      <c r="BY689" s="7"/>
      <c r="BZ689" s="7"/>
    </row>
    <row r="690" ht="16.5" customHeight="1">
      <c r="AT690" s="7"/>
      <c r="AU690" s="7"/>
      <c r="AV690" s="7"/>
      <c r="AW690" s="7"/>
      <c r="AX690" s="7"/>
      <c r="AY690" s="7"/>
      <c r="AZ690" s="7"/>
      <c r="BA690" s="7"/>
      <c r="BB690" s="7"/>
      <c r="BC690" s="7"/>
      <c r="BD690" s="7"/>
      <c r="BE690" s="7"/>
      <c r="BF690" s="7"/>
      <c r="BG690" s="7"/>
      <c r="BH690" s="7"/>
      <c r="BI690" s="7"/>
      <c r="BJ690" s="7"/>
      <c r="BK690" s="7"/>
      <c r="BL690" s="7"/>
      <c r="BM690" s="7"/>
      <c r="BN690" s="7"/>
      <c r="BO690" s="7"/>
      <c r="BP690" s="7"/>
      <c r="BQ690" s="7"/>
      <c r="BR690" s="7"/>
      <c r="BS690" s="7"/>
      <c r="BT690" s="7"/>
      <c r="BU690" s="7"/>
      <c r="BV690" s="7"/>
      <c r="BW690" s="7"/>
      <c r="BX690" s="7"/>
      <c r="BY690" s="7"/>
      <c r="BZ690" s="7"/>
    </row>
    <row r="691" ht="16.5" customHeight="1">
      <c r="AT691" s="7"/>
      <c r="AU691" s="7"/>
      <c r="AV691" s="7"/>
      <c r="AW691" s="7"/>
      <c r="AX691" s="7"/>
      <c r="AY691" s="7"/>
      <c r="AZ691" s="7"/>
      <c r="BA691" s="7"/>
      <c r="BB691" s="7"/>
      <c r="BC691" s="7"/>
      <c r="BD691" s="7"/>
      <c r="BE691" s="7"/>
      <c r="BF691" s="7"/>
      <c r="BG691" s="7"/>
      <c r="BH691" s="7"/>
      <c r="BI691" s="7"/>
      <c r="BJ691" s="7"/>
      <c r="BK691" s="7"/>
      <c r="BL691" s="7"/>
      <c r="BM691" s="7"/>
      <c r="BN691" s="7"/>
      <c r="BO691" s="7"/>
      <c r="BP691" s="7"/>
      <c r="BQ691" s="7"/>
      <c r="BR691" s="7"/>
      <c r="BS691" s="7"/>
      <c r="BT691" s="7"/>
      <c r="BU691" s="7"/>
      <c r="BV691" s="7"/>
      <c r="BW691" s="7"/>
      <c r="BX691" s="7"/>
      <c r="BY691" s="7"/>
      <c r="BZ691" s="7"/>
    </row>
    <row r="692" ht="16.5" customHeight="1">
      <c r="AT692" s="7"/>
      <c r="AU692" s="7"/>
      <c r="AV692" s="7"/>
      <c r="AW692" s="7"/>
      <c r="AX692" s="7"/>
      <c r="AY692" s="7"/>
      <c r="AZ692" s="7"/>
      <c r="BA692" s="7"/>
      <c r="BB692" s="7"/>
      <c r="BC692" s="7"/>
      <c r="BD692" s="7"/>
      <c r="BE692" s="7"/>
      <c r="BF692" s="7"/>
      <c r="BG692" s="7"/>
      <c r="BH692" s="7"/>
      <c r="BI692" s="7"/>
      <c r="BJ692" s="7"/>
      <c r="BK692" s="7"/>
      <c r="BL692" s="7"/>
      <c r="BM692" s="7"/>
      <c r="BN692" s="7"/>
      <c r="BO692" s="7"/>
      <c r="BP692" s="7"/>
      <c r="BQ692" s="7"/>
      <c r="BR692" s="7"/>
      <c r="BS692" s="7"/>
      <c r="BT692" s="7"/>
      <c r="BU692" s="7"/>
      <c r="BV692" s="7"/>
      <c r="BW692" s="7"/>
      <c r="BX692" s="7"/>
      <c r="BY692" s="7"/>
      <c r="BZ692" s="7"/>
    </row>
    <row r="693" ht="16.5" customHeight="1">
      <c r="AT693" s="7"/>
      <c r="AU693" s="7"/>
      <c r="AV693" s="7"/>
      <c r="AW693" s="7"/>
      <c r="AX693" s="7"/>
      <c r="AY693" s="7"/>
      <c r="AZ693" s="7"/>
      <c r="BA693" s="7"/>
      <c r="BB693" s="7"/>
      <c r="BC693" s="7"/>
      <c r="BD693" s="7"/>
      <c r="BE693" s="7"/>
      <c r="BF693" s="7"/>
      <c r="BG693" s="7"/>
      <c r="BH693" s="7"/>
      <c r="BI693" s="7"/>
      <c r="BJ693" s="7"/>
      <c r="BK693" s="7"/>
      <c r="BL693" s="7"/>
      <c r="BM693" s="7"/>
      <c r="BN693" s="7"/>
      <c r="BO693" s="7"/>
      <c r="BP693" s="7"/>
      <c r="BQ693" s="7"/>
      <c r="BR693" s="7"/>
      <c r="BS693" s="7"/>
      <c r="BT693" s="7"/>
      <c r="BU693" s="7"/>
      <c r="BV693" s="7"/>
      <c r="BW693" s="7"/>
      <c r="BX693" s="7"/>
      <c r="BY693" s="7"/>
      <c r="BZ693" s="7"/>
    </row>
    <row r="694" ht="16.5" customHeight="1">
      <c r="AT694" s="7"/>
      <c r="AU694" s="7"/>
      <c r="AV694" s="7"/>
      <c r="AW694" s="7"/>
      <c r="AX694" s="7"/>
      <c r="AY694" s="7"/>
      <c r="AZ694" s="7"/>
      <c r="BA694" s="7"/>
      <c r="BB694" s="7"/>
      <c r="BC694" s="7"/>
      <c r="BD694" s="7"/>
      <c r="BE694" s="7"/>
      <c r="BF694" s="7"/>
      <c r="BG694" s="7"/>
      <c r="BH694" s="7"/>
      <c r="BI694" s="7"/>
      <c r="BJ694" s="7"/>
      <c r="BK694" s="7"/>
      <c r="BL694" s="7"/>
      <c r="BM694" s="7"/>
      <c r="BN694" s="7"/>
      <c r="BO694" s="7"/>
      <c r="BP694" s="7"/>
      <c r="BQ694" s="7"/>
      <c r="BR694" s="7"/>
      <c r="BS694" s="7"/>
      <c r="BT694" s="7"/>
      <c r="BU694" s="7"/>
      <c r="BV694" s="7"/>
      <c r="BW694" s="7"/>
      <c r="BX694" s="7"/>
      <c r="BY694" s="7"/>
      <c r="BZ694" s="7"/>
    </row>
    <row r="695" ht="16.5" customHeight="1">
      <c r="AT695" s="7"/>
      <c r="AU695" s="7"/>
      <c r="AV695" s="7"/>
      <c r="AW695" s="7"/>
      <c r="AX695" s="7"/>
      <c r="AY695" s="7"/>
      <c r="AZ695" s="7"/>
      <c r="BA695" s="7"/>
      <c r="BB695" s="7"/>
      <c r="BC695" s="7"/>
      <c r="BD695" s="7"/>
      <c r="BE695" s="7"/>
      <c r="BF695" s="7"/>
      <c r="BG695" s="7"/>
      <c r="BH695" s="7"/>
      <c r="BI695" s="7"/>
      <c r="BJ695" s="7"/>
      <c r="BK695" s="7"/>
      <c r="BL695" s="7"/>
      <c r="BM695" s="7"/>
      <c r="BN695" s="7"/>
      <c r="BO695" s="7"/>
      <c r="BP695" s="7"/>
      <c r="BQ695" s="7"/>
      <c r="BR695" s="7"/>
      <c r="BS695" s="7"/>
      <c r="BT695" s="7"/>
      <c r="BU695" s="7"/>
      <c r="BV695" s="7"/>
      <c r="BW695" s="7"/>
      <c r="BX695" s="7"/>
      <c r="BY695" s="7"/>
      <c r="BZ695" s="7"/>
    </row>
    <row r="696" ht="16.5" customHeight="1">
      <c r="AT696" s="7"/>
      <c r="AU696" s="7"/>
      <c r="AV696" s="7"/>
      <c r="AW696" s="7"/>
      <c r="AX696" s="7"/>
      <c r="AY696" s="7"/>
      <c r="AZ696" s="7"/>
      <c r="BA696" s="7"/>
      <c r="BB696" s="7"/>
      <c r="BC696" s="7"/>
      <c r="BD696" s="7"/>
      <c r="BE696" s="7"/>
      <c r="BF696" s="7"/>
      <c r="BG696" s="7"/>
      <c r="BH696" s="7"/>
      <c r="BI696" s="7"/>
      <c r="BJ696" s="7"/>
      <c r="BK696" s="7"/>
      <c r="BL696" s="7"/>
      <c r="BM696" s="7"/>
      <c r="BN696" s="7"/>
      <c r="BO696" s="7"/>
      <c r="BP696" s="7"/>
      <c r="BQ696" s="7"/>
      <c r="BR696" s="7"/>
      <c r="BS696" s="7"/>
      <c r="BT696" s="7"/>
      <c r="BU696" s="7"/>
      <c r="BV696" s="7"/>
      <c r="BW696" s="7"/>
      <c r="BX696" s="7"/>
      <c r="BY696" s="7"/>
      <c r="BZ696" s="7"/>
    </row>
    <row r="697" ht="16.5" customHeight="1">
      <c r="AT697" s="7"/>
      <c r="AU697" s="7"/>
      <c r="AV697" s="7"/>
      <c r="AW697" s="7"/>
      <c r="AX697" s="7"/>
      <c r="AY697" s="7"/>
      <c r="AZ697" s="7"/>
      <c r="BA697" s="7"/>
      <c r="BB697" s="7"/>
      <c r="BC697" s="7"/>
      <c r="BD697" s="7"/>
      <c r="BE697" s="7"/>
      <c r="BF697" s="7"/>
      <c r="BG697" s="7"/>
      <c r="BH697" s="7"/>
      <c r="BI697" s="7"/>
      <c r="BJ697" s="7"/>
      <c r="BK697" s="7"/>
      <c r="BL697" s="7"/>
      <c r="BM697" s="7"/>
      <c r="BN697" s="7"/>
      <c r="BO697" s="7"/>
      <c r="BP697" s="7"/>
      <c r="BQ697" s="7"/>
      <c r="BR697" s="7"/>
      <c r="BS697" s="7"/>
      <c r="BT697" s="7"/>
      <c r="BU697" s="7"/>
      <c r="BV697" s="7"/>
      <c r="BW697" s="7"/>
      <c r="BX697" s="7"/>
      <c r="BY697" s="7"/>
      <c r="BZ697" s="7"/>
    </row>
    <row r="698" ht="16.5" customHeight="1">
      <c r="AT698" s="7"/>
      <c r="AU698" s="7"/>
      <c r="AV698" s="7"/>
      <c r="AW698" s="7"/>
      <c r="AX698" s="7"/>
      <c r="AY698" s="7"/>
      <c r="AZ698" s="7"/>
      <c r="BA698" s="7"/>
      <c r="BB698" s="7"/>
      <c r="BC698" s="7"/>
      <c r="BD698" s="7"/>
      <c r="BE698" s="7"/>
      <c r="BF698" s="7"/>
      <c r="BG698" s="7"/>
      <c r="BH698" s="7"/>
      <c r="BI698" s="7"/>
      <c r="BJ698" s="7"/>
      <c r="BK698" s="7"/>
      <c r="BL698" s="7"/>
      <c r="BM698" s="7"/>
      <c r="BN698" s="7"/>
      <c r="BO698" s="7"/>
      <c r="BP698" s="7"/>
      <c r="BQ698" s="7"/>
      <c r="BR698" s="7"/>
      <c r="BS698" s="7"/>
      <c r="BT698" s="7"/>
      <c r="BU698" s="7"/>
      <c r="BV698" s="7"/>
      <c r="BW698" s="7"/>
      <c r="BX698" s="7"/>
      <c r="BY698" s="7"/>
      <c r="BZ698" s="7"/>
    </row>
    <row r="699" ht="16.5" customHeight="1">
      <c r="AT699" s="7"/>
      <c r="AU699" s="7"/>
      <c r="AV699" s="7"/>
      <c r="AW699" s="7"/>
      <c r="AX699" s="7"/>
      <c r="AY699" s="7"/>
      <c r="AZ699" s="7"/>
      <c r="BA699" s="7"/>
      <c r="BB699" s="7"/>
      <c r="BC699" s="7"/>
      <c r="BD699" s="7"/>
      <c r="BE699" s="7"/>
      <c r="BF699" s="7"/>
      <c r="BG699" s="7"/>
      <c r="BH699" s="7"/>
      <c r="BI699" s="7"/>
      <c r="BJ699" s="7"/>
      <c r="BK699" s="7"/>
      <c r="BL699" s="7"/>
      <c r="BM699" s="7"/>
      <c r="BN699" s="7"/>
      <c r="BO699" s="7"/>
      <c r="BP699" s="7"/>
      <c r="BQ699" s="7"/>
      <c r="BR699" s="7"/>
      <c r="BS699" s="7"/>
      <c r="BT699" s="7"/>
      <c r="BU699" s="7"/>
      <c r="BV699" s="7"/>
      <c r="BW699" s="7"/>
      <c r="BX699" s="7"/>
      <c r="BY699" s="7"/>
      <c r="BZ699" s="7"/>
    </row>
    <row r="700" ht="16.5" customHeight="1">
      <c r="AT700" s="7"/>
      <c r="AU700" s="7"/>
      <c r="AV700" s="7"/>
      <c r="AW700" s="7"/>
      <c r="AX700" s="7"/>
      <c r="AY700" s="7"/>
      <c r="AZ700" s="7"/>
      <c r="BA700" s="7"/>
      <c r="BB700" s="7"/>
      <c r="BC700" s="7"/>
      <c r="BD700" s="7"/>
      <c r="BE700" s="7"/>
      <c r="BF700" s="7"/>
      <c r="BG700" s="7"/>
      <c r="BH700" s="7"/>
      <c r="BI700" s="7"/>
      <c r="BJ700" s="7"/>
      <c r="BK700" s="7"/>
      <c r="BL700" s="7"/>
      <c r="BM700" s="7"/>
      <c r="BN700" s="7"/>
      <c r="BO700" s="7"/>
      <c r="BP700" s="7"/>
      <c r="BQ700" s="7"/>
      <c r="BR700" s="7"/>
      <c r="BS700" s="7"/>
      <c r="BT700" s="7"/>
      <c r="BU700" s="7"/>
      <c r="BV700" s="7"/>
      <c r="BW700" s="7"/>
      <c r="BX700" s="7"/>
      <c r="BY700" s="7"/>
      <c r="BZ700" s="7"/>
    </row>
    <row r="701" ht="16.5" customHeight="1">
      <c r="AT701" s="7"/>
      <c r="AU701" s="7"/>
      <c r="AV701" s="7"/>
      <c r="AW701" s="7"/>
      <c r="AX701" s="7"/>
      <c r="AY701" s="7"/>
      <c r="AZ701" s="7"/>
      <c r="BA701" s="7"/>
      <c r="BB701" s="7"/>
      <c r="BC701" s="7"/>
      <c r="BD701" s="7"/>
      <c r="BE701" s="7"/>
      <c r="BF701" s="7"/>
      <c r="BG701" s="7"/>
      <c r="BH701" s="7"/>
      <c r="BI701" s="7"/>
      <c r="BJ701" s="7"/>
      <c r="BK701" s="7"/>
      <c r="BL701" s="7"/>
      <c r="BM701" s="7"/>
      <c r="BN701" s="7"/>
      <c r="BO701" s="7"/>
      <c r="BP701" s="7"/>
      <c r="BQ701" s="7"/>
      <c r="BR701" s="7"/>
      <c r="BS701" s="7"/>
      <c r="BT701" s="7"/>
      <c r="BU701" s="7"/>
      <c r="BV701" s="7"/>
      <c r="BW701" s="7"/>
      <c r="BX701" s="7"/>
      <c r="BY701" s="7"/>
      <c r="BZ701" s="7"/>
    </row>
    <row r="702" ht="16.5" customHeight="1">
      <c r="AT702" s="7"/>
      <c r="AU702" s="7"/>
      <c r="AV702" s="7"/>
      <c r="AW702" s="7"/>
      <c r="AX702" s="7"/>
      <c r="AY702" s="7"/>
      <c r="AZ702" s="7"/>
      <c r="BA702" s="7"/>
      <c r="BB702" s="7"/>
      <c r="BC702" s="7"/>
      <c r="BD702" s="7"/>
      <c r="BE702" s="7"/>
      <c r="BF702" s="7"/>
      <c r="BG702" s="7"/>
      <c r="BH702" s="7"/>
      <c r="BI702" s="7"/>
      <c r="BJ702" s="7"/>
      <c r="BK702" s="7"/>
      <c r="BL702" s="7"/>
      <c r="BM702" s="7"/>
      <c r="BN702" s="7"/>
      <c r="BO702" s="7"/>
      <c r="BP702" s="7"/>
      <c r="BQ702" s="7"/>
      <c r="BR702" s="7"/>
      <c r="BS702" s="7"/>
      <c r="BT702" s="7"/>
      <c r="BU702" s="7"/>
      <c r="BV702" s="7"/>
      <c r="BW702" s="7"/>
      <c r="BX702" s="7"/>
      <c r="BY702" s="7"/>
      <c r="BZ702" s="7"/>
    </row>
    <row r="703" ht="16.5" customHeight="1">
      <c r="AT703" s="7"/>
      <c r="AU703" s="7"/>
      <c r="AV703" s="7"/>
      <c r="AW703" s="7"/>
      <c r="AX703" s="7"/>
      <c r="AY703" s="7"/>
      <c r="AZ703" s="7"/>
      <c r="BA703" s="7"/>
      <c r="BB703" s="7"/>
      <c r="BC703" s="7"/>
      <c r="BD703" s="7"/>
      <c r="BE703" s="7"/>
      <c r="BF703" s="7"/>
      <c r="BG703" s="7"/>
      <c r="BH703" s="7"/>
      <c r="BI703" s="7"/>
      <c r="BJ703" s="7"/>
      <c r="BK703" s="7"/>
      <c r="BL703" s="7"/>
      <c r="BM703" s="7"/>
      <c r="BN703" s="7"/>
      <c r="BO703" s="7"/>
      <c r="BP703" s="7"/>
      <c r="BQ703" s="7"/>
      <c r="BR703" s="7"/>
      <c r="BS703" s="7"/>
      <c r="BT703" s="7"/>
      <c r="BU703" s="7"/>
      <c r="BV703" s="7"/>
      <c r="BW703" s="7"/>
      <c r="BX703" s="7"/>
      <c r="BY703" s="7"/>
      <c r="BZ703" s="7"/>
    </row>
    <row r="704" ht="16.5" customHeight="1">
      <c r="AT704" s="7"/>
      <c r="AU704" s="7"/>
      <c r="AV704" s="7"/>
      <c r="AW704" s="7"/>
      <c r="AX704" s="7"/>
      <c r="AY704" s="7"/>
      <c r="AZ704" s="7"/>
      <c r="BA704" s="7"/>
      <c r="BB704" s="7"/>
      <c r="BC704" s="7"/>
      <c r="BD704" s="7"/>
      <c r="BE704" s="7"/>
      <c r="BF704" s="7"/>
      <c r="BG704" s="7"/>
      <c r="BH704" s="7"/>
      <c r="BI704" s="7"/>
      <c r="BJ704" s="7"/>
      <c r="BK704" s="7"/>
      <c r="BL704" s="7"/>
      <c r="BM704" s="7"/>
      <c r="BN704" s="7"/>
      <c r="BO704" s="7"/>
      <c r="BP704" s="7"/>
      <c r="BQ704" s="7"/>
      <c r="BR704" s="7"/>
      <c r="BS704" s="7"/>
      <c r="BT704" s="7"/>
      <c r="BU704" s="7"/>
      <c r="BV704" s="7"/>
      <c r="BW704" s="7"/>
      <c r="BX704" s="7"/>
      <c r="BY704" s="7"/>
      <c r="BZ704" s="7"/>
    </row>
    <row r="705" ht="16.5" customHeight="1">
      <c r="AT705" s="7"/>
      <c r="AU705" s="7"/>
      <c r="AV705" s="7"/>
      <c r="AW705" s="7"/>
      <c r="AX705" s="7"/>
      <c r="AY705" s="7"/>
      <c r="AZ705" s="7"/>
      <c r="BA705" s="7"/>
      <c r="BB705" s="7"/>
      <c r="BC705" s="7"/>
      <c r="BD705" s="7"/>
      <c r="BE705" s="7"/>
      <c r="BF705" s="7"/>
      <c r="BG705" s="7"/>
      <c r="BH705" s="7"/>
      <c r="BI705" s="7"/>
      <c r="BJ705" s="7"/>
      <c r="BK705" s="7"/>
      <c r="BL705" s="7"/>
      <c r="BM705" s="7"/>
      <c r="BN705" s="7"/>
      <c r="BO705" s="7"/>
      <c r="BP705" s="7"/>
      <c r="BQ705" s="7"/>
      <c r="BR705" s="7"/>
      <c r="BS705" s="7"/>
      <c r="BT705" s="7"/>
      <c r="BU705" s="7"/>
      <c r="BV705" s="7"/>
      <c r="BW705" s="7"/>
      <c r="BX705" s="7"/>
      <c r="BY705" s="7"/>
      <c r="BZ705" s="7"/>
    </row>
    <row r="706" ht="16.5" customHeight="1">
      <c r="AT706" s="7"/>
      <c r="AU706" s="7"/>
      <c r="AV706" s="7"/>
      <c r="AW706" s="7"/>
      <c r="AX706" s="7"/>
      <c r="AY706" s="7"/>
      <c r="AZ706" s="7"/>
      <c r="BA706" s="7"/>
      <c r="BB706" s="7"/>
      <c r="BC706" s="7"/>
      <c r="BD706" s="7"/>
      <c r="BE706" s="7"/>
      <c r="BF706" s="7"/>
      <c r="BG706" s="7"/>
      <c r="BH706" s="7"/>
      <c r="BI706" s="7"/>
      <c r="BJ706" s="7"/>
      <c r="BK706" s="7"/>
      <c r="BL706" s="7"/>
      <c r="BM706" s="7"/>
      <c r="BN706" s="7"/>
      <c r="BO706" s="7"/>
      <c r="BP706" s="7"/>
      <c r="BQ706" s="7"/>
      <c r="BR706" s="7"/>
      <c r="BS706" s="7"/>
      <c r="BT706" s="7"/>
      <c r="BU706" s="7"/>
      <c r="BV706" s="7"/>
      <c r="BW706" s="7"/>
      <c r="BX706" s="7"/>
      <c r="BY706" s="7"/>
      <c r="BZ706" s="7"/>
    </row>
    <row r="707" ht="16.5" customHeight="1">
      <c r="AT707" s="7"/>
      <c r="AU707" s="7"/>
      <c r="AV707" s="7"/>
      <c r="AW707" s="7"/>
      <c r="AX707" s="7"/>
      <c r="AY707" s="7"/>
      <c r="AZ707" s="7"/>
      <c r="BA707" s="7"/>
      <c r="BB707" s="7"/>
      <c r="BC707" s="7"/>
      <c r="BD707" s="7"/>
      <c r="BE707" s="7"/>
      <c r="BF707" s="7"/>
      <c r="BG707" s="7"/>
      <c r="BH707" s="7"/>
      <c r="BI707" s="7"/>
      <c r="BJ707" s="7"/>
      <c r="BK707" s="7"/>
      <c r="BL707" s="7"/>
      <c r="BM707" s="7"/>
      <c r="BN707" s="7"/>
      <c r="BO707" s="7"/>
      <c r="BP707" s="7"/>
      <c r="BQ707" s="7"/>
      <c r="BR707" s="7"/>
      <c r="BS707" s="7"/>
      <c r="BT707" s="7"/>
      <c r="BU707" s="7"/>
      <c r="BV707" s="7"/>
      <c r="BW707" s="7"/>
      <c r="BX707" s="7"/>
      <c r="BY707" s="7"/>
      <c r="BZ707" s="7"/>
    </row>
    <row r="708" ht="16.5" customHeight="1">
      <c r="AT708" s="7"/>
      <c r="AU708" s="7"/>
      <c r="AV708" s="7"/>
      <c r="AW708" s="7"/>
      <c r="AX708" s="7"/>
      <c r="AY708" s="7"/>
      <c r="AZ708" s="7"/>
      <c r="BA708" s="7"/>
      <c r="BB708" s="7"/>
      <c r="BC708" s="7"/>
      <c r="BD708" s="7"/>
      <c r="BE708" s="7"/>
      <c r="BF708" s="7"/>
      <c r="BG708" s="7"/>
      <c r="BH708" s="7"/>
      <c r="BI708" s="7"/>
      <c r="BJ708" s="7"/>
      <c r="BK708" s="7"/>
      <c r="BL708" s="7"/>
      <c r="BM708" s="7"/>
      <c r="BN708" s="7"/>
      <c r="BO708" s="7"/>
      <c r="BP708" s="7"/>
      <c r="BQ708" s="7"/>
      <c r="BR708" s="7"/>
      <c r="BS708" s="7"/>
      <c r="BT708" s="7"/>
      <c r="BU708" s="7"/>
      <c r="BV708" s="7"/>
      <c r="BW708" s="7"/>
      <c r="BX708" s="7"/>
      <c r="BY708" s="7"/>
      <c r="BZ708" s="7"/>
    </row>
    <row r="709" ht="16.5" customHeight="1">
      <c r="AT709" s="7"/>
      <c r="AU709" s="7"/>
      <c r="AV709" s="7"/>
      <c r="AW709" s="7"/>
      <c r="AX709" s="7"/>
      <c r="AY709" s="7"/>
      <c r="AZ709" s="7"/>
      <c r="BA709" s="7"/>
      <c r="BB709" s="7"/>
      <c r="BC709" s="7"/>
      <c r="BD709" s="7"/>
      <c r="BE709" s="7"/>
      <c r="BF709" s="7"/>
      <c r="BG709" s="7"/>
      <c r="BH709" s="7"/>
      <c r="BI709" s="7"/>
      <c r="BJ709" s="7"/>
      <c r="BK709" s="7"/>
      <c r="BL709" s="7"/>
      <c r="BM709" s="7"/>
      <c r="BN709" s="7"/>
      <c r="BO709" s="7"/>
      <c r="BP709" s="7"/>
      <c r="BQ709" s="7"/>
      <c r="BR709" s="7"/>
      <c r="BS709" s="7"/>
      <c r="BT709" s="7"/>
      <c r="BU709" s="7"/>
      <c r="BV709" s="7"/>
      <c r="BW709" s="7"/>
      <c r="BX709" s="7"/>
      <c r="BY709" s="7"/>
      <c r="BZ709" s="7"/>
    </row>
    <row r="710" ht="16.5" customHeight="1">
      <c r="AT710" s="7"/>
      <c r="AU710" s="7"/>
      <c r="AV710" s="7"/>
      <c r="AW710" s="7"/>
      <c r="AX710" s="7"/>
      <c r="AY710" s="7"/>
      <c r="AZ710" s="7"/>
      <c r="BA710" s="7"/>
      <c r="BB710" s="7"/>
      <c r="BC710" s="7"/>
      <c r="BD710" s="7"/>
      <c r="BE710" s="7"/>
      <c r="BF710" s="7"/>
      <c r="BG710" s="7"/>
      <c r="BH710" s="7"/>
      <c r="BI710" s="7"/>
      <c r="BJ710" s="7"/>
      <c r="BK710" s="7"/>
      <c r="BL710" s="7"/>
      <c r="BM710" s="7"/>
      <c r="BN710" s="7"/>
      <c r="BO710" s="7"/>
      <c r="BP710" s="7"/>
      <c r="BQ710" s="7"/>
      <c r="BR710" s="7"/>
      <c r="BS710" s="7"/>
      <c r="BT710" s="7"/>
      <c r="BU710" s="7"/>
      <c r="BV710" s="7"/>
      <c r="BW710" s="7"/>
      <c r="BX710" s="7"/>
      <c r="BY710" s="7"/>
      <c r="BZ710" s="7"/>
    </row>
    <row r="711" ht="16.5" customHeight="1">
      <c r="AT711" s="7"/>
      <c r="AU711" s="7"/>
      <c r="AV711" s="7"/>
      <c r="AW711" s="7"/>
      <c r="AX711" s="7"/>
      <c r="AY711" s="7"/>
      <c r="AZ711" s="7"/>
      <c r="BA711" s="7"/>
      <c r="BB711" s="7"/>
      <c r="BC711" s="7"/>
      <c r="BD711" s="7"/>
      <c r="BE711" s="7"/>
      <c r="BF711" s="7"/>
      <c r="BG711" s="7"/>
      <c r="BH711" s="7"/>
      <c r="BI711" s="7"/>
      <c r="BJ711" s="7"/>
      <c r="BK711" s="7"/>
      <c r="BL711" s="7"/>
      <c r="BM711" s="7"/>
      <c r="BN711" s="7"/>
      <c r="BO711" s="7"/>
      <c r="BP711" s="7"/>
      <c r="BQ711" s="7"/>
      <c r="BR711" s="7"/>
      <c r="BS711" s="7"/>
      <c r="BT711" s="7"/>
      <c r="BU711" s="7"/>
      <c r="BV711" s="7"/>
      <c r="BW711" s="7"/>
      <c r="BX711" s="7"/>
      <c r="BY711" s="7"/>
      <c r="BZ711" s="7"/>
    </row>
    <row r="712" ht="16.5" customHeight="1">
      <c r="AT712" s="7"/>
      <c r="AU712" s="7"/>
      <c r="AV712" s="7"/>
      <c r="AW712" s="7"/>
      <c r="AX712" s="7"/>
      <c r="AY712" s="7"/>
      <c r="AZ712" s="7"/>
      <c r="BA712" s="7"/>
      <c r="BB712" s="7"/>
      <c r="BC712" s="7"/>
      <c r="BD712" s="7"/>
      <c r="BE712" s="7"/>
      <c r="BF712" s="7"/>
      <c r="BG712" s="7"/>
      <c r="BH712" s="7"/>
      <c r="BI712" s="7"/>
      <c r="BJ712" s="7"/>
      <c r="BK712" s="7"/>
      <c r="BL712" s="7"/>
      <c r="BM712" s="7"/>
      <c r="BN712" s="7"/>
      <c r="BO712" s="7"/>
      <c r="BP712" s="7"/>
      <c r="BQ712" s="7"/>
      <c r="BR712" s="7"/>
      <c r="BS712" s="7"/>
      <c r="BT712" s="7"/>
      <c r="BU712" s="7"/>
      <c r="BV712" s="7"/>
      <c r="BW712" s="7"/>
      <c r="BX712" s="7"/>
      <c r="BY712" s="7"/>
      <c r="BZ712" s="7"/>
    </row>
    <row r="713" ht="16.5" customHeight="1">
      <c r="AT713" s="7"/>
      <c r="AU713" s="7"/>
      <c r="AV713" s="7"/>
      <c r="AW713" s="7"/>
      <c r="AX713" s="7"/>
      <c r="AY713" s="7"/>
      <c r="AZ713" s="7"/>
      <c r="BA713" s="7"/>
      <c r="BB713" s="7"/>
      <c r="BC713" s="7"/>
      <c r="BD713" s="7"/>
      <c r="BE713" s="7"/>
      <c r="BF713" s="7"/>
      <c r="BG713" s="7"/>
      <c r="BH713" s="7"/>
      <c r="BI713" s="7"/>
      <c r="BJ713" s="7"/>
      <c r="BK713" s="7"/>
      <c r="BL713" s="7"/>
      <c r="BM713" s="7"/>
      <c r="BN713" s="7"/>
      <c r="BO713" s="7"/>
      <c r="BP713" s="7"/>
      <c r="BQ713" s="7"/>
      <c r="BR713" s="7"/>
      <c r="BS713" s="7"/>
      <c r="BT713" s="7"/>
      <c r="BU713" s="7"/>
      <c r="BV713" s="7"/>
      <c r="BW713" s="7"/>
      <c r="BX713" s="7"/>
      <c r="BY713" s="7"/>
      <c r="BZ713" s="7"/>
    </row>
    <row r="714" ht="16.5" customHeight="1">
      <c r="AT714" s="7"/>
      <c r="AU714" s="7"/>
      <c r="AV714" s="7"/>
      <c r="AW714" s="7"/>
      <c r="AX714" s="7"/>
      <c r="AY714" s="7"/>
      <c r="AZ714" s="7"/>
      <c r="BA714" s="7"/>
      <c r="BB714" s="7"/>
      <c r="BC714" s="7"/>
      <c r="BD714" s="7"/>
      <c r="BE714" s="7"/>
      <c r="BF714" s="7"/>
      <c r="BG714" s="7"/>
      <c r="BH714" s="7"/>
      <c r="BI714" s="7"/>
      <c r="BJ714" s="7"/>
      <c r="BK714" s="7"/>
      <c r="BL714" s="7"/>
      <c r="BM714" s="7"/>
      <c r="BN714" s="7"/>
      <c r="BO714" s="7"/>
      <c r="BP714" s="7"/>
      <c r="BQ714" s="7"/>
      <c r="BR714" s="7"/>
      <c r="BS714" s="7"/>
      <c r="BT714" s="7"/>
      <c r="BU714" s="7"/>
      <c r="BV714" s="7"/>
      <c r="BW714" s="7"/>
      <c r="BX714" s="7"/>
      <c r="BY714" s="7"/>
      <c r="BZ714" s="7"/>
    </row>
    <row r="715" ht="16.5" customHeight="1">
      <c r="AT715" s="7"/>
      <c r="AU715" s="7"/>
      <c r="AV715" s="7"/>
      <c r="AW715" s="7"/>
      <c r="AX715" s="7"/>
      <c r="AY715" s="7"/>
      <c r="AZ715" s="7"/>
      <c r="BA715" s="7"/>
      <c r="BB715" s="7"/>
      <c r="BC715" s="7"/>
      <c r="BD715" s="7"/>
      <c r="BE715" s="7"/>
      <c r="BF715" s="7"/>
      <c r="BG715" s="7"/>
      <c r="BH715" s="7"/>
      <c r="BI715" s="7"/>
      <c r="BJ715" s="7"/>
      <c r="BK715" s="7"/>
      <c r="BL715" s="7"/>
      <c r="BM715" s="7"/>
      <c r="BN715" s="7"/>
      <c r="BO715" s="7"/>
      <c r="BP715" s="7"/>
      <c r="BQ715" s="7"/>
      <c r="BR715" s="7"/>
      <c r="BS715" s="7"/>
      <c r="BT715" s="7"/>
      <c r="BU715" s="7"/>
      <c r="BV715" s="7"/>
      <c r="BW715" s="7"/>
      <c r="BX715" s="7"/>
      <c r="BY715" s="7"/>
      <c r="BZ715" s="7"/>
    </row>
    <row r="716" ht="16.5" customHeight="1">
      <c r="AT716" s="7"/>
      <c r="AU716" s="7"/>
      <c r="AV716" s="7"/>
      <c r="AW716" s="7"/>
      <c r="AX716" s="7"/>
      <c r="AY716" s="7"/>
      <c r="AZ716" s="7"/>
      <c r="BA716" s="7"/>
      <c r="BB716" s="7"/>
      <c r="BC716" s="7"/>
      <c r="BD716" s="7"/>
      <c r="BE716" s="7"/>
      <c r="BF716" s="7"/>
      <c r="BG716" s="7"/>
      <c r="BH716" s="7"/>
      <c r="BI716" s="7"/>
      <c r="BJ716" s="7"/>
      <c r="BK716" s="7"/>
      <c r="BL716" s="7"/>
      <c r="BM716" s="7"/>
      <c r="BN716" s="7"/>
      <c r="BO716" s="7"/>
      <c r="BP716" s="7"/>
      <c r="BQ716" s="7"/>
      <c r="BR716" s="7"/>
      <c r="BS716" s="7"/>
      <c r="BT716" s="7"/>
      <c r="BU716" s="7"/>
      <c r="BV716" s="7"/>
      <c r="BW716" s="7"/>
      <c r="BX716" s="7"/>
      <c r="BY716" s="7"/>
      <c r="BZ716" s="7"/>
    </row>
    <row r="717" ht="16.5" customHeight="1">
      <c r="AT717" s="7"/>
      <c r="AU717" s="7"/>
      <c r="AV717" s="7"/>
      <c r="AW717" s="7"/>
      <c r="AX717" s="7"/>
      <c r="AY717" s="7"/>
      <c r="AZ717" s="7"/>
      <c r="BA717" s="7"/>
      <c r="BB717" s="7"/>
      <c r="BC717" s="7"/>
      <c r="BD717" s="7"/>
      <c r="BE717" s="7"/>
      <c r="BF717" s="7"/>
      <c r="BG717" s="7"/>
      <c r="BH717" s="7"/>
      <c r="BI717" s="7"/>
      <c r="BJ717" s="7"/>
      <c r="BK717" s="7"/>
      <c r="BL717" s="7"/>
      <c r="BM717" s="7"/>
      <c r="BN717" s="7"/>
      <c r="BO717" s="7"/>
      <c r="BP717" s="7"/>
      <c r="BQ717" s="7"/>
      <c r="BR717" s="7"/>
      <c r="BS717" s="7"/>
      <c r="BT717" s="7"/>
      <c r="BU717" s="7"/>
      <c r="BV717" s="7"/>
      <c r="BW717" s="7"/>
      <c r="BX717" s="7"/>
      <c r="BY717" s="7"/>
      <c r="BZ717" s="7"/>
    </row>
    <row r="718" ht="16.5" customHeight="1">
      <c r="AT718" s="7"/>
      <c r="AU718" s="7"/>
      <c r="AV718" s="7"/>
      <c r="AW718" s="7"/>
      <c r="AX718" s="7"/>
      <c r="AY718" s="7"/>
      <c r="AZ718" s="7"/>
      <c r="BA718" s="7"/>
      <c r="BB718" s="7"/>
      <c r="BC718" s="7"/>
      <c r="BD718" s="7"/>
      <c r="BE718" s="7"/>
      <c r="BF718" s="7"/>
      <c r="BG718" s="7"/>
      <c r="BH718" s="7"/>
      <c r="BI718" s="7"/>
      <c r="BJ718" s="7"/>
      <c r="BK718" s="7"/>
      <c r="BL718" s="7"/>
      <c r="BM718" s="7"/>
      <c r="BN718" s="7"/>
      <c r="BO718" s="7"/>
      <c r="BP718" s="7"/>
      <c r="BQ718" s="7"/>
      <c r="BR718" s="7"/>
      <c r="BS718" s="7"/>
      <c r="BT718" s="7"/>
      <c r="BU718" s="7"/>
      <c r="BV718" s="7"/>
      <c r="BW718" s="7"/>
      <c r="BX718" s="7"/>
      <c r="BY718" s="7"/>
      <c r="BZ718" s="7"/>
    </row>
    <row r="719" ht="16.5" customHeight="1">
      <c r="AT719" s="7"/>
      <c r="AU719" s="7"/>
      <c r="AV719" s="7"/>
      <c r="AW719" s="7"/>
      <c r="AX719" s="7"/>
      <c r="AY719" s="7"/>
      <c r="AZ719" s="7"/>
      <c r="BA719" s="7"/>
      <c r="BB719" s="7"/>
      <c r="BC719" s="7"/>
      <c r="BD719" s="7"/>
      <c r="BE719" s="7"/>
      <c r="BF719" s="7"/>
      <c r="BG719" s="7"/>
      <c r="BH719" s="7"/>
      <c r="BI719" s="7"/>
      <c r="BJ719" s="7"/>
      <c r="BK719" s="7"/>
      <c r="BL719" s="7"/>
      <c r="BM719" s="7"/>
      <c r="BN719" s="7"/>
      <c r="BO719" s="7"/>
      <c r="BP719" s="7"/>
      <c r="BQ719" s="7"/>
      <c r="BR719" s="7"/>
      <c r="BS719" s="7"/>
      <c r="BT719" s="7"/>
      <c r="BU719" s="7"/>
      <c r="BV719" s="7"/>
      <c r="BW719" s="7"/>
      <c r="BX719" s="7"/>
      <c r="BY719" s="7"/>
      <c r="BZ719" s="7"/>
    </row>
    <row r="720" ht="16.5" customHeight="1">
      <c r="AT720" s="7"/>
      <c r="AU720" s="7"/>
      <c r="AV720" s="7"/>
      <c r="AW720" s="7"/>
      <c r="AX720" s="7"/>
      <c r="AY720" s="7"/>
      <c r="AZ720" s="7"/>
      <c r="BA720" s="7"/>
      <c r="BB720" s="7"/>
      <c r="BC720" s="7"/>
      <c r="BD720" s="7"/>
      <c r="BE720" s="7"/>
      <c r="BF720" s="7"/>
      <c r="BG720" s="7"/>
      <c r="BH720" s="7"/>
      <c r="BI720" s="7"/>
      <c r="BJ720" s="7"/>
      <c r="BK720" s="7"/>
      <c r="BL720" s="7"/>
      <c r="BM720" s="7"/>
      <c r="BN720" s="7"/>
      <c r="BO720" s="7"/>
      <c r="BP720" s="7"/>
      <c r="BQ720" s="7"/>
      <c r="BR720" s="7"/>
      <c r="BS720" s="7"/>
      <c r="BT720" s="7"/>
      <c r="BU720" s="7"/>
      <c r="BV720" s="7"/>
      <c r="BW720" s="7"/>
      <c r="BX720" s="7"/>
      <c r="BY720" s="7"/>
      <c r="BZ720" s="7"/>
    </row>
    <row r="721" ht="16.5" customHeight="1">
      <c r="AT721" s="7"/>
      <c r="AU721" s="7"/>
      <c r="AV721" s="7"/>
      <c r="AW721" s="7"/>
      <c r="AX721" s="7"/>
      <c r="AY721" s="7"/>
      <c r="AZ721" s="7"/>
      <c r="BA721" s="7"/>
      <c r="BB721" s="7"/>
      <c r="BC721" s="7"/>
      <c r="BD721" s="7"/>
      <c r="BE721" s="7"/>
      <c r="BF721" s="7"/>
      <c r="BG721" s="7"/>
      <c r="BH721" s="7"/>
      <c r="BI721" s="7"/>
      <c r="BJ721" s="7"/>
      <c r="BK721" s="7"/>
      <c r="BL721" s="7"/>
      <c r="BM721" s="7"/>
      <c r="BN721" s="7"/>
      <c r="BO721" s="7"/>
      <c r="BP721" s="7"/>
      <c r="BQ721" s="7"/>
      <c r="BR721" s="7"/>
      <c r="BS721" s="7"/>
      <c r="BT721" s="7"/>
      <c r="BU721" s="7"/>
      <c r="BV721" s="7"/>
      <c r="BW721" s="7"/>
      <c r="BX721" s="7"/>
      <c r="BY721" s="7"/>
      <c r="BZ721" s="7"/>
    </row>
    <row r="722" ht="16.5" customHeight="1">
      <c r="AT722" s="7"/>
      <c r="AU722" s="7"/>
      <c r="AV722" s="7"/>
      <c r="AW722" s="7"/>
      <c r="AX722" s="7"/>
      <c r="AY722" s="7"/>
      <c r="AZ722" s="7"/>
      <c r="BA722" s="7"/>
      <c r="BB722" s="7"/>
      <c r="BC722" s="7"/>
      <c r="BD722" s="7"/>
      <c r="BE722" s="7"/>
      <c r="BF722" s="7"/>
      <c r="BG722" s="7"/>
      <c r="BH722" s="7"/>
      <c r="BI722" s="7"/>
      <c r="BJ722" s="7"/>
      <c r="BK722" s="7"/>
      <c r="BL722" s="7"/>
      <c r="BM722" s="7"/>
      <c r="BN722" s="7"/>
      <c r="BO722" s="7"/>
      <c r="BP722" s="7"/>
      <c r="BQ722" s="7"/>
      <c r="BR722" s="7"/>
      <c r="BS722" s="7"/>
      <c r="BT722" s="7"/>
      <c r="BU722" s="7"/>
      <c r="BV722" s="7"/>
      <c r="BW722" s="7"/>
      <c r="BX722" s="7"/>
      <c r="BY722" s="7"/>
      <c r="BZ722" s="7"/>
    </row>
    <row r="723" ht="16.5" customHeight="1">
      <c r="AT723" s="7"/>
      <c r="AU723" s="7"/>
      <c r="AV723" s="7"/>
      <c r="AW723" s="7"/>
      <c r="AX723" s="7"/>
      <c r="AY723" s="7"/>
      <c r="AZ723" s="7"/>
      <c r="BA723" s="7"/>
      <c r="BB723" s="7"/>
      <c r="BC723" s="7"/>
      <c r="BD723" s="7"/>
      <c r="BE723" s="7"/>
      <c r="BF723" s="7"/>
      <c r="BG723" s="7"/>
      <c r="BH723" s="7"/>
      <c r="BI723" s="7"/>
      <c r="BJ723" s="7"/>
      <c r="BK723" s="7"/>
      <c r="BL723" s="7"/>
      <c r="BM723" s="7"/>
      <c r="BN723" s="7"/>
      <c r="BO723" s="7"/>
      <c r="BP723" s="7"/>
      <c r="BQ723" s="7"/>
      <c r="BR723" s="7"/>
      <c r="BS723" s="7"/>
      <c r="BT723" s="7"/>
      <c r="BU723" s="7"/>
      <c r="BV723" s="7"/>
      <c r="BW723" s="7"/>
      <c r="BX723" s="7"/>
      <c r="BY723" s="7"/>
      <c r="BZ723" s="7"/>
    </row>
    <row r="724" ht="16.5" customHeight="1">
      <c r="AT724" s="7"/>
      <c r="AU724" s="7"/>
      <c r="AV724" s="7"/>
      <c r="AW724" s="7"/>
      <c r="AX724" s="7"/>
      <c r="AY724" s="7"/>
      <c r="AZ724" s="7"/>
      <c r="BA724" s="7"/>
      <c r="BB724" s="7"/>
      <c r="BC724" s="7"/>
      <c r="BD724" s="7"/>
      <c r="BE724" s="7"/>
      <c r="BF724" s="7"/>
      <c r="BG724" s="7"/>
      <c r="BH724" s="7"/>
      <c r="BI724" s="7"/>
      <c r="BJ724" s="7"/>
      <c r="BK724" s="7"/>
      <c r="BL724" s="7"/>
      <c r="BM724" s="7"/>
      <c r="BN724" s="7"/>
      <c r="BO724" s="7"/>
      <c r="BP724" s="7"/>
      <c r="BQ724" s="7"/>
      <c r="BR724" s="7"/>
      <c r="BS724" s="7"/>
      <c r="BT724" s="7"/>
      <c r="BU724" s="7"/>
      <c r="BV724" s="7"/>
      <c r="BW724" s="7"/>
      <c r="BX724" s="7"/>
      <c r="BY724" s="7"/>
      <c r="BZ724" s="7"/>
    </row>
    <row r="725" ht="16.5" customHeight="1">
      <c r="AT725" s="7"/>
      <c r="AU725" s="7"/>
      <c r="AV725" s="7"/>
      <c r="AW725" s="7"/>
      <c r="AX725" s="7"/>
      <c r="AY725" s="7"/>
      <c r="AZ725" s="7"/>
      <c r="BA725" s="7"/>
      <c r="BB725" s="7"/>
      <c r="BC725" s="7"/>
      <c r="BD725" s="7"/>
      <c r="BE725" s="7"/>
      <c r="BF725" s="7"/>
      <c r="BG725" s="7"/>
      <c r="BH725" s="7"/>
      <c r="BI725" s="7"/>
      <c r="BJ725" s="7"/>
      <c r="BK725" s="7"/>
      <c r="BL725" s="7"/>
      <c r="BM725" s="7"/>
      <c r="BN725" s="7"/>
      <c r="BO725" s="7"/>
      <c r="BP725" s="7"/>
      <c r="BQ725" s="7"/>
      <c r="BR725" s="7"/>
      <c r="BS725" s="7"/>
      <c r="BT725" s="7"/>
      <c r="BU725" s="7"/>
      <c r="BV725" s="7"/>
      <c r="BW725" s="7"/>
      <c r="BX725" s="7"/>
      <c r="BY725" s="7"/>
      <c r="BZ725" s="7"/>
    </row>
    <row r="726" ht="16.5" customHeight="1">
      <c r="AT726" s="7"/>
      <c r="AU726" s="7"/>
      <c r="AV726" s="7"/>
      <c r="AW726" s="7"/>
      <c r="AX726" s="7"/>
      <c r="AY726" s="7"/>
      <c r="AZ726" s="7"/>
      <c r="BA726" s="7"/>
      <c r="BB726" s="7"/>
      <c r="BC726" s="7"/>
      <c r="BD726" s="7"/>
      <c r="BE726" s="7"/>
      <c r="BF726" s="7"/>
      <c r="BG726" s="7"/>
      <c r="BH726" s="7"/>
      <c r="BI726" s="7"/>
      <c r="BJ726" s="7"/>
      <c r="BK726" s="7"/>
      <c r="BL726" s="7"/>
      <c r="BM726" s="7"/>
      <c r="BN726" s="7"/>
      <c r="BO726" s="7"/>
      <c r="BP726" s="7"/>
      <c r="BQ726" s="7"/>
      <c r="BR726" s="7"/>
      <c r="BS726" s="7"/>
      <c r="BT726" s="7"/>
      <c r="BU726" s="7"/>
      <c r="BV726" s="7"/>
      <c r="BW726" s="7"/>
      <c r="BX726" s="7"/>
      <c r="BY726" s="7"/>
      <c r="BZ726" s="7"/>
    </row>
    <row r="727" ht="16.5" customHeight="1">
      <c r="AT727" s="7"/>
      <c r="AU727" s="7"/>
      <c r="AV727" s="7"/>
      <c r="AW727" s="7"/>
      <c r="AX727" s="7"/>
      <c r="AY727" s="7"/>
      <c r="AZ727" s="7"/>
      <c r="BA727" s="7"/>
      <c r="BB727" s="7"/>
      <c r="BC727" s="7"/>
      <c r="BD727" s="7"/>
      <c r="BE727" s="7"/>
      <c r="BF727" s="7"/>
      <c r="BG727" s="7"/>
      <c r="BH727" s="7"/>
      <c r="BI727" s="7"/>
      <c r="BJ727" s="7"/>
      <c r="BK727" s="7"/>
      <c r="BL727" s="7"/>
      <c r="BM727" s="7"/>
      <c r="BN727" s="7"/>
      <c r="BO727" s="7"/>
      <c r="BP727" s="7"/>
      <c r="BQ727" s="7"/>
      <c r="BR727" s="7"/>
      <c r="BS727" s="7"/>
      <c r="BT727" s="7"/>
      <c r="BU727" s="7"/>
      <c r="BV727" s="7"/>
      <c r="BW727" s="7"/>
      <c r="BX727" s="7"/>
      <c r="BY727" s="7"/>
      <c r="BZ727" s="7"/>
    </row>
    <row r="728" ht="16.5" customHeight="1">
      <c r="AT728" s="7"/>
      <c r="AU728" s="7"/>
      <c r="AV728" s="7"/>
      <c r="AW728" s="7"/>
      <c r="AX728" s="7"/>
      <c r="AY728" s="7"/>
      <c r="AZ728" s="7"/>
      <c r="BA728" s="7"/>
      <c r="BB728" s="7"/>
      <c r="BC728" s="7"/>
      <c r="BD728" s="7"/>
      <c r="BE728" s="7"/>
      <c r="BF728" s="7"/>
      <c r="BG728" s="7"/>
      <c r="BH728" s="7"/>
      <c r="BI728" s="7"/>
      <c r="BJ728" s="7"/>
      <c r="BK728" s="7"/>
      <c r="BL728" s="7"/>
      <c r="BM728" s="7"/>
      <c r="BN728" s="7"/>
      <c r="BO728" s="7"/>
      <c r="BP728" s="7"/>
      <c r="BQ728" s="7"/>
      <c r="BR728" s="7"/>
      <c r="BS728" s="7"/>
      <c r="BT728" s="7"/>
      <c r="BU728" s="7"/>
      <c r="BV728" s="7"/>
      <c r="BW728" s="7"/>
      <c r="BX728" s="7"/>
      <c r="BY728" s="7"/>
      <c r="BZ728" s="7"/>
    </row>
    <row r="729" ht="16.5" customHeight="1">
      <c r="AT729" s="7"/>
      <c r="AU729" s="7"/>
      <c r="AV729" s="7"/>
      <c r="AW729" s="7"/>
      <c r="AX729" s="7"/>
      <c r="AY729" s="7"/>
      <c r="AZ729" s="7"/>
      <c r="BA729" s="7"/>
      <c r="BB729" s="7"/>
      <c r="BC729" s="7"/>
      <c r="BD729" s="7"/>
      <c r="BE729" s="7"/>
      <c r="BF729" s="7"/>
      <c r="BG729" s="7"/>
      <c r="BH729" s="7"/>
      <c r="BI729" s="7"/>
      <c r="BJ729" s="7"/>
      <c r="BK729" s="7"/>
      <c r="BL729" s="7"/>
      <c r="BM729" s="7"/>
      <c r="BN729" s="7"/>
      <c r="BO729" s="7"/>
      <c r="BP729" s="7"/>
      <c r="BQ729" s="7"/>
      <c r="BR729" s="7"/>
      <c r="BS729" s="7"/>
      <c r="BT729" s="7"/>
      <c r="BU729" s="7"/>
      <c r="BV729" s="7"/>
      <c r="BW729" s="7"/>
      <c r="BX729" s="7"/>
      <c r="BY729" s="7"/>
      <c r="BZ729" s="7"/>
    </row>
    <row r="730" ht="16.5" customHeight="1">
      <c r="AT730" s="7"/>
      <c r="AU730" s="7"/>
      <c r="AV730" s="7"/>
      <c r="AW730" s="7"/>
      <c r="AX730" s="7"/>
      <c r="AY730" s="7"/>
      <c r="AZ730" s="7"/>
      <c r="BA730" s="7"/>
      <c r="BB730" s="7"/>
      <c r="BC730" s="7"/>
      <c r="BD730" s="7"/>
      <c r="BE730" s="7"/>
      <c r="BF730" s="7"/>
      <c r="BG730" s="7"/>
      <c r="BH730" s="7"/>
      <c r="BI730" s="7"/>
      <c r="BJ730" s="7"/>
      <c r="BK730" s="7"/>
      <c r="BL730" s="7"/>
      <c r="BM730" s="7"/>
      <c r="BN730" s="7"/>
      <c r="BO730" s="7"/>
      <c r="BP730" s="7"/>
      <c r="BQ730" s="7"/>
      <c r="BR730" s="7"/>
      <c r="BS730" s="7"/>
      <c r="BT730" s="7"/>
      <c r="BU730" s="7"/>
      <c r="BV730" s="7"/>
      <c r="BW730" s="7"/>
      <c r="BX730" s="7"/>
      <c r="BY730" s="7"/>
      <c r="BZ730" s="7"/>
    </row>
    <row r="731" ht="16.5" customHeight="1">
      <c r="AT731" s="7"/>
      <c r="AU731" s="7"/>
      <c r="AV731" s="7"/>
      <c r="AW731" s="7"/>
      <c r="AX731" s="7"/>
      <c r="AY731" s="7"/>
      <c r="AZ731" s="7"/>
      <c r="BA731" s="7"/>
      <c r="BB731" s="7"/>
      <c r="BC731" s="7"/>
      <c r="BD731" s="7"/>
      <c r="BE731" s="7"/>
      <c r="BF731" s="7"/>
      <c r="BG731" s="7"/>
      <c r="BH731" s="7"/>
      <c r="BI731" s="7"/>
      <c r="BJ731" s="7"/>
      <c r="BK731" s="7"/>
      <c r="BL731" s="7"/>
      <c r="BM731" s="7"/>
      <c r="BN731" s="7"/>
      <c r="BO731" s="7"/>
      <c r="BP731" s="7"/>
      <c r="BQ731" s="7"/>
      <c r="BR731" s="7"/>
      <c r="BS731" s="7"/>
      <c r="BT731" s="7"/>
      <c r="BU731" s="7"/>
      <c r="BV731" s="7"/>
      <c r="BW731" s="7"/>
      <c r="BX731" s="7"/>
      <c r="BY731" s="7"/>
      <c r="BZ731" s="7"/>
    </row>
    <row r="732" ht="16.5" customHeight="1">
      <c r="AT732" s="7"/>
      <c r="AU732" s="7"/>
      <c r="AV732" s="7"/>
      <c r="AW732" s="7"/>
      <c r="AX732" s="7"/>
      <c r="AY732" s="7"/>
      <c r="AZ732" s="7"/>
      <c r="BA732" s="7"/>
      <c r="BB732" s="7"/>
      <c r="BC732" s="7"/>
      <c r="BD732" s="7"/>
      <c r="BE732" s="7"/>
      <c r="BF732" s="7"/>
      <c r="BG732" s="7"/>
      <c r="BH732" s="7"/>
      <c r="BI732" s="7"/>
      <c r="BJ732" s="7"/>
      <c r="BK732" s="7"/>
      <c r="BL732" s="7"/>
      <c r="BM732" s="7"/>
      <c r="BN732" s="7"/>
      <c r="BO732" s="7"/>
      <c r="BP732" s="7"/>
      <c r="BQ732" s="7"/>
      <c r="BR732" s="7"/>
      <c r="BS732" s="7"/>
      <c r="BT732" s="7"/>
      <c r="BU732" s="7"/>
      <c r="BV732" s="7"/>
      <c r="BW732" s="7"/>
      <c r="BX732" s="7"/>
      <c r="BY732" s="7"/>
      <c r="BZ732" s="7"/>
    </row>
    <row r="733" ht="16.5" customHeight="1">
      <c r="AT733" s="7"/>
      <c r="AU733" s="7"/>
      <c r="AV733" s="7"/>
      <c r="AW733" s="7"/>
      <c r="AX733" s="7"/>
      <c r="AY733" s="7"/>
      <c r="AZ733" s="7"/>
      <c r="BA733" s="7"/>
      <c r="BB733" s="7"/>
      <c r="BC733" s="7"/>
      <c r="BD733" s="7"/>
      <c r="BE733" s="7"/>
      <c r="BF733" s="7"/>
      <c r="BG733" s="7"/>
      <c r="BH733" s="7"/>
      <c r="BI733" s="7"/>
      <c r="BJ733" s="7"/>
      <c r="BK733" s="7"/>
      <c r="BL733" s="7"/>
      <c r="BM733" s="7"/>
      <c r="BN733" s="7"/>
      <c r="BO733" s="7"/>
      <c r="BP733" s="7"/>
      <c r="BQ733" s="7"/>
      <c r="BR733" s="7"/>
      <c r="BS733" s="7"/>
      <c r="BT733" s="7"/>
      <c r="BU733" s="7"/>
      <c r="BV733" s="7"/>
      <c r="BW733" s="7"/>
      <c r="BX733" s="7"/>
      <c r="BY733" s="7"/>
      <c r="BZ733" s="7"/>
    </row>
    <row r="734" ht="16.5" customHeight="1">
      <c r="AT734" s="7"/>
      <c r="AU734" s="7"/>
      <c r="AV734" s="7"/>
      <c r="AW734" s="7"/>
      <c r="AX734" s="7"/>
      <c r="AY734" s="7"/>
      <c r="AZ734" s="7"/>
      <c r="BA734" s="7"/>
      <c r="BB734" s="7"/>
      <c r="BC734" s="7"/>
      <c r="BD734" s="7"/>
      <c r="BE734" s="7"/>
      <c r="BF734" s="7"/>
      <c r="BG734" s="7"/>
      <c r="BH734" s="7"/>
      <c r="BI734" s="7"/>
      <c r="BJ734" s="7"/>
      <c r="BK734" s="7"/>
      <c r="BL734" s="7"/>
      <c r="BM734" s="7"/>
      <c r="BN734" s="7"/>
      <c r="BO734" s="7"/>
      <c r="BP734" s="7"/>
      <c r="BQ734" s="7"/>
      <c r="BR734" s="7"/>
      <c r="BS734" s="7"/>
      <c r="BT734" s="7"/>
      <c r="BU734" s="7"/>
      <c r="BV734" s="7"/>
      <c r="BW734" s="7"/>
      <c r="BX734" s="7"/>
      <c r="BY734" s="7"/>
      <c r="BZ734" s="7"/>
    </row>
    <row r="735" ht="16.5" customHeight="1">
      <c r="AT735" s="7"/>
      <c r="AU735" s="7"/>
      <c r="AV735" s="7"/>
      <c r="AW735" s="7"/>
      <c r="AX735" s="7"/>
      <c r="AY735" s="7"/>
      <c r="AZ735" s="7"/>
      <c r="BA735" s="7"/>
      <c r="BB735" s="7"/>
      <c r="BC735" s="7"/>
      <c r="BD735" s="7"/>
      <c r="BE735" s="7"/>
      <c r="BF735" s="7"/>
      <c r="BG735" s="7"/>
      <c r="BH735" s="7"/>
      <c r="BI735" s="7"/>
      <c r="BJ735" s="7"/>
      <c r="BK735" s="7"/>
      <c r="BL735" s="7"/>
      <c r="BM735" s="7"/>
      <c r="BN735" s="7"/>
      <c r="BO735" s="7"/>
      <c r="BP735" s="7"/>
      <c r="BQ735" s="7"/>
      <c r="BR735" s="7"/>
      <c r="BS735" s="7"/>
      <c r="BT735" s="7"/>
      <c r="BU735" s="7"/>
      <c r="BV735" s="7"/>
      <c r="BW735" s="7"/>
      <c r="BX735" s="7"/>
      <c r="BY735" s="7"/>
      <c r="BZ735" s="7"/>
    </row>
    <row r="736" ht="16.5" customHeight="1">
      <c r="AT736" s="7"/>
      <c r="AU736" s="7"/>
      <c r="AV736" s="7"/>
      <c r="AW736" s="7"/>
      <c r="AX736" s="7"/>
      <c r="AY736" s="7"/>
      <c r="AZ736" s="7"/>
      <c r="BA736" s="7"/>
      <c r="BB736" s="7"/>
      <c r="BC736" s="7"/>
      <c r="BD736" s="7"/>
      <c r="BE736" s="7"/>
      <c r="BF736" s="7"/>
      <c r="BG736" s="7"/>
      <c r="BH736" s="7"/>
      <c r="BI736" s="7"/>
      <c r="BJ736" s="7"/>
      <c r="BK736" s="7"/>
      <c r="BL736" s="7"/>
      <c r="BM736" s="7"/>
      <c r="BN736" s="7"/>
      <c r="BO736" s="7"/>
      <c r="BP736" s="7"/>
      <c r="BQ736" s="7"/>
      <c r="BR736" s="7"/>
      <c r="BS736" s="7"/>
      <c r="BT736" s="7"/>
      <c r="BU736" s="7"/>
      <c r="BV736" s="7"/>
      <c r="BW736" s="7"/>
      <c r="BX736" s="7"/>
      <c r="BY736" s="7"/>
      <c r="BZ736" s="7"/>
    </row>
    <row r="737" ht="16.5" customHeight="1">
      <c r="AT737" s="7"/>
      <c r="AU737" s="7"/>
      <c r="AV737" s="7"/>
      <c r="AW737" s="7"/>
      <c r="AX737" s="7"/>
      <c r="AY737" s="7"/>
      <c r="AZ737" s="7"/>
      <c r="BA737" s="7"/>
      <c r="BB737" s="7"/>
      <c r="BC737" s="7"/>
      <c r="BD737" s="7"/>
      <c r="BE737" s="7"/>
      <c r="BF737" s="7"/>
      <c r="BG737" s="7"/>
      <c r="BH737" s="7"/>
      <c r="BI737" s="7"/>
      <c r="BJ737" s="7"/>
      <c r="BK737" s="7"/>
      <c r="BL737" s="7"/>
      <c r="BM737" s="7"/>
      <c r="BN737" s="7"/>
      <c r="BO737" s="7"/>
      <c r="BP737" s="7"/>
      <c r="BQ737" s="7"/>
      <c r="BR737" s="7"/>
      <c r="BS737" s="7"/>
      <c r="BT737" s="7"/>
      <c r="BU737" s="7"/>
      <c r="BV737" s="7"/>
      <c r="BW737" s="7"/>
      <c r="BX737" s="7"/>
      <c r="BY737" s="7"/>
      <c r="BZ737" s="7"/>
    </row>
    <row r="738" ht="16.5" customHeight="1">
      <c r="AT738" s="7"/>
      <c r="AU738" s="7"/>
      <c r="AV738" s="7"/>
      <c r="AW738" s="7"/>
      <c r="AX738" s="7"/>
      <c r="AY738" s="7"/>
      <c r="AZ738" s="7"/>
      <c r="BA738" s="7"/>
      <c r="BB738" s="7"/>
      <c r="BC738" s="7"/>
      <c r="BD738" s="7"/>
      <c r="BE738" s="7"/>
      <c r="BF738" s="7"/>
      <c r="BG738" s="7"/>
      <c r="BH738" s="7"/>
      <c r="BI738" s="7"/>
      <c r="BJ738" s="7"/>
      <c r="BK738" s="7"/>
      <c r="BL738" s="7"/>
      <c r="BM738" s="7"/>
      <c r="BN738" s="7"/>
      <c r="BO738" s="7"/>
      <c r="BP738" s="7"/>
      <c r="BQ738" s="7"/>
      <c r="BR738" s="7"/>
      <c r="BS738" s="7"/>
      <c r="BT738" s="7"/>
      <c r="BU738" s="7"/>
      <c r="BV738" s="7"/>
      <c r="BW738" s="7"/>
      <c r="BX738" s="7"/>
      <c r="BY738" s="7"/>
      <c r="BZ738" s="7"/>
    </row>
    <row r="739" ht="16.5" customHeight="1">
      <c r="AT739" s="7"/>
      <c r="AU739" s="7"/>
      <c r="AV739" s="7"/>
      <c r="AW739" s="7"/>
      <c r="AX739" s="7"/>
      <c r="AY739" s="7"/>
      <c r="AZ739" s="7"/>
      <c r="BA739" s="7"/>
      <c r="BB739" s="7"/>
      <c r="BC739" s="7"/>
      <c r="BD739" s="7"/>
      <c r="BE739" s="7"/>
      <c r="BF739" s="7"/>
      <c r="BG739" s="7"/>
      <c r="BH739" s="7"/>
      <c r="BI739" s="7"/>
      <c r="BJ739" s="7"/>
      <c r="BK739" s="7"/>
      <c r="BL739" s="7"/>
      <c r="BM739" s="7"/>
      <c r="BN739" s="7"/>
      <c r="BO739" s="7"/>
      <c r="BP739" s="7"/>
      <c r="BQ739" s="7"/>
      <c r="BR739" s="7"/>
      <c r="BS739" s="7"/>
      <c r="BT739" s="7"/>
      <c r="BU739" s="7"/>
      <c r="BV739" s="7"/>
      <c r="BW739" s="7"/>
      <c r="BX739" s="7"/>
      <c r="BY739" s="7"/>
      <c r="BZ739" s="7"/>
    </row>
    <row r="740" ht="16.5" customHeight="1">
      <c r="AT740" s="7"/>
      <c r="AU740" s="7"/>
      <c r="AV740" s="7"/>
      <c r="AW740" s="7"/>
      <c r="AX740" s="7"/>
      <c r="AY740" s="7"/>
      <c r="AZ740" s="7"/>
      <c r="BA740" s="7"/>
      <c r="BB740" s="7"/>
      <c r="BC740" s="7"/>
      <c r="BD740" s="7"/>
      <c r="BE740" s="7"/>
      <c r="BF740" s="7"/>
      <c r="BG740" s="7"/>
      <c r="BH740" s="7"/>
      <c r="BI740" s="7"/>
      <c r="BJ740" s="7"/>
      <c r="BK740" s="7"/>
      <c r="BL740" s="7"/>
      <c r="BM740" s="7"/>
      <c r="BN740" s="7"/>
      <c r="BO740" s="7"/>
      <c r="BP740" s="7"/>
      <c r="BQ740" s="7"/>
      <c r="BR740" s="7"/>
      <c r="BS740" s="7"/>
      <c r="BT740" s="7"/>
      <c r="BU740" s="7"/>
      <c r="BV740" s="7"/>
      <c r="BW740" s="7"/>
      <c r="BX740" s="7"/>
      <c r="BY740" s="7"/>
      <c r="BZ740" s="7"/>
    </row>
    <row r="741" ht="16.5" customHeight="1">
      <c r="AT741" s="7"/>
      <c r="AU741" s="7"/>
      <c r="AV741" s="7"/>
      <c r="AW741" s="7"/>
      <c r="AX741" s="7"/>
      <c r="AY741" s="7"/>
      <c r="AZ741" s="7"/>
      <c r="BA741" s="7"/>
      <c r="BB741" s="7"/>
      <c r="BC741" s="7"/>
      <c r="BD741" s="7"/>
      <c r="BE741" s="7"/>
      <c r="BF741" s="7"/>
      <c r="BG741" s="7"/>
      <c r="BH741" s="7"/>
      <c r="BI741" s="7"/>
      <c r="BJ741" s="7"/>
      <c r="BK741" s="7"/>
      <c r="BL741" s="7"/>
      <c r="BM741" s="7"/>
      <c r="BN741" s="7"/>
      <c r="BO741" s="7"/>
      <c r="BP741" s="7"/>
      <c r="BQ741" s="7"/>
      <c r="BR741" s="7"/>
      <c r="BS741" s="7"/>
      <c r="BT741" s="7"/>
      <c r="BU741" s="7"/>
      <c r="BV741" s="7"/>
      <c r="BW741" s="7"/>
      <c r="BX741" s="7"/>
      <c r="BY741" s="7"/>
      <c r="BZ741" s="7"/>
    </row>
    <row r="742" ht="16.5" customHeight="1">
      <c r="AT742" s="7"/>
      <c r="AU742" s="7"/>
      <c r="AV742" s="7"/>
      <c r="AW742" s="7"/>
      <c r="AX742" s="7"/>
      <c r="AY742" s="7"/>
      <c r="AZ742" s="7"/>
      <c r="BA742" s="7"/>
      <c r="BB742" s="7"/>
      <c r="BC742" s="7"/>
      <c r="BD742" s="7"/>
      <c r="BE742" s="7"/>
      <c r="BF742" s="7"/>
      <c r="BG742" s="7"/>
      <c r="BH742" s="7"/>
      <c r="BI742" s="7"/>
      <c r="BJ742" s="7"/>
      <c r="BK742" s="7"/>
      <c r="BL742" s="7"/>
      <c r="BM742" s="7"/>
      <c r="BN742" s="7"/>
      <c r="BO742" s="7"/>
      <c r="BP742" s="7"/>
      <c r="BQ742" s="7"/>
      <c r="BR742" s="7"/>
      <c r="BS742" s="7"/>
      <c r="BT742" s="7"/>
      <c r="BU742" s="7"/>
      <c r="BV742" s="7"/>
      <c r="BW742" s="7"/>
      <c r="BX742" s="7"/>
      <c r="BY742" s="7"/>
      <c r="BZ742" s="7"/>
    </row>
    <row r="743" ht="16.5" customHeight="1">
      <c r="AT743" s="7"/>
      <c r="AU743" s="7"/>
      <c r="AV743" s="7"/>
      <c r="AW743" s="7"/>
      <c r="AX743" s="7"/>
      <c r="AY743" s="7"/>
      <c r="AZ743" s="7"/>
      <c r="BA743" s="7"/>
      <c r="BB743" s="7"/>
      <c r="BC743" s="7"/>
      <c r="BD743" s="7"/>
      <c r="BE743" s="7"/>
      <c r="BF743" s="7"/>
      <c r="BG743" s="7"/>
      <c r="BH743" s="7"/>
      <c r="BI743" s="7"/>
      <c r="BJ743" s="7"/>
      <c r="BK743" s="7"/>
      <c r="BL743" s="7"/>
      <c r="BM743" s="7"/>
      <c r="BN743" s="7"/>
      <c r="BO743" s="7"/>
      <c r="BP743" s="7"/>
      <c r="BQ743" s="7"/>
      <c r="BR743" s="7"/>
      <c r="BS743" s="7"/>
      <c r="BT743" s="7"/>
      <c r="BU743" s="7"/>
      <c r="BV743" s="7"/>
      <c r="BW743" s="7"/>
      <c r="BX743" s="7"/>
      <c r="BY743" s="7"/>
      <c r="BZ743" s="7"/>
    </row>
    <row r="744" ht="16.5" customHeight="1">
      <c r="AT744" s="7"/>
      <c r="AU744" s="7"/>
      <c r="AV744" s="7"/>
      <c r="AW744" s="7"/>
      <c r="AX744" s="7"/>
      <c r="AY744" s="7"/>
      <c r="AZ744" s="7"/>
      <c r="BA744" s="7"/>
      <c r="BB744" s="7"/>
      <c r="BC744" s="7"/>
      <c r="BD744" s="7"/>
      <c r="BE744" s="7"/>
      <c r="BF744" s="7"/>
      <c r="BG744" s="7"/>
      <c r="BH744" s="7"/>
      <c r="BI744" s="7"/>
      <c r="BJ744" s="7"/>
      <c r="BK744" s="7"/>
      <c r="BL744" s="7"/>
      <c r="BM744" s="7"/>
      <c r="BN744" s="7"/>
      <c r="BO744" s="7"/>
      <c r="BP744" s="7"/>
      <c r="BQ744" s="7"/>
      <c r="BR744" s="7"/>
      <c r="BS744" s="7"/>
      <c r="BT744" s="7"/>
      <c r="BU744" s="7"/>
      <c r="BV744" s="7"/>
      <c r="BW744" s="7"/>
      <c r="BX744" s="7"/>
      <c r="BY744" s="7"/>
      <c r="BZ744" s="7"/>
    </row>
    <row r="745" ht="16.5" customHeight="1">
      <c r="AT745" s="7"/>
      <c r="AU745" s="7"/>
      <c r="AV745" s="7"/>
      <c r="AW745" s="7"/>
      <c r="AX745" s="7"/>
      <c r="AY745" s="7"/>
      <c r="AZ745" s="7"/>
      <c r="BA745" s="7"/>
      <c r="BB745" s="7"/>
      <c r="BC745" s="7"/>
      <c r="BD745" s="7"/>
      <c r="BE745" s="7"/>
      <c r="BF745" s="7"/>
      <c r="BG745" s="7"/>
      <c r="BH745" s="7"/>
      <c r="BI745" s="7"/>
      <c r="BJ745" s="7"/>
      <c r="BK745" s="7"/>
      <c r="BL745" s="7"/>
      <c r="BM745" s="7"/>
      <c r="BN745" s="7"/>
      <c r="BO745" s="7"/>
      <c r="BP745" s="7"/>
      <c r="BQ745" s="7"/>
      <c r="BR745" s="7"/>
      <c r="BS745" s="7"/>
      <c r="BT745" s="7"/>
      <c r="BU745" s="7"/>
      <c r="BV745" s="7"/>
      <c r="BW745" s="7"/>
      <c r="BX745" s="7"/>
      <c r="BY745" s="7"/>
      <c r="BZ745" s="7"/>
    </row>
    <row r="746" ht="16.5" customHeight="1">
      <c r="AT746" s="7"/>
      <c r="AU746" s="7"/>
      <c r="AV746" s="7"/>
      <c r="AW746" s="7"/>
      <c r="AX746" s="7"/>
      <c r="AY746" s="7"/>
      <c r="AZ746" s="7"/>
      <c r="BA746" s="7"/>
      <c r="BB746" s="7"/>
      <c r="BC746" s="7"/>
      <c r="BD746" s="7"/>
      <c r="BE746" s="7"/>
      <c r="BF746" s="7"/>
      <c r="BG746" s="7"/>
      <c r="BH746" s="7"/>
      <c r="BI746" s="7"/>
      <c r="BJ746" s="7"/>
      <c r="BK746" s="7"/>
      <c r="BL746" s="7"/>
      <c r="BM746" s="7"/>
      <c r="BN746" s="7"/>
      <c r="BO746" s="7"/>
      <c r="BP746" s="7"/>
      <c r="BQ746" s="7"/>
      <c r="BR746" s="7"/>
      <c r="BS746" s="7"/>
      <c r="BT746" s="7"/>
      <c r="BU746" s="7"/>
      <c r="BV746" s="7"/>
      <c r="BW746" s="7"/>
      <c r="BX746" s="7"/>
      <c r="BY746" s="7"/>
      <c r="BZ746" s="7"/>
    </row>
    <row r="747" ht="16.5" customHeight="1">
      <c r="AT747" s="7"/>
      <c r="AU747" s="7"/>
      <c r="AV747" s="7"/>
      <c r="AW747" s="7"/>
      <c r="AX747" s="7"/>
      <c r="AY747" s="7"/>
      <c r="AZ747" s="7"/>
      <c r="BA747" s="7"/>
      <c r="BB747" s="7"/>
      <c r="BC747" s="7"/>
      <c r="BD747" s="7"/>
      <c r="BE747" s="7"/>
      <c r="BF747" s="7"/>
      <c r="BG747" s="7"/>
      <c r="BH747" s="7"/>
      <c r="BI747" s="7"/>
      <c r="BJ747" s="7"/>
      <c r="BK747" s="7"/>
      <c r="BL747" s="7"/>
      <c r="BM747" s="7"/>
      <c r="BN747" s="7"/>
      <c r="BO747" s="7"/>
      <c r="BP747" s="7"/>
      <c r="BQ747" s="7"/>
      <c r="BR747" s="7"/>
      <c r="BS747" s="7"/>
      <c r="BT747" s="7"/>
      <c r="BU747" s="7"/>
      <c r="BV747" s="7"/>
      <c r="BW747" s="7"/>
      <c r="BX747" s="7"/>
      <c r="BY747" s="7"/>
      <c r="BZ747" s="7"/>
    </row>
    <row r="748" ht="16.5" customHeight="1">
      <c r="AT748" s="7"/>
      <c r="AU748" s="7"/>
      <c r="AV748" s="7"/>
      <c r="AW748" s="7"/>
      <c r="AX748" s="7"/>
      <c r="AY748" s="7"/>
      <c r="AZ748" s="7"/>
      <c r="BA748" s="7"/>
      <c r="BB748" s="7"/>
      <c r="BC748" s="7"/>
      <c r="BD748" s="7"/>
      <c r="BE748" s="7"/>
      <c r="BF748" s="7"/>
      <c r="BG748" s="7"/>
      <c r="BH748" s="7"/>
      <c r="BI748" s="7"/>
      <c r="BJ748" s="7"/>
      <c r="BK748" s="7"/>
      <c r="BL748" s="7"/>
      <c r="BM748" s="7"/>
      <c r="BN748" s="7"/>
      <c r="BO748" s="7"/>
      <c r="BP748" s="7"/>
      <c r="BQ748" s="7"/>
      <c r="BR748" s="7"/>
      <c r="BS748" s="7"/>
      <c r="BT748" s="7"/>
      <c r="BU748" s="7"/>
      <c r="BV748" s="7"/>
      <c r="BW748" s="7"/>
      <c r="BX748" s="7"/>
      <c r="BY748" s="7"/>
      <c r="BZ748" s="7"/>
    </row>
    <row r="749" ht="16.5" customHeight="1">
      <c r="AT749" s="7"/>
      <c r="AU749" s="7"/>
      <c r="AV749" s="7"/>
      <c r="AW749" s="7"/>
      <c r="AX749" s="7"/>
      <c r="AY749" s="7"/>
      <c r="AZ749" s="7"/>
      <c r="BA749" s="7"/>
      <c r="BB749" s="7"/>
      <c r="BC749" s="7"/>
      <c r="BD749" s="7"/>
      <c r="BE749" s="7"/>
      <c r="BF749" s="7"/>
      <c r="BG749" s="7"/>
      <c r="BH749" s="7"/>
      <c r="BI749" s="7"/>
      <c r="BJ749" s="7"/>
      <c r="BK749" s="7"/>
      <c r="BL749" s="7"/>
      <c r="BM749" s="7"/>
      <c r="BN749" s="7"/>
      <c r="BO749" s="7"/>
      <c r="BP749" s="7"/>
      <c r="BQ749" s="7"/>
      <c r="BR749" s="7"/>
      <c r="BS749" s="7"/>
      <c r="BT749" s="7"/>
      <c r="BU749" s="7"/>
      <c r="BV749" s="7"/>
      <c r="BW749" s="7"/>
      <c r="BX749" s="7"/>
      <c r="BY749" s="7"/>
      <c r="BZ749" s="7"/>
    </row>
    <row r="750" ht="16.5" customHeight="1">
      <c r="AT750" s="7"/>
      <c r="AU750" s="7"/>
      <c r="AV750" s="7"/>
      <c r="AW750" s="7"/>
      <c r="AX750" s="7"/>
      <c r="AY750" s="7"/>
      <c r="AZ750" s="7"/>
      <c r="BA750" s="7"/>
      <c r="BB750" s="7"/>
      <c r="BC750" s="7"/>
      <c r="BD750" s="7"/>
      <c r="BE750" s="7"/>
      <c r="BF750" s="7"/>
      <c r="BG750" s="7"/>
      <c r="BH750" s="7"/>
      <c r="BI750" s="7"/>
      <c r="BJ750" s="7"/>
      <c r="BK750" s="7"/>
      <c r="BL750" s="7"/>
      <c r="BM750" s="7"/>
      <c r="BN750" s="7"/>
      <c r="BO750" s="7"/>
      <c r="BP750" s="7"/>
      <c r="BQ750" s="7"/>
      <c r="BR750" s="7"/>
      <c r="BS750" s="7"/>
      <c r="BT750" s="7"/>
      <c r="BU750" s="7"/>
      <c r="BV750" s="7"/>
      <c r="BW750" s="7"/>
      <c r="BX750" s="7"/>
      <c r="BY750" s="7"/>
      <c r="BZ750" s="7"/>
    </row>
    <row r="751" ht="16.5" customHeight="1">
      <c r="AT751" s="7"/>
      <c r="AU751" s="7"/>
      <c r="AV751" s="7"/>
      <c r="AW751" s="7"/>
      <c r="AX751" s="7"/>
      <c r="AY751" s="7"/>
      <c r="AZ751" s="7"/>
      <c r="BA751" s="7"/>
      <c r="BB751" s="7"/>
      <c r="BC751" s="7"/>
      <c r="BD751" s="7"/>
      <c r="BE751" s="7"/>
      <c r="BF751" s="7"/>
      <c r="BG751" s="7"/>
      <c r="BH751" s="7"/>
      <c r="BI751" s="7"/>
      <c r="BJ751" s="7"/>
      <c r="BK751" s="7"/>
      <c r="BL751" s="7"/>
      <c r="BM751" s="7"/>
      <c r="BN751" s="7"/>
      <c r="BO751" s="7"/>
      <c r="BP751" s="7"/>
      <c r="BQ751" s="7"/>
      <c r="BR751" s="7"/>
      <c r="BS751" s="7"/>
      <c r="BT751" s="7"/>
      <c r="BU751" s="7"/>
      <c r="BV751" s="7"/>
      <c r="BW751" s="7"/>
      <c r="BX751" s="7"/>
      <c r="BY751" s="7"/>
      <c r="BZ751" s="7"/>
    </row>
    <row r="752" ht="16.5" customHeight="1">
      <c r="AT752" s="7"/>
      <c r="AU752" s="7"/>
      <c r="AV752" s="7"/>
      <c r="AW752" s="7"/>
      <c r="AX752" s="7"/>
      <c r="AY752" s="7"/>
      <c r="AZ752" s="7"/>
      <c r="BA752" s="7"/>
      <c r="BB752" s="7"/>
      <c r="BC752" s="7"/>
      <c r="BD752" s="7"/>
      <c r="BE752" s="7"/>
      <c r="BF752" s="7"/>
      <c r="BG752" s="7"/>
      <c r="BH752" s="7"/>
      <c r="BI752" s="7"/>
      <c r="BJ752" s="7"/>
      <c r="BK752" s="7"/>
      <c r="BL752" s="7"/>
      <c r="BM752" s="7"/>
      <c r="BN752" s="7"/>
      <c r="BO752" s="7"/>
      <c r="BP752" s="7"/>
      <c r="BQ752" s="7"/>
      <c r="BR752" s="7"/>
      <c r="BS752" s="7"/>
      <c r="BT752" s="7"/>
      <c r="BU752" s="7"/>
      <c r="BV752" s="7"/>
      <c r="BW752" s="7"/>
      <c r="BX752" s="7"/>
      <c r="BY752" s="7"/>
      <c r="BZ752" s="7"/>
    </row>
    <row r="753" ht="16.5" customHeight="1">
      <c r="AT753" s="7"/>
      <c r="AU753" s="7"/>
      <c r="AV753" s="7"/>
      <c r="AW753" s="7"/>
      <c r="AX753" s="7"/>
      <c r="AY753" s="7"/>
      <c r="AZ753" s="7"/>
      <c r="BA753" s="7"/>
      <c r="BB753" s="7"/>
      <c r="BC753" s="7"/>
      <c r="BD753" s="7"/>
      <c r="BE753" s="7"/>
      <c r="BF753" s="7"/>
      <c r="BG753" s="7"/>
      <c r="BH753" s="7"/>
      <c r="BI753" s="7"/>
      <c r="BJ753" s="7"/>
      <c r="BK753" s="7"/>
      <c r="BL753" s="7"/>
      <c r="BM753" s="7"/>
      <c r="BN753" s="7"/>
      <c r="BO753" s="7"/>
      <c r="BP753" s="7"/>
      <c r="BQ753" s="7"/>
      <c r="BR753" s="7"/>
      <c r="BS753" s="7"/>
      <c r="BT753" s="7"/>
      <c r="BU753" s="7"/>
      <c r="BV753" s="7"/>
      <c r="BW753" s="7"/>
      <c r="BX753" s="7"/>
      <c r="BY753" s="7"/>
      <c r="BZ753" s="7"/>
    </row>
    <row r="754" ht="16.5" customHeight="1">
      <c r="AT754" s="7"/>
      <c r="AU754" s="7"/>
      <c r="AV754" s="7"/>
      <c r="AW754" s="7"/>
      <c r="AX754" s="7"/>
      <c r="AY754" s="7"/>
      <c r="AZ754" s="7"/>
      <c r="BA754" s="7"/>
      <c r="BB754" s="7"/>
      <c r="BC754" s="7"/>
      <c r="BD754" s="7"/>
      <c r="BE754" s="7"/>
      <c r="BF754" s="7"/>
      <c r="BG754" s="7"/>
      <c r="BH754" s="7"/>
      <c r="BI754" s="7"/>
      <c r="BJ754" s="7"/>
      <c r="BK754" s="7"/>
      <c r="BL754" s="7"/>
      <c r="BM754" s="7"/>
      <c r="BN754" s="7"/>
      <c r="BO754" s="7"/>
      <c r="BP754" s="7"/>
      <c r="BQ754" s="7"/>
      <c r="BR754" s="7"/>
      <c r="BS754" s="7"/>
      <c r="BT754" s="7"/>
      <c r="BU754" s="7"/>
      <c r="BV754" s="7"/>
      <c r="BW754" s="7"/>
      <c r="BX754" s="7"/>
      <c r="BY754" s="7"/>
      <c r="BZ754" s="7"/>
    </row>
    <row r="755" ht="16.5" customHeight="1">
      <c r="AT755" s="7"/>
      <c r="AU755" s="7"/>
      <c r="AV755" s="7"/>
      <c r="AW755" s="7"/>
      <c r="AX755" s="7"/>
      <c r="AY755" s="7"/>
      <c r="AZ755" s="7"/>
      <c r="BA755" s="7"/>
      <c r="BB755" s="7"/>
      <c r="BC755" s="7"/>
      <c r="BD755" s="7"/>
      <c r="BE755" s="7"/>
      <c r="BF755" s="7"/>
      <c r="BG755" s="7"/>
      <c r="BH755" s="7"/>
      <c r="BI755" s="7"/>
      <c r="BJ755" s="7"/>
      <c r="BK755" s="7"/>
      <c r="BL755" s="7"/>
      <c r="BM755" s="7"/>
      <c r="BN755" s="7"/>
      <c r="BO755" s="7"/>
      <c r="BP755" s="7"/>
      <c r="BQ755" s="7"/>
      <c r="BR755" s="7"/>
      <c r="BS755" s="7"/>
      <c r="BT755" s="7"/>
      <c r="BU755" s="7"/>
      <c r="BV755" s="7"/>
      <c r="BW755" s="7"/>
      <c r="BX755" s="7"/>
      <c r="BY755" s="7"/>
      <c r="BZ755" s="7"/>
    </row>
    <row r="756" ht="16.5" customHeight="1">
      <c r="AT756" s="7"/>
      <c r="AU756" s="7"/>
      <c r="AV756" s="7"/>
      <c r="AW756" s="7"/>
      <c r="AX756" s="7"/>
      <c r="AY756" s="7"/>
      <c r="AZ756" s="7"/>
      <c r="BA756" s="7"/>
      <c r="BB756" s="7"/>
      <c r="BC756" s="7"/>
      <c r="BD756" s="7"/>
      <c r="BE756" s="7"/>
      <c r="BF756" s="7"/>
      <c r="BG756" s="7"/>
      <c r="BH756" s="7"/>
      <c r="BI756" s="7"/>
      <c r="BJ756" s="7"/>
      <c r="BK756" s="7"/>
      <c r="BL756" s="7"/>
      <c r="BM756" s="7"/>
      <c r="BN756" s="7"/>
      <c r="BO756" s="7"/>
      <c r="BP756" s="7"/>
      <c r="BQ756" s="7"/>
      <c r="BR756" s="7"/>
      <c r="BS756" s="7"/>
      <c r="BT756" s="7"/>
      <c r="BU756" s="7"/>
      <c r="BV756" s="7"/>
      <c r="BW756" s="7"/>
      <c r="BX756" s="7"/>
      <c r="BY756" s="7"/>
      <c r="BZ756" s="7"/>
    </row>
    <row r="757" ht="16.5" customHeight="1">
      <c r="AT757" s="7"/>
      <c r="AU757" s="7"/>
      <c r="AV757" s="7"/>
      <c r="AW757" s="7"/>
      <c r="AX757" s="7"/>
      <c r="AY757" s="7"/>
      <c r="AZ757" s="7"/>
      <c r="BA757" s="7"/>
      <c r="BB757" s="7"/>
      <c r="BC757" s="7"/>
      <c r="BD757" s="7"/>
      <c r="BE757" s="7"/>
      <c r="BF757" s="7"/>
      <c r="BG757" s="7"/>
      <c r="BH757" s="7"/>
      <c r="BI757" s="7"/>
      <c r="BJ757" s="7"/>
      <c r="BK757" s="7"/>
      <c r="BL757" s="7"/>
      <c r="BM757" s="7"/>
      <c r="BN757" s="7"/>
      <c r="BO757" s="7"/>
      <c r="BP757" s="7"/>
      <c r="BQ757" s="7"/>
      <c r="BR757" s="7"/>
      <c r="BS757" s="7"/>
      <c r="BT757" s="7"/>
      <c r="BU757" s="7"/>
      <c r="BV757" s="7"/>
      <c r="BW757" s="7"/>
      <c r="BX757" s="7"/>
      <c r="BY757" s="7"/>
      <c r="BZ757" s="7"/>
    </row>
    <row r="758" ht="16.5" customHeight="1">
      <c r="AT758" s="7"/>
      <c r="AU758" s="7"/>
      <c r="AV758" s="7"/>
      <c r="AW758" s="7"/>
      <c r="AX758" s="7"/>
      <c r="AY758" s="7"/>
      <c r="AZ758" s="7"/>
      <c r="BA758" s="7"/>
      <c r="BB758" s="7"/>
      <c r="BC758" s="7"/>
      <c r="BD758" s="7"/>
      <c r="BE758" s="7"/>
      <c r="BF758" s="7"/>
      <c r="BG758" s="7"/>
      <c r="BH758" s="7"/>
      <c r="BI758" s="7"/>
      <c r="BJ758" s="7"/>
      <c r="BK758" s="7"/>
      <c r="BL758" s="7"/>
      <c r="BM758" s="7"/>
      <c r="BN758" s="7"/>
      <c r="BO758" s="7"/>
      <c r="BP758" s="7"/>
      <c r="BQ758" s="7"/>
      <c r="BR758" s="7"/>
      <c r="BS758" s="7"/>
      <c r="BT758" s="7"/>
      <c r="BU758" s="7"/>
      <c r="BV758" s="7"/>
      <c r="BW758" s="7"/>
      <c r="BX758" s="7"/>
      <c r="BY758" s="7"/>
      <c r="BZ758" s="7"/>
    </row>
    <row r="759" ht="16.5" customHeight="1">
      <c r="AT759" s="7"/>
      <c r="AU759" s="7"/>
      <c r="AV759" s="7"/>
      <c r="AW759" s="7"/>
      <c r="AX759" s="7"/>
      <c r="AY759" s="7"/>
      <c r="AZ759" s="7"/>
      <c r="BA759" s="7"/>
      <c r="BB759" s="7"/>
      <c r="BC759" s="7"/>
      <c r="BD759" s="7"/>
      <c r="BE759" s="7"/>
      <c r="BF759" s="7"/>
      <c r="BG759" s="7"/>
      <c r="BH759" s="7"/>
      <c r="BI759" s="7"/>
      <c r="BJ759" s="7"/>
      <c r="BK759" s="7"/>
      <c r="BL759" s="7"/>
      <c r="BM759" s="7"/>
      <c r="BN759" s="7"/>
      <c r="BO759" s="7"/>
      <c r="BP759" s="7"/>
      <c r="BQ759" s="7"/>
      <c r="BR759" s="7"/>
      <c r="BS759" s="7"/>
      <c r="BT759" s="7"/>
      <c r="BU759" s="7"/>
      <c r="BV759" s="7"/>
      <c r="BW759" s="7"/>
      <c r="BX759" s="7"/>
      <c r="BY759" s="7"/>
      <c r="BZ759" s="7"/>
    </row>
    <row r="760" ht="16.5" customHeight="1">
      <c r="AT760" s="7"/>
      <c r="AU760" s="7"/>
      <c r="AV760" s="7"/>
      <c r="AW760" s="7"/>
      <c r="AX760" s="7"/>
      <c r="AY760" s="7"/>
      <c r="AZ760" s="7"/>
      <c r="BA760" s="7"/>
      <c r="BB760" s="7"/>
      <c r="BC760" s="7"/>
      <c r="BD760" s="7"/>
      <c r="BE760" s="7"/>
      <c r="BF760" s="7"/>
      <c r="BG760" s="7"/>
      <c r="BH760" s="7"/>
      <c r="BI760" s="7"/>
      <c r="BJ760" s="7"/>
      <c r="BK760" s="7"/>
      <c r="BL760" s="7"/>
      <c r="BM760" s="7"/>
      <c r="BN760" s="7"/>
      <c r="BO760" s="7"/>
      <c r="BP760" s="7"/>
      <c r="BQ760" s="7"/>
      <c r="BR760" s="7"/>
      <c r="BS760" s="7"/>
      <c r="BT760" s="7"/>
      <c r="BU760" s="7"/>
      <c r="BV760" s="7"/>
      <c r="BW760" s="7"/>
      <c r="BX760" s="7"/>
      <c r="BY760" s="7"/>
      <c r="BZ760" s="7"/>
    </row>
    <row r="761" ht="16.5" customHeight="1">
      <c r="AT761" s="7"/>
      <c r="AU761" s="7"/>
      <c r="AV761" s="7"/>
      <c r="AW761" s="7"/>
      <c r="AX761" s="7"/>
      <c r="AY761" s="7"/>
      <c r="AZ761" s="7"/>
      <c r="BA761" s="7"/>
      <c r="BB761" s="7"/>
      <c r="BC761" s="7"/>
      <c r="BD761" s="7"/>
      <c r="BE761" s="7"/>
      <c r="BF761" s="7"/>
      <c r="BG761" s="7"/>
      <c r="BH761" s="7"/>
      <c r="BI761" s="7"/>
      <c r="BJ761" s="7"/>
      <c r="BK761" s="7"/>
      <c r="BL761" s="7"/>
      <c r="BM761" s="7"/>
      <c r="BN761" s="7"/>
      <c r="BO761" s="7"/>
      <c r="BP761" s="7"/>
      <c r="BQ761" s="7"/>
      <c r="BR761" s="7"/>
      <c r="BS761" s="7"/>
      <c r="BT761" s="7"/>
      <c r="BU761" s="7"/>
      <c r="BV761" s="7"/>
      <c r="BW761" s="7"/>
      <c r="BX761" s="7"/>
      <c r="BY761" s="7"/>
      <c r="BZ761" s="7"/>
    </row>
    <row r="762" ht="16.5" customHeight="1">
      <c r="AT762" s="7"/>
      <c r="AU762" s="7"/>
      <c r="AV762" s="7"/>
      <c r="AW762" s="7"/>
      <c r="AX762" s="7"/>
      <c r="AY762" s="7"/>
      <c r="AZ762" s="7"/>
      <c r="BA762" s="7"/>
      <c r="BB762" s="7"/>
      <c r="BC762" s="7"/>
      <c r="BD762" s="7"/>
      <c r="BE762" s="7"/>
      <c r="BF762" s="7"/>
      <c r="BG762" s="7"/>
      <c r="BH762" s="7"/>
      <c r="BI762" s="7"/>
      <c r="BJ762" s="7"/>
      <c r="BK762" s="7"/>
      <c r="BL762" s="7"/>
      <c r="BM762" s="7"/>
      <c r="BN762" s="7"/>
      <c r="BO762" s="7"/>
      <c r="BP762" s="7"/>
      <c r="BQ762" s="7"/>
      <c r="BR762" s="7"/>
      <c r="BS762" s="7"/>
      <c r="BT762" s="7"/>
      <c r="BU762" s="7"/>
      <c r="BV762" s="7"/>
      <c r="BW762" s="7"/>
      <c r="BX762" s="7"/>
      <c r="BY762" s="7"/>
      <c r="BZ762" s="7"/>
    </row>
    <row r="763" ht="16.5" customHeight="1">
      <c r="AT763" s="7"/>
      <c r="AU763" s="7"/>
      <c r="AV763" s="7"/>
      <c r="AW763" s="7"/>
      <c r="AX763" s="7"/>
      <c r="AY763" s="7"/>
      <c r="AZ763" s="7"/>
      <c r="BA763" s="7"/>
      <c r="BB763" s="7"/>
      <c r="BC763" s="7"/>
      <c r="BD763" s="7"/>
      <c r="BE763" s="7"/>
      <c r="BF763" s="7"/>
      <c r="BG763" s="7"/>
      <c r="BH763" s="7"/>
      <c r="BI763" s="7"/>
      <c r="BJ763" s="7"/>
      <c r="BK763" s="7"/>
      <c r="BL763" s="7"/>
      <c r="BM763" s="7"/>
      <c r="BN763" s="7"/>
      <c r="BO763" s="7"/>
      <c r="BP763" s="7"/>
      <c r="BQ763" s="7"/>
      <c r="BR763" s="7"/>
      <c r="BS763" s="7"/>
      <c r="BT763" s="7"/>
      <c r="BU763" s="7"/>
      <c r="BV763" s="7"/>
      <c r="BW763" s="7"/>
      <c r="BX763" s="7"/>
      <c r="BY763" s="7"/>
      <c r="BZ763" s="7"/>
    </row>
    <row r="764" ht="16.5" customHeight="1">
      <c r="AT764" s="7"/>
      <c r="AU764" s="7"/>
      <c r="AV764" s="7"/>
      <c r="AW764" s="7"/>
      <c r="AX764" s="7"/>
      <c r="AY764" s="7"/>
      <c r="AZ764" s="7"/>
      <c r="BA764" s="7"/>
      <c r="BB764" s="7"/>
      <c r="BC764" s="7"/>
      <c r="BD764" s="7"/>
      <c r="BE764" s="7"/>
      <c r="BF764" s="7"/>
      <c r="BG764" s="7"/>
      <c r="BH764" s="7"/>
      <c r="BI764" s="7"/>
      <c r="BJ764" s="7"/>
      <c r="BK764" s="7"/>
      <c r="BL764" s="7"/>
      <c r="BM764" s="7"/>
      <c r="BN764" s="7"/>
      <c r="BO764" s="7"/>
      <c r="BP764" s="7"/>
      <c r="BQ764" s="7"/>
      <c r="BR764" s="7"/>
      <c r="BS764" s="7"/>
      <c r="BT764" s="7"/>
      <c r="BU764" s="7"/>
      <c r="BV764" s="7"/>
      <c r="BW764" s="7"/>
      <c r="BX764" s="7"/>
      <c r="BY764" s="7"/>
      <c r="BZ764" s="7"/>
    </row>
    <row r="765" ht="16.5" customHeight="1">
      <c r="AT765" s="7"/>
      <c r="AU765" s="7"/>
      <c r="AV765" s="7"/>
      <c r="AW765" s="7"/>
      <c r="AX765" s="7"/>
      <c r="AY765" s="7"/>
      <c r="AZ765" s="7"/>
      <c r="BA765" s="7"/>
      <c r="BB765" s="7"/>
      <c r="BC765" s="7"/>
      <c r="BD765" s="7"/>
      <c r="BE765" s="7"/>
      <c r="BF765" s="7"/>
      <c r="BG765" s="7"/>
      <c r="BH765" s="7"/>
      <c r="BI765" s="7"/>
      <c r="BJ765" s="7"/>
      <c r="BK765" s="7"/>
      <c r="BL765" s="7"/>
      <c r="BM765" s="7"/>
      <c r="BN765" s="7"/>
      <c r="BO765" s="7"/>
      <c r="BP765" s="7"/>
      <c r="BQ765" s="7"/>
      <c r="BR765" s="7"/>
      <c r="BS765" s="7"/>
      <c r="BT765" s="7"/>
      <c r="BU765" s="7"/>
      <c r="BV765" s="7"/>
      <c r="BW765" s="7"/>
      <c r="BX765" s="7"/>
      <c r="BY765" s="7"/>
      <c r="BZ765" s="7"/>
    </row>
    <row r="766" ht="16.5" customHeight="1">
      <c r="AT766" s="7"/>
      <c r="AU766" s="7"/>
      <c r="AV766" s="7"/>
      <c r="AW766" s="7"/>
      <c r="AX766" s="7"/>
      <c r="AY766" s="7"/>
      <c r="AZ766" s="7"/>
      <c r="BA766" s="7"/>
      <c r="BB766" s="7"/>
      <c r="BC766" s="7"/>
      <c r="BD766" s="7"/>
      <c r="BE766" s="7"/>
      <c r="BF766" s="7"/>
      <c r="BG766" s="7"/>
      <c r="BH766" s="7"/>
      <c r="BI766" s="7"/>
      <c r="BJ766" s="7"/>
      <c r="BK766" s="7"/>
      <c r="BL766" s="7"/>
      <c r="BM766" s="7"/>
      <c r="BN766" s="7"/>
      <c r="BO766" s="7"/>
      <c r="BP766" s="7"/>
      <c r="BQ766" s="7"/>
      <c r="BR766" s="7"/>
      <c r="BS766" s="7"/>
      <c r="BT766" s="7"/>
      <c r="BU766" s="7"/>
      <c r="BV766" s="7"/>
      <c r="BW766" s="7"/>
      <c r="BX766" s="7"/>
      <c r="BY766" s="7"/>
      <c r="BZ766" s="7"/>
    </row>
    <row r="767" ht="16.5" customHeight="1">
      <c r="AT767" s="7"/>
      <c r="AU767" s="7"/>
      <c r="AV767" s="7"/>
      <c r="AW767" s="7"/>
      <c r="AX767" s="7"/>
      <c r="AY767" s="7"/>
      <c r="AZ767" s="7"/>
      <c r="BA767" s="7"/>
      <c r="BB767" s="7"/>
      <c r="BC767" s="7"/>
      <c r="BD767" s="7"/>
      <c r="BE767" s="7"/>
      <c r="BF767" s="7"/>
      <c r="BG767" s="7"/>
      <c r="BH767" s="7"/>
      <c r="BI767" s="7"/>
      <c r="BJ767" s="7"/>
      <c r="BK767" s="7"/>
      <c r="BL767" s="7"/>
      <c r="BM767" s="7"/>
      <c r="BN767" s="7"/>
      <c r="BO767" s="7"/>
      <c r="BP767" s="7"/>
      <c r="BQ767" s="7"/>
      <c r="BR767" s="7"/>
      <c r="BS767" s="7"/>
      <c r="BT767" s="7"/>
      <c r="BU767" s="7"/>
      <c r="BV767" s="7"/>
      <c r="BW767" s="7"/>
      <c r="BX767" s="7"/>
      <c r="BY767" s="7"/>
      <c r="BZ767" s="7"/>
    </row>
    <row r="768" ht="16.5" customHeight="1">
      <c r="AT768" s="7"/>
      <c r="AU768" s="7"/>
      <c r="AV768" s="7"/>
      <c r="AW768" s="7"/>
      <c r="AX768" s="7"/>
      <c r="AY768" s="7"/>
      <c r="AZ768" s="7"/>
      <c r="BA768" s="7"/>
      <c r="BB768" s="7"/>
      <c r="BC768" s="7"/>
      <c r="BD768" s="7"/>
      <c r="BE768" s="7"/>
      <c r="BF768" s="7"/>
      <c r="BG768" s="7"/>
      <c r="BH768" s="7"/>
      <c r="BI768" s="7"/>
      <c r="BJ768" s="7"/>
      <c r="BK768" s="7"/>
      <c r="BL768" s="7"/>
      <c r="BM768" s="7"/>
      <c r="BN768" s="7"/>
      <c r="BO768" s="7"/>
      <c r="BP768" s="7"/>
      <c r="BQ768" s="7"/>
      <c r="BR768" s="7"/>
      <c r="BS768" s="7"/>
      <c r="BT768" s="7"/>
      <c r="BU768" s="7"/>
      <c r="BV768" s="7"/>
      <c r="BW768" s="7"/>
      <c r="BX768" s="7"/>
      <c r="BY768" s="7"/>
      <c r="BZ768" s="7"/>
    </row>
    <row r="769" ht="16.5" customHeight="1">
      <c r="AT769" s="7"/>
      <c r="AU769" s="7"/>
      <c r="AV769" s="7"/>
      <c r="AW769" s="7"/>
      <c r="AX769" s="7"/>
      <c r="AY769" s="7"/>
      <c r="AZ769" s="7"/>
      <c r="BA769" s="7"/>
      <c r="BB769" s="7"/>
      <c r="BC769" s="7"/>
      <c r="BD769" s="7"/>
      <c r="BE769" s="7"/>
      <c r="BF769" s="7"/>
      <c r="BG769" s="7"/>
      <c r="BH769" s="7"/>
      <c r="BI769" s="7"/>
      <c r="BJ769" s="7"/>
      <c r="BK769" s="7"/>
      <c r="BL769" s="7"/>
      <c r="BM769" s="7"/>
      <c r="BN769" s="7"/>
      <c r="BO769" s="7"/>
      <c r="BP769" s="7"/>
      <c r="BQ769" s="7"/>
      <c r="BR769" s="7"/>
      <c r="BS769" s="7"/>
      <c r="BT769" s="7"/>
      <c r="BU769" s="7"/>
      <c r="BV769" s="7"/>
      <c r="BW769" s="7"/>
      <c r="BX769" s="7"/>
      <c r="BY769" s="7"/>
      <c r="BZ769" s="7"/>
    </row>
    <row r="770" ht="16.5" customHeight="1">
      <c r="AT770" s="7"/>
      <c r="AU770" s="7"/>
      <c r="AV770" s="7"/>
      <c r="AW770" s="7"/>
      <c r="AX770" s="7"/>
      <c r="AY770" s="7"/>
      <c r="AZ770" s="7"/>
      <c r="BA770" s="7"/>
      <c r="BB770" s="7"/>
      <c r="BC770" s="7"/>
      <c r="BD770" s="7"/>
      <c r="BE770" s="7"/>
      <c r="BF770" s="7"/>
      <c r="BG770" s="7"/>
      <c r="BH770" s="7"/>
      <c r="BI770" s="7"/>
      <c r="BJ770" s="7"/>
      <c r="BK770" s="7"/>
      <c r="BL770" s="7"/>
      <c r="BM770" s="7"/>
      <c r="BN770" s="7"/>
      <c r="BO770" s="7"/>
      <c r="BP770" s="7"/>
      <c r="BQ770" s="7"/>
      <c r="BR770" s="7"/>
      <c r="BS770" s="7"/>
      <c r="BT770" s="7"/>
      <c r="BU770" s="7"/>
      <c r="BV770" s="7"/>
      <c r="BW770" s="7"/>
      <c r="BX770" s="7"/>
      <c r="BY770" s="7"/>
      <c r="BZ770" s="7"/>
    </row>
    <row r="771" ht="16.5" customHeight="1">
      <c r="AT771" s="7"/>
      <c r="AU771" s="7"/>
      <c r="AV771" s="7"/>
      <c r="AW771" s="7"/>
      <c r="AX771" s="7"/>
      <c r="AY771" s="7"/>
      <c r="AZ771" s="7"/>
      <c r="BA771" s="7"/>
      <c r="BB771" s="7"/>
      <c r="BC771" s="7"/>
      <c r="BD771" s="7"/>
      <c r="BE771" s="7"/>
      <c r="BF771" s="7"/>
      <c r="BG771" s="7"/>
      <c r="BH771" s="7"/>
      <c r="BI771" s="7"/>
      <c r="BJ771" s="7"/>
      <c r="BK771" s="7"/>
      <c r="BL771" s="7"/>
      <c r="BM771" s="7"/>
      <c r="BN771" s="7"/>
      <c r="BO771" s="7"/>
      <c r="BP771" s="7"/>
      <c r="BQ771" s="7"/>
      <c r="BR771" s="7"/>
      <c r="BS771" s="7"/>
      <c r="BT771" s="7"/>
      <c r="BU771" s="7"/>
      <c r="BV771" s="7"/>
      <c r="BW771" s="7"/>
      <c r="BX771" s="7"/>
      <c r="BY771" s="7"/>
      <c r="BZ771" s="7"/>
    </row>
    <row r="772" ht="16.5" customHeight="1">
      <c r="AT772" s="7"/>
      <c r="AU772" s="7"/>
      <c r="AV772" s="7"/>
      <c r="AW772" s="7"/>
      <c r="AX772" s="7"/>
      <c r="AY772" s="7"/>
      <c r="AZ772" s="7"/>
      <c r="BA772" s="7"/>
      <c r="BB772" s="7"/>
      <c r="BC772" s="7"/>
      <c r="BD772" s="7"/>
      <c r="BE772" s="7"/>
      <c r="BF772" s="7"/>
      <c r="BG772" s="7"/>
      <c r="BH772" s="7"/>
      <c r="BI772" s="7"/>
      <c r="BJ772" s="7"/>
      <c r="BK772" s="7"/>
      <c r="BL772" s="7"/>
      <c r="BM772" s="7"/>
      <c r="BN772" s="7"/>
      <c r="BO772" s="7"/>
      <c r="BP772" s="7"/>
      <c r="BQ772" s="7"/>
      <c r="BR772" s="7"/>
      <c r="BS772" s="7"/>
      <c r="BT772" s="7"/>
      <c r="BU772" s="7"/>
      <c r="BV772" s="7"/>
      <c r="BW772" s="7"/>
      <c r="BX772" s="7"/>
      <c r="BY772" s="7"/>
      <c r="BZ772" s="7"/>
    </row>
    <row r="773" ht="16.5" customHeight="1">
      <c r="AT773" s="7"/>
      <c r="AU773" s="7"/>
      <c r="AV773" s="7"/>
      <c r="AW773" s="7"/>
      <c r="AX773" s="7"/>
      <c r="AY773" s="7"/>
      <c r="AZ773" s="7"/>
      <c r="BA773" s="7"/>
      <c r="BB773" s="7"/>
      <c r="BC773" s="7"/>
      <c r="BD773" s="7"/>
      <c r="BE773" s="7"/>
      <c r="BF773" s="7"/>
      <c r="BG773" s="7"/>
      <c r="BH773" s="7"/>
      <c r="BI773" s="7"/>
      <c r="BJ773" s="7"/>
      <c r="BK773" s="7"/>
      <c r="BL773" s="7"/>
      <c r="BM773" s="7"/>
      <c r="BN773" s="7"/>
      <c r="BO773" s="7"/>
      <c r="BP773" s="7"/>
      <c r="BQ773" s="7"/>
      <c r="BR773" s="7"/>
      <c r="BS773" s="7"/>
      <c r="BT773" s="7"/>
      <c r="BU773" s="7"/>
      <c r="BV773" s="7"/>
      <c r="BW773" s="7"/>
      <c r="BX773" s="7"/>
      <c r="BY773" s="7"/>
      <c r="BZ773" s="7"/>
    </row>
    <row r="774" ht="16.5" customHeight="1">
      <c r="AT774" s="7"/>
      <c r="AU774" s="7"/>
      <c r="AV774" s="7"/>
      <c r="AW774" s="7"/>
      <c r="AX774" s="7"/>
      <c r="AY774" s="7"/>
      <c r="AZ774" s="7"/>
      <c r="BA774" s="7"/>
      <c r="BB774" s="7"/>
      <c r="BC774" s="7"/>
      <c r="BD774" s="7"/>
      <c r="BE774" s="7"/>
      <c r="BF774" s="7"/>
      <c r="BG774" s="7"/>
      <c r="BH774" s="7"/>
      <c r="BI774" s="7"/>
      <c r="BJ774" s="7"/>
      <c r="BK774" s="7"/>
      <c r="BL774" s="7"/>
      <c r="BM774" s="7"/>
      <c r="BN774" s="7"/>
      <c r="BO774" s="7"/>
      <c r="BP774" s="7"/>
      <c r="BQ774" s="7"/>
      <c r="BR774" s="7"/>
      <c r="BS774" s="7"/>
      <c r="BT774" s="7"/>
      <c r="BU774" s="7"/>
      <c r="BV774" s="7"/>
      <c r="BW774" s="7"/>
      <c r="BX774" s="7"/>
      <c r="BY774" s="7"/>
      <c r="BZ774" s="7"/>
    </row>
    <row r="775" ht="16.5" customHeight="1">
      <c r="AT775" s="7"/>
      <c r="AU775" s="7"/>
      <c r="AV775" s="7"/>
      <c r="AW775" s="7"/>
      <c r="AX775" s="7"/>
      <c r="AY775" s="7"/>
      <c r="AZ775" s="7"/>
      <c r="BA775" s="7"/>
      <c r="BB775" s="7"/>
      <c r="BC775" s="7"/>
      <c r="BD775" s="7"/>
      <c r="BE775" s="7"/>
      <c r="BF775" s="7"/>
      <c r="BG775" s="7"/>
      <c r="BH775" s="7"/>
      <c r="BI775" s="7"/>
      <c r="BJ775" s="7"/>
      <c r="BK775" s="7"/>
      <c r="BL775" s="7"/>
      <c r="BM775" s="7"/>
      <c r="BN775" s="7"/>
      <c r="BO775" s="7"/>
      <c r="BP775" s="7"/>
      <c r="BQ775" s="7"/>
      <c r="BR775" s="7"/>
      <c r="BS775" s="7"/>
      <c r="BT775" s="7"/>
      <c r="BU775" s="7"/>
      <c r="BV775" s="7"/>
      <c r="BW775" s="7"/>
      <c r="BX775" s="7"/>
      <c r="BY775" s="7"/>
      <c r="BZ775" s="7"/>
    </row>
    <row r="776" ht="16.5" customHeight="1">
      <c r="AT776" s="7"/>
      <c r="AU776" s="7"/>
      <c r="AV776" s="7"/>
      <c r="AW776" s="7"/>
      <c r="AX776" s="7"/>
      <c r="AY776" s="7"/>
      <c r="AZ776" s="7"/>
      <c r="BA776" s="7"/>
      <c r="BB776" s="7"/>
      <c r="BC776" s="7"/>
      <c r="BD776" s="7"/>
      <c r="BE776" s="7"/>
      <c r="BF776" s="7"/>
      <c r="BG776" s="7"/>
      <c r="BH776" s="7"/>
      <c r="BI776" s="7"/>
      <c r="BJ776" s="7"/>
      <c r="BK776" s="7"/>
      <c r="BL776" s="7"/>
      <c r="BM776" s="7"/>
      <c r="BN776" s="7"/>
      <c r="BO776" s="7"/>
      <c r="BP776" s="7"/>
      <c r="BQ776" s="7"/>
      <c r="BR776" s="7"/>
      <c r="BS776" s="7"/>
      <c r="BT776" s="7"/>
      <c r="BU776" s="7"/>
      <c r="BV776" s="7"/>
      <c r="BW776" s="7"/>
      <c r="BX776" s="7"/>
      <c r="BY776" s="7"/>
      <c r="BZ776" s="7"/>
    </row>
    <row r="777" ht="16.5" customHeight="1">
      <c r="AT777" s="7"/>
      <c r="AU777" s="7"/>
      <c r="AV777" s="7"/>
      <c r="AW777" s="7"/>
      <c r="AX777" s="7"/>
      <c r="AY777" s="7"/>
      <c r="AZ777" s="7"/>
      <c r="BA777" s="7"/>
      <c r="BB777" s="7"/>
      <c r="BC777" s="7"/>
      <c r="BD777" s="7"/>
      <c r="BE777" s="7"/>
      <c r="BF777" s="7"/>
      <c r="BG777" s="7"/>
      <c r="BH777" s="7"/>
      <c r="BI777" s="7"/>
      <c r="BJ777" s="7"/>
      <c r="BK777" s="7"/>
      <c r="BL777" s="7"/>
      <c r="BM777" s="7"/>
      <c r="BN777" s="7"/>
      <c r="BO777" s="7"/>
      <c r="BP777" s="7"/>
      <c r="BQ777" s="7"/>
      <c r="BR777" s="7"/>
      <c r="BS777" s="7"/>
      <c r="BT777" s="7"/>
      <c r="BU777" s="7"/>
      <c r="BV777" s="7"/>
      <c r="BW777" s="7"/>
      <c r="BX777" s="7"/>
      <c r="BY777" s="7"/>
      <c r="BZ777" s="7"/>
    </row>
    <row r="778" ht="16.5" customHeight="1">
      <c r="AT778" s="7"/>
      <c r="AU778" s="7"/>
      <c r="AV778" s="7"/>
      <c r="AW778" s="7"/>
      <c r="AX778" s="7"/>
      <c r="AY778" s="7"/>
      <c r="AZ778" s="7"/>
      <c r="BA778" s="7"/>
      <c r="BB778" s="7"/>
      <c r="BC778" s="7"/>
      <c r="BD778" s="7"/>
      <c r="BE778" s="7"/>
      <c r="BF778" s="7"/>
      <c r="BG778" s="7"/>
      <c r="BH778" s="7"/>
      <c r="BI778" s="7"/>
      <c r="BJ778" s="7"/>
      <c r="BK778" s="7"/>
      <c r="BL778" s="7"/>
      <c r="BM778" s="7"/>
      <c r="BN778" s="7"/>
      <c r="BO778" s="7"/>
      <c r="BP778" s="7"/>
      <c r="BQ778" s="7"/>
      <c r="BR778" s="7"/>
      <c r="BS778" s="7"/>
      <c r="BT778" s="7"/>
      <c r="BU778" s="7"/>
      <c r="BV778" s="7"/>
      <c r="BW778" s="7"/>
      <c r="BX778" s="7"/>
      <c r="BY778" s="7"/>
      <c r="BZ778" s="7"/>
    </row>
    <row r="779" ht="16.5" customHeight="1">
      <c r="AT779" s="7"/>
      <c r="AU779" s="7"/>
      <c r="AV779" s="7"/>
      <c r="AW779" s="7"/>
      <c r="AX779" s="7"/>
      <c r="AY779" s="7"/>
      <c r="AZ779" s="7"/>
      <c r="BA779" s="7"/>
      <c r="BB779" s="7"/>
      <c r="BC779" s="7"/>
      <c r="BD779" s="7"/>
      <c r="BE779" s="7"/>
      <c r="BF779" s="7"/>
      <c r="BG779" s="7"/>
      <c r="BH779" s="7"/>
      <c r="BI779" s="7"/>
      <c r="BJ779" s="7"/>
      <c r="BK779" s="7"/>
      <c r="BL779" s="7"/>
      <c r="BM779" s="7"/>
      <c r="BN779" s="7"/>
      <c r="BO779" s="7"/>
      <c r="BP779" s="7"/>
      <c r="BQ779" s="7"/>
      <c r="BR779" s="7"/>
      <c r="BS779" s="7"/>
      <c r="BT779" s="7"/>
      <c r="BU779" s="7"/>
      <c r="BV779" s="7"/>
      <c r="BW779" s="7"/>
      <c r="BX779" s="7"/>
      <c r="BY779" s="7"/>
      <c r="BZ779" s="7"/>
    </row>
    <row r="780" ht="16.5" customHeight="1">
      <c r="AT780" s="7"/>
      <c r="AU780" s="7"/>
      <c r="AV780" s="7"/>
      <c r="AW780" s="7"/>
      <c r="AX780" s="7"/>
      <c r="AY780" s="7"/>
      <c r="AZ780" s="7"/>
      <c r="BA780" s="7"/>
      <c r="BB780" s="7"/>
      <c r="BC780" s="7"/>
      <c r="BD780" s="7"/>
      <c r="BE780" s="7"/>
      <c r="BF780" s="7"/>
      <c r="BG780" s="7"/>
      <c r="BH780" s="7"/>
      <c r="BI780" s="7"/>
      <c r="BJ780" s="7"/>
      <c r="BK780" s="7"/>
      <c r="BL780" s="7"/>
      <c r="BM780" s="7"/>
      <c r="BN780" s="7"/>
      <c r="BO780" s="7"/>
      <c r="BP780" s="7"/>
      <c r="BQ780" s="7"/>
      <c r="BR780" s="7"/>
      <c r="BS780" s="7"/>
      <c r="BT780" s="7"/>
      <c r="BU780" s="7"/>
      <c r="BV780" s="7"/>
      <c r="BW780" s="7"/>
      <c r="BX780" s="7"/>
      <c r="BY780" s="7"/>
      <c r="BZ780" s="7"/>
    </row>
    <row r="781" ht="16.5" customHeight="1">
      <c r="AT781" s="7"/>
      <c r="AU781" s="7"/>
      <c r="AV781" s="7"/>
      <c r="AW781" s="7"/>
      <c r="AX781" s="7"/>
      <c r="AY781" s="7"/>
      <c r="AZ781" s="7"/>
      <c r="BA781" s="7"/>
      <c r="BB781" s="7"/>
      <c r="BC781" s="7"/>
      <c r="BD781" s="7"/>
      <c r="BE781" s="7"/>
      <c r="BF781" s="7"/>
      <c r="BG781" s="7"/>
      <c r="BH781" s="7"/>
      <c r="BI781" s="7"/>
      <c r="BJ781" s="7"/>
      <c r="BK781" s="7"/>
      <c r="BL781" s="7"/>
      <c r="BM781" s="7"/>
      <c r="BN781" s="7"/>
      <c r="BO781" s="7"/>
      <c r="BP781" s="7"/>
      <c r="BQ781" s="7"/>
      <c r="BR781" s="7"/>
      <c r="BS781" s="7"/>
      <c r="BT781" s="7"/>
      <c r="BU781" s="7"/>
      <c r="BV781" s="7"/>
      <c r="BW781" s="7"/>
      <c r="BX781" s="7"/>
      <c r="BY781" s="7"/>
      <c r="BZ781" s="7"/>
    </row>
    <row r="782" ht="16.5" customHeight="1">
      <c r="AT782" s="7"/>
      <c r="AU782" s="7"/>
      <c r="AV782" s="7"/>
      <c r="AW782" s="7"/>
      <c r="AX782" s="7"/>
      <c r="AY782" s="7"/>
      <c r="AZ782" s="7"/>
      <c r="BA782" s="7"/>
      <c r="BB782" s="7"/>
      <c r="BC782" s="7"/>
      <c r="BD782" s="7"/>
      <c r="BE782" s="7"/>
      <c r="BF782" s="7"/>
      <c r="BG782" s="7"/>
      <c r="BH782" s="7"/>
      <c r="BI782" s="7"/>
      <c r="BJ782" s="7"/>
      <c r="BK782" s="7"/>
      <c r="BL782" s="7"/>
      <c r="BM782" s="7"/>
      <c r="BN782" s="7"/>
      <c r="BO782" s="7"/>
      <c r="BP782" s="7"/>
      <c r="BQ782" s="7"/>
      <c r="BR782" s="7"/>
      <c r="BS782" s="7"/>
      <c r="BT782" s="7"/>
      <c r="BU782" s="7"/>
      <c r="BV782" s="7"/>
      <c r="BW782" s="7"/>
      <c r="BX782" s="7"/>
      <c r="BY782" s="7"/>
      <c r="BZ782" s="7"/>
    </row>
    <row r="783" ht="16.5" customHeight="1">
      <c r="AT783" s="7"/>
      <c r="AU783" s="7"/>
      <c r="AV783" s="7"/>
      <c r="AW783" s="7"/>
      <c r="AX783" s="7"/>
      <c r="AY783" s="7"/>
      <c r="AZ783" s="7"/>
      <c r="BA783" s="7"/>
      <c r="BB783" s="7"/>
      <c r="BC783" s="7"/>
      <c r="BD783" s="7"/>
      <c r="BE783" s="7"/>
      <c r="BF783" s="7"/>
      <c r="BG783" s="7"/>
      <c r="BH783" s="7"/>
      <c r="BI783" s="7"/>
      <c r="BJ783" s="7"/>
      <c r="BK783" s="7"/>
      <c r="BL783" s="7"/>
      <c r="BM783" s="7"/>
      <c r="BN783" s="7"/>
      <c r="BO783" s="7"/>
      <c r="BP783" s="7"/>
      <c r="BQ783" s="7"/>
      <c r="BR783" s="7"/>
      <c r="BS783" s="7"/>
      <c r="BT783" s="7"/>
      <c r="BU783" s="7"/>
      <c r="BV783" s="7"/>
      <c r="BW783" s="7"/>
      <c r="BX783" s="7"/>
      <c r="BY783" s="7"/>
      <c r="BZ783" s="7"/>
    </row>
    <row r="784" ht="16.5" customHeight="1">
      <c r="AT784" s="7"/>
      <c r="AU784" s="7"/>
      <c r="AV784" s="7"/>
      <c r="AW784" s="7"/>
      <c r="AX784" s="7"/>
      <c r="AY784" s="7"/>
      <c r="AZ784" s="7"/>
      <c r="BA784" s="7"/>
      <c r="BB784" s="7"/>
      <c r="BC784" s="7"/>
      <c r="BD784" s="7"/>
      <c r="BE784" s="7"/>
      <c r="BF784" s="7"/>
      <c r="BG784" s="7"/>
      <c r="BH784" s="7"/>
      <c r="BI784" s="7"/>
      <c r="BJ784" s="7"/>
      <c r="BK784" s="7"/>
      <c r="BL784" s="7"/>
      <c r="BM784" s="7"/>
      <c r="BN784" s="7"/>
      <c r="BO784" s="7"/>
      <c r="BP784" s="7"/>
      <c r="BQ784" s="7"/>
      <c r="BR784" s="7"/>
      <c r="BS784" s="7"/>
      <c r="BT784" s="7"/>
      <c r="BU784" s="7"/>
      <c r="BV784" s="7"/>
      <c r="BW784" s="7"/>
      <c r="BX784" s="7"/>
      <c r="BY784" s="7"/>
      <c r="BZ784" s="7"/>
    </row>
    <row r="785" ht="16.5" customHeight="1">
      <c r="AT785" s="7"/>
      <c r="AU785" s="7"/>
      <c r="AV785" s="7"/>
      <c r="AW785" s="7"/>
      <c r="AX785" s="7"/>
      <c r="AY785" s="7"/>
      <c r="AZ785" s="7"/>
      <c r="BA785" s="7"/>
      <c r="BB785" s="7"/>
      <c r="BC785" s="7"/>
      <c r="BD785" s="7"/>
      <c r="BE785" s="7"/>
      <c r="BF785" s="7"/>
      <c r="BG785" s="7"/>
      <c r="BH785" s="7"/>
      <c r="BI785" s="7"/>
      <c r="BJ785" s="7"/>
      <c r="BK785" s="7"/>
      <c r="BL785" s="7"/>
      <c r="BM785" s="7"/>
      <c r="BN785" s="7"/>
      <c r="BO785" s="7"/>
      <c r="BP785" s="7"/>
      <c r="BQ785" s="7"/>
      <c r="BR785" s="7"/>
      <c r="BS785" s="7"/>
      <c r="BT785" s="7"/>
      <c r="BU785" s="7"/>
      <c r="BV785" s="7"/>
      <c r="BW785" s="7"/>
      <c r="BX785" s="7"/>
      <c r="BY785" s="7"/>
      <c r="BZ785" s="7"/>
    </row>
    <row r="786" ht="16.5" customHeight="1">
      <c r="AT786" s="7"/>
      <c r="AU786" s="7"/>
      <c r="AV786" s="7"/>
      <c r="AW786" s="7"/>
      <c r="AX786" s="7"/>
      <c r="AY786" s="7"/>
      <c r="AZ786" s="7"/>
      <c r="BA786" s="7"/>
      <c r="BB786" s="7"/>
      <c r="BC786" s="7"/>
      <c r="BD786" s="7"/>
      <c r="BE786" s="7"/>
      <c r="BF786" s="7"/>
      <c r="BG786" s="7"/>
      <c r="BH786" s="7"/>
      <c r="BI786" s="7"/>
      <c r="BJ786" s="7"/>
      <c r="BK786" s="7"/>
      <c r="BL786" s="7"/>
      <c r="BM786" s="7"/>
      <c r="BN786" s="7"/>
      <c r="BO786" s="7"/>
      <c r="BP786" s="7"/>
      <c r="BQ786" s="7"/>
      <c r="BR786" s="7"/>
      <c r="BS786" s="7"/>
      <c r="BT786" s="7"/>
      <c r="BU786" s="7"/>
      <c r="BV786" s="7"/>
      <c r="BW786" s="7"/>
      <c r="BX786" s="7"/>
      <c r="BY786" s="7"/>
      <c r="BZ786" s="7"/>
    </row>
    <row r="787" ht="16.5" customHeight="1">
      <c r="AT787" s="7"/>
      <c r="AU787" s="7"/>
      <c r="AV787" s="7"/>
      <c r="AW787" s="7"/>
      <c r="AX787" s="7"/>
      <c r="AY787" s="7"/>
      <c r="AZ787" s="7"/>
      <c r="BA787" s="7"/>
      <c r="BB787" s="7"/>
      <c r="BC787" s="7"/>
      <c r="BD787" s="7"/>
      <c r="BE787" s="7"/>
      <c r="BF787" s="7"/>
      <c r="BG787" s="7"/>
      <c r="BH787" s="7"/>
      <c r="BI787" s="7"/>
      <c r="BJ787" s="7"/>
      <c r="BK787" s="7"/>
      <c r="BL787" s="7"/>
      <c r="BM787" s="7"/>
      <c r="BN787" s="7"/>
      <c r="BO787" s="7"/>
      <c r="BP787" s="7"/>
      <c r="BQ787" s="7"/>
      <c r="BR787" s="7"/>
      <c r="BS787" s="7"/>
      <c r="BT787" s="7"/>
      <c r="BU787" s="7"/>
      <c r="BV787" s="7"/>
      <c r="BW787" s="7"/>
      <c r="BX787" s="7"/>
      <c r="BY787" s="7"/>
      <c r="BZ787" s="7"/>
    </row>
    <row r="788" ht="16.5" customHeight="1">
      <c r="AT788" s="7"/>
      <c r="AU788" s="7"/>
      <c r="AV788" s="7"/>
      <c r="AW788" s="7"/>
      <c r="AX788" s="7"/>
      <c r="AY788" s="7"/>
      <c r="AZ788" s="7"/>
      <c r="BA788" s="7"/>
      <c r="BB788" s="7"/>
      <c r="BC788" s="7"/>
      <c r="BD788" s="7"/>
      <c r="BE788" s="7"/>
      <c r="BF788" s="7"/>
      <c r="BG788" s="7"/>
      <c r="BH788" s="7"/>
      <c r="BI788" s="7"/>
      <c r="BJ788" s="7"/>
      <c r="BK788" s="7"/>
      <c r="BL788" s="7"/>
      <c r="BM788" s="7"/>
      <c r="BN788" s="7"/>
      <c r="BO788" s="7"/>
      <c r="BP788" s="7"/>
      <c r="BQ788" s="7"/>
      <c r="BR788" s="7"/>
      <c r="BS788" s="7"/>
      <c r="BT788" s="7"/>
      <c r="BU788" s="7"/>
      <c r="BV788" s="7"/>
      <c r="BW788" s="7"/>
      <c r="BX788" s="7"/>
      <c r="BY788" s="7"/>
      <c r="BZ788" s="7"/>
    </row>
    <row r="789" ht="16.5" customHeight="1">
      <c r="AT789" s="7"/>
      <c r="AU789" s="7"/>
      <c r="AV789" s="7"/>
      <c r="AW789" s="7"/>
      <c r="AX789" s="7"/>
      <c r="AY789" s="7"/>
      <c r="AZ789" s="7"/>
      <c r="BA789" s="7"/>
      <c r="BB789" s="7"/>
      <c r="BC789" s="7"/>
      <c r="BD789" s="7"/>
      <c r="BE789" s="7"/>
      <c r="BF789" s="7"/>
      <c r="BG789" s="7"/>
      <c r="BH789" s="7"/>
      <c r="BI789" s="7"/>
      <c r="BJ789" s="7"/>
      <c r="BK789" s="7"/>
      <c r="BL789" s="7"/>
      <c r="BM789" s="7"/>
      <c r="BN789" s="7"/>
      <c r="BO789" s="7"/>
      <c r="BP789" s="7"/>
      <c r="BQ789" s="7"/>
      <c r="BR789" s="7"/>
      <c r="BS789" s="7"/>
      <c r="BT789" s="7"/>
      <c r="BU789" s="7"/>
      <c r="BV789" s="7"/>
      <c r="BW789" s="7"/>
      <c r="BX789" s="7"/>
      <c r="BY789" s="7"/>
      <c r="BZ789" s="7"/>
    </row>
    <row r="790" ht="16.5" customHeight="1">
      <c r="AT790" s="7"/>
      <c r="AU790" s="7"/>
      <c r="AV790" s="7"/>
      <c r="AW790" s="7"/>
      <c r="AX790" s="7"/>
      <c r="AY790" s="7"/>
      <c r="AZ790" s="7"/>
      <c r="BA790" s="7"/>
      <c r="BB790" s="7"/>
      <c r="BC790" s="7"/>
      <c r="BD790" s="7"/>
      <c r="BE790" s="7"/>
      <c r="BF790" s="7"/>
      <c r="BG790" s="7"/>
      <c r="BH790" s="7"/>
      <c r="BI790" s="7"/>
      <c r="BJ790" s="7"/>
      <c r="BK790" s="7"/>
      <c r="BL790" s="7"/>
      <c r="BM790" s="7"/>
      <c r="BN790" s="7"/>
      <c r="BO790" s="7"/>
      <c r="BP790" s="7"/>
      <c r="BQ790" s="7"/>
      <c r="BR790" s="7"/>
      <c r="BS790" s="7"/>
      <c r="BT790" s="7"/>
      <c r="BU790" s="7"/>
      <c r="BV790" s="7"/>
      <c r="BW790" s="7"/>
      <c r="BX790" s="7"/>
      <c r="BY790" s="7"/>
      <c r="BZ790" s="7"/>
    </row>
    <row r="791" ht="16.5" customHeight="1">
      <c r="AT791" s="7"/>
      <c r="AU791" s="7"/>
      <c r="AV791" s="7"/>
      <c r="AW791" s="7"/>
      <c r="AX791" s="7"/>
      <c r="AY791" s="7"/>
      <c r="AZ791" s="7"/>
      <c r="BA791" s="7"/>
      <c r="BB791" s="7"/>
      <c r="BC791" s="7"/>
      <c r="BD791" s="7"/>
      <c r="BE791" s="7"/>
      <c r="BF791" s="7"/>
      <c r="BG791" s="7"/>
      <c r="BH791" s="7"/>
      <c r="BI791" s="7"/>
      <c r="BJ791" s="7"/>
      <c r="BK791" s="7"/>
      <c r="BL791" s="7"/>
      <c r="BM791" s="7"/>
      <c r="BN791" s="7"/>
      <c r="BO791" s="7"/>
      <c r="BP791" s="7"/>
      <c r="BQ791" s="7"/>
      <c r="BR791" s="7"/>
      <c r="BS791" s="7"/>
      <c r="BT791" s="7"/>
      <c r="BU791" s="7"/>
      <c r="BV791" s="7"/>
      <c r="BW791" s="7"/>
      <c r="BX791" s="7"/>
      <c r="BY791" s="7"/>
      <c r="BZ791" s="7"/>
    </row>
    <row r="792" ht="16.5" customHeight="1">
      <c r="AT792" s="7"/>
      <c r="AU792" s="7"/>
      <c r="AV792" s="7"/>
      <c r="AW792" s="7"/>
      <c r="AX792" s="7"/>
      <c r="AY792" s="7"/>
      <c r="AZ792" s="7"/>
      <c r="BA792" s="7"/>
      <c r="BB792" s="7"/>
      <c r="BC792" s="7"/>
      <c r="BD792" s="7"/>
      <c r="BE792" s="7"/>
      <c r="BF792" s="7"/>
      <c r="BG792" s="7"/>
      <c r="BH792" s="7"/>
      <c r="BI792" s="7"/>
      <c r="BJ792" s="7"/>
      <c r="BK792" s="7"/>
      <c r="BL792" s="7"/>
      <c r="BM792" s="7"/>
      <c r="BN792" s="7"/>
      <c r="BO792" s="7"/>
      <c r="BP792" s="7"/>
      <c r="BQ792" s="7"/>
      <c r="BR792" s="7"/>
      <c r="BS792" s="7"/>
      <c r="BT792" s="7"/>
      <c r="BU792" s="7"/>
      <c r="BV792" s="7"/>
      <c r="BW792" s="7"/>
      <c r="BX792" s="7"/>
      <c r="BY792" s="7"/>
      <c r="BZ792" s="7"/>
    </row>
    <row r="793" ht="16.5" customHeight="1">
      <c r="AT793" s="7"/>
      <c r="AU793" s="7"/>
      <c r="AV793" s="7"/>
      <c r="AW793" s="7"/>
      <c r="AX793" s="7"/>
      <c r="AY793" s="7"/>
      <c r="AZ793" s="7"/>
      <c r="BA793" s="7"/>
      <c r="BB793" s="7"/>
      <c r="BC793" s="7"/>
      <c r="BD793" s="7"/>
      <c r="BE793" s="7"/>
      <c r="BF793" s="7"/>
      <c r="BG793" s="7"/>
      <c r="BH793" s="7"/>
      <c r="BI793" s="7"/>
      <c r="BJ793" s="7"/>
      <c r="BK793" s="7"/>
      <c r="BL793" s="7"/>
      <c r="BM793" s="7"/>
      <c r="BN793" s="7"/>
      <c r="BO793" s="7"/>
      <c r="BP793" s="7"/>
      <c r="BQ793" s="7"/>
      <c r="BR793" s="7"/>
      <c r="BS793" s="7"/>
      <c r="BT793" s="7"/>
      <c r="BU793" s="7"/>
      <c r="BV793" s="7"/>
      <c r="BW793" s="7"/>
      <c r="BX793" s="7"/>
      <c r="BY793" s="7"/>
      <c r="BZ793" s="7"/>
    </row>
    <row r="794" ht="16.5" customHeight="1">
      <c r="AT794" s="7"/>
      <c r="AU794" s="7"/>
      <c r="AV794" s="7"/>
      <c r="AW794" s="7"/>
      <c r="AX794" s="7"/>
      <c r="AY794" s="7"/>
      <c r="AZ794" s="7"/>
      <c r="BA794" s="7"/>
      <c r="BB794" s="7"/>
      <c r="BC794" s="7"/>
      <c r="BD794" s="7"/>
      <c r="BE794" s="7"/>
      <c r="BF794" s="7"/>
      <c r="BG794" s="7"/>
      <c r="BH794" s="7"/>
      <c r="BI794" s="7"/>
      <c r="BJ794" s="7"/>
      <c r="BK794" s="7"/>
      <c r="BL794" s="7"/>
      <c r="BM794" s="7"/>
      <c r="BN794" s="7"/>
      <c r="BO794" s="7"/>
      <c r="BP794" s="7"/>
      <c r="BQ794" s="7"/>
      <c r="BR794" s="7"/>
      <c r="BS794" s="7"/>
      <c r="BT794" s="7"/>
      <c r="BU794" s="7"/>
      <c r="BV794" s="7"/>
      <c r="BW794" s="7"/>
      <c r="BX794" s="7"/>
      <c r="BY794" s="7"/>
      <c r="BZ794" s="7"/>
    </row>
    <row r="795" ht="16.5" customHeight="1">
      <c r="AT795" s="7"/>
      <c r="AU795" s="7"/>
      <c r="AV795" s="7"/>
      <c r="AW795" s="7"/>
      <c r="AX795" s="7"/>
      <c r="AY795" s="7"/>
      <c r="AZ795" s="7"/>
      <c r="BA795" s="7"/>
      <c r="BB795" s="7"/>
      <c r="BC795" s="7"/>
      <c r="BD795" s="7"/>
      <c r="BE795" s="7"/>
      <c r="BF795" s="7"/>
      <c r="BG795" s="7"/>
      <c r="BH795" s="7"/>
      <c r="BI795" s="7"/>
      <c r="BJ795" s="7"/>
      <c r="BK795" s="7"/>
      <c r="BL795" s="7"/>
      <c r="BM795" s="7"/>
      <c r="BN795" s="7"/>
      <c r="BO795" s="7"/>
      <c r="BP795" s="7"/>
      <c r="BQ795" s="7"/>
      <c r="BR795" s="7"/>
      <c r="BS795" s="7"/>
      <c r="BT795" s="7"/>
      <c r="BU795" s="7"/>
      <c r="BV795" s="7"/>
      <c r="BW795" s="7"/>
      <c r="BX795" s="7"/>
      <c r="BY795" s="7"/>
      <c r="BZ795" s="7"/>
    </row>
    <row r="796" ht="16.5" customHeight="1">
      <c r="AT796" s="7"/>
      <c r="AU796" s="7"/>
      <c r="AV796" s="7"/>
      <c r="AW796" s="7"/>
      <c r="AX796" s="7"/>
      <c r="AY796" s="7"/>
      <c r="AZ796" s="7"/>
      <c r="BA796" s="7"/>
      <c r="BB796" s="7"/>
      <c r="BC796" s="7"/>
      <c r="BD796" s="7"/>
      <c r="BE796" s="7"/>
      <c r="BF796" s="7"/>
      <c r="BG796" s="7"/>
      <c r="BH796" s="7"/>
      <c r="BI796" s="7"/>
      <c r="BJ796" s="7"/>
      <c r="BK796" s="7"/>
      <c r="BL796" s="7"/>
      <c r="BM796" s="7"/>
      <c r="BN796" s="7"/>
      <c r="BO796" s="7"/>
      <c r="BP796" s="7"/>
      <c r="BQ796" s="7"/>
      <c r="BR796" s="7"/>
      <c r="BS796" s="7"/>
      <c r="BT796" s="7"/>
      <c r="BU796" s="7"/>
      <c r="BV796" s="7"/>
      <c r="BW796" s="7"/>
      <c r="BX796" s="7"/>
      <c r="BY796" s="7"/>
      <c r="BZ796" s="7"/>
    </row>
    <row r="797" ht="16.5" customHeight="1">
      <c r="AT797" s="7"/>
      <c r="AU797" s="7"/>
      <c r="AV797" s="7"/>
      <c r="AW797" s="7"/>
      <c r="AX797" s="7"/>
      <c r="AY797" s="7"/>
      <c r="AZ797" s="7"/>
      <c r="BA797" s="7"/>
      <c r="BB797" s="7"/>
      <c r="BC797" s="7"/>
      <c r="BD797" s="7"/>
      <c r="BE797" s="7"/>
      <c r="BF797" s="7"/>
      <c r="BG797" s="7"/>
      <c r="BH797" s="7"/>
      <c r="BI797" s="7"/>
      <c r="BJ797" s="7"/>
      <c r="BK797" s="7"/>
      <c r="BL797" s="7"/>
      <c r="BM797" s="7"/>
      <c r="BN797" s="7"/>
      <c r="BO797" s="7"/>
      <c r="BP797" s="7"/>
      <c r="BQ797" s="7"/>
      <c r="BR797" s="7"/>
      <c r="BS797" s="7"/>
      <c r="BT797" s="7"/>
      <c r="BU797" s="7"/>
      <c r="BV797" s="7"/>
      <c r="BW797" s="7"/>
      <c r="BX797" s="7"/>
      <c r="BY797" s="7"/>
      <c r="BZ797" s="7"/>
    </row>
    <row r="798" ht="16.5" customHeight="1">
      <c r="AT798" s="7"/>
      <c r="AU798" s="7"/>
      <c r="AV798" s="7"/>
      <c r="AW798" s="7"/>
      <c r="AX798" s="7"/>
      <c r="AY798" s="7"/>
      <c r="AZ798" s="7"/>
      <c r="BA798" s="7"/>
      <c r="BB798" s="7"/>
      <c r="BC798" s="7"/>
      <c r="BD798" s="7"/>
      <c r="BE798" s="7"/>
      <c r="BF798" s="7"/>
      <c r="BG798" s="7"/>
      <c r="BH798" s="7"/>
      <c r="BI798" s="7"/>
      <c r="BJ798" s="7"/>
      <c r="BK798" s="7"/>
      <c r="BL798" s="7"/>
      <c r="BM798" s="7"/>
      <c r="BN798" s="7"/>
      <c r="BO798" s="7"/>
      <c r="BP798" s="7"/>
      <c r="BQ798" s="7"/>
      <c r="BR798" s="7"/>
      <c r="BS798" s="7"/>
      <c r="BT798" s="7"/>
      <c r="BU798" s="7"/>
      <c r="BV798" s="7"/>
      <c r="BW798" s="7"/>
      <c r="BX798" s="7"/>
      <c r="BY798" s="7"/>
      <c r="BZ798" s="7"/>
    </row>
    <row r="799" ht="16.5" customHeight="1">
      <c r="AT799" s="7"/>
      <c r="AU799" s="7"/>
      <c r="AV799" s="7"/>
      <c r="AW799" s="7"/>
      <c r="AX799" s="7"/>
      <c r="AY799" s="7"/>
      <c r="AZ799" s="7"/>
      <c r="BA799" s="7"/>
      <c r="BB799" s="7"/>
      <c r="BC799" s="7"/>
      <c r="BD799" s="7"/>
      <c r="BE799" s="7"/>
      <c r="BF799" s="7"/>
      <c r="BG799" s="7"/>
      <c r="BH799" s="7"/>
      <c r="BI799" s="7"/>
      <c r="BJ799" s="7"/>
      <c r="BK799" s="7"/>
      <c r="BL799" s="7"/>
      <c r="BM799" s="7"/>
      <c r="BN799" s="7"/>
      <c r="BO799" s="7"/>
      <c r="BP799" s="7"/>
      <c r="BQ799" s="7"/>
      <c r="BR799" s="7"/>
      <c r="BS799" s="7"/>
      <c r="BT799" s="7"/>
      <c r="BU799" s="7"/>
      <c r="BV799" s="7"/>
      <c r="BW799" s="7"/>
      <c r="BX799" s="7"/>
      <c r="BY799" s="7"/>
      <c r="BZ799" s="7"/>
    </row>
    <row r="800" ht="16.5" customHeight="1">
      <c r="AT800" s="7"/>
      <c r="AU800" s="7"/>
      <c r="AV800" s="7"/>
      <c r="AW800" s="7"/>
      <c r="AX800" s="7"/>
      <c r="AY800" s="7"/>
      <c r="AZ800" s="7"/>
      <c r="BA800" s="7"/>
      <c r="BB800" s="7"/>
      <c r="BC800" s="7"/>
      <c r="BD800" s="7"/>
      <c r="BE800" s="7"/>
      <c r="BF800" s="7"/>
      <c r="BG800" s="7"/>
      <c r="BH800" s="7"/>
      <c r="BI800" s="7"/>
      <c r="BJ800" s="7"/>
      <c r="BK800" s="7"/>
      <c r="BL800" s="7"/>
      <c r="BM800" s="7"/>
      <c r="BN800" s="7"/>
      <c r="BO800" s="7"/>
      <c r="BP800" s="7"/>
      <c r="BQ800" s="7"/>
      <c r="BR800" s="7"/>
      <c r="BS800" s="7"/>
      <c r="BT800" s="7"/>
      <c r="BU800" s="7"/>
      <c r="BV800" s="7"/>
      <c r="BW800" s="7"/>
      <c r="BX800" s="7"/>
      <c r="BY800" s="7"/>
      <c r="BZ800" s="7"/>
    </row>
    <row r="801" ht="16.5" customHeight="1">
      <c r="AT801" s="7"/>
      <c r="AU801" s="7"/>
      <c r="AV801" s="7"/>
      <c r="AW801" s="7"/>
      <c r="AX801" s="7"/>
      <c r="AY801" s="7"/>
      <c r="AZ801" s="7"/>
      <c r="BA801" s="7"/>
      <c r="BB801" s="7"/>
      <c r="BC801" s="7"/>
      <c r="BD801" s="7"/>
      <c r="BE801" s="7"/>
      <c r="BF801" s="7"/>
      <c r="BG801" s="7"/>
      <c r="BH801" s="7"/>
      <c r="BI801" s="7"/>
      <c r="BJ801" s="7"/>
      <c r="BK801" s="7"/>
      <c r="BL801" s="7"/>
      <c r="BM801" s="7"/>
      <c r="BN801" s="7"/>
      <c r="BO801" s="7"/>
      <c r="BP801" s="7"/>
      <c r="BQ801" s="7"/>
      <c r="BR801" s="7"/>
      <c r="BS801" s="7"/>
      <c r="BT801" s="7"/>
      <c r="BU801" s="7"/>
      <c r="BV801" s="7"/>
      <c r="BW801" s="7"/>
      <c r="BX801" s="7"/>
      <c r="BY801" s="7"/>
      <c r="BZ801" s="7"/>
    </row>
    <row r="802" ht="16.5" customHeight="1">
      <c r="AT802" s="7"/>
      <c r="AU802" s="7"/>
      <c r="AV802" s="7"/>
      <c r="AW802" s="7"/>
      <c r="AX802" s="7"/>
      <c r="AY802" s="7"/>
      <c r="AZ802" s="7"/>
      <c r="BA802" s="7"/>
      <c r="BB802" s="7"/>
      <c r="BC802" s="7"/>
      <c r="BD802" s="7"/>
      <c r="BE802" s="7"/>
      <c r="BF802" s="7"/>
      <c r="BG802" s="7"/>
      <c r="BH802" s="7"/>
      <c r="BI802" s="7"/>
      <c r="BJ802" s="7"/>
      <c r="BK802" s="7"/>
      <c r="BL802" s="7"/>
      <c r="BM802" s="7"/>
      <c r="BN802" s="7"/>
      <c r="BO802" s="7"/>
      <c r="BP802" s="7"/>
      <c r="BQ802" s="7"/>
      <c r="BR802" s="7"/>
      <c r="BS802" s="7"/>
      <c r="BT802" s="7"/>
      <c r="BU802" s="7"/>
      <c r="BV802" s="7"/>
      <c r="BW802" s="7"/>
      <c r="BX802" s="7"/>
      <c r="BY802" s="7"/>
      <c r="BZ802" s="7"/>
    </row>
    <row r="803" ht="16.5" customHeight="1">
      <c r="AT803" s="7"/>
      <c r="AU803" s="7"/>
      <c r="AV803" s="7"/>
      <c r="AW803" s="7"/>
      <c r="AX803" s="7"/>
      <c r="AY803" s="7"/>
      <c r="AZ803" s="7"/>
      <c r="BA803" s="7"/>
      <c r="BB803" s="7"/>
      <c r="BC803" s="7"/>
      <c r="BD803" s="7"/>
      <c r="BE803" s="7"/>
      <c r="BF803" s="7"/>
      <c r="BG803" s="7"/>
      <c r="BH803" s="7"/>
      <c r="BI803" s="7"/>
      <c r="BJ803" s="7"/>
      <c r="BK803" s="7"/>
      <c r="BL803" s="7"/>
      <c r="BM803" s="7"/>
      <c r="BN803" s="7"/>
      <c r="BO803" s="7"/>
      <c r="BP803" s="7"/>
      <c r="BQ803" s="7"/>
      <c r="BR803" s="7"/>
      <c r="BS803" s="7"/>
      <c r="BT803" s="7"/>
      <c r="BU803" s="7"/>
      <c r="BV803" s="7"/>
      <c r="BW803" s="7"/>
      <c r="BX803" s="7"/>
      <c r="BY803" s="7"/>
      <c r="BZ803" s="7"/>
    </row>
    <row r="804" ht="16.5" customHeight="1">
      <c r="AT804" s="7"/>
      <c r="AU804" s="7"/>
      <c r="AV804" s="7"/>
      <c r="AW804" s="7"/>
      <c r="AX804" s="7"/>
      <c r="AY804" s="7"/>
      <c r="AZ804" s="7"/>
      <c r="BA804" s="7"/>
      <c r="BB804" s="7"/>
      <c r="BC804" s="7"/>
      <c r="BD804" s="7"/>
      <c r="BE804" s="7"/>
      <c r="BF804" s="7"/>
      <c r="BG804" s="7"/>
      <c r="BH804" s="7"/>
      <c r="BI804" s="7"/>
      <c r="BJ804" s="7"/>
      <c r="BK804" s="7"/>
      <c r="BL804" s="7"/>
      <c r="BM804" s="7"/>
      <c r="BN804" s="7"/>
      <c r="BO804" s="7"/>
      <c r="BP804" s="7"/>
      <c r="BQ804" s="7"/>
      <c r="BR804" s="7"/>
      <c r="BS804" s="7"/>
      <c r="BT804" s="7"/>
      <c r="BU804" s="7"/>
      <c r="BV804" s="7"/>
      <c r="BW804" s="7"/>
      <c r="BX804" s="7"/>
      <c r="BY804" s="7"/>
      <c r="BZ804" s="7"/>
    </row>
    <row r="805" ht="16.5" customHeight="1">
      <c r="AT805" s="7"/>
      <c r="AU805" s="7"/>
      <c r="AV805" s="7"/>
      <c r="AW805" s="7"/>
      <c r="AX805" s="7"/>
      <c r="AY805" s="7"/>
      <c r="AZ805" s="7"/>
      <c r="BA805" s="7"/>
      <c r="BB805" s="7"/>
      <c r="BC805" s="7"/>
      <c r="BD805" s="7"/>
      <c r="BE805" s="7"/>
      <c r="BF805" s="7"/>
      <c r="BG805" s="7"/>
      <c r="BH805" s="7"/>
      <c r="BI805" s="7"/>
      <c r="BJ805" s="7"/>
      <c r="BK805" s="7"/>
      <c r="BL805" s="7"/>
      <c r="BM805" s="7"/>
      <c r="BN805" s="7"/>
      <c r="BO805" s="7"/>
      <c r="BP805" s="7"/>
      <c r="BQ805" s="7"/>
      <c r="BR805" s="7"/>
      <c r="BS805" s="7"/>
      <c r="BT805" s="7"/>
      <c r="BU805" s="7"/>
      <c r="BV805" s="7"/>
      <c r="BW805" s="7"/>
      <c r="BX805" s="7"/>
      <c r="BY805" s="7"/>
      <c r="BZ805" s="7"/>
    </row>
    <row r="806" ht="16.5" customHeight="1">
      <c r="AT806" s="7"/>
      <c r="AU806" s="7"/>
      <c r="AV806" s="7"/>
      <c r="AW806" s="7"/>
      <c r="AX806" s="7"/>
      <c r="AY806" s="7"/>
      <c r="AZ806" s="7"/>
      <c r="BA806" s="7"/>
      <c r="BB806" s="7"/>
      <c r="BC806" s="7"/>
      <c r="BD806" s="7"/>
      <c r="BE806" s="7"/>
      <c r="BF806" s="7"/>
      <c r="BG806" s="7"/>
      <c r="BH806" s="7"/>
      <c r="BI806" s="7"/>
      <c r="BJ806" s="7"/>
      <c r="BK806" s="7"/>
      <c r="BL806" s="7"/>
      <c r="BM806" s="7"/>
      <c r="BN806" s="7"/>
      <c r="BO806" s="7"/>
      <c r="BP806" s="7"/>
      <c r="BQ806" s="7"/>
      <c r="BR806" s="7"/>
      <c r="BS806" s="7"/>
      <c r="BT806" s="7"/>
      <c r="BU806" s="7"/>
      <c r="BV806" s="7"/>
      <c r="BW806" s="7"/>
      <c r="BX806" s="7"/>
      <c r="BY806" s="7"/>
      <c r="BZ806" s="7"/>
    </row>
    <row r="807" ht="16.5" customHeight="1">
      <c r="AT807" s="7"/>
      <c r="AU807" s="7"/>
      <c r="AV807" s="7"/>
      <c r="AW807" s="7"/>
      <c r="AX807" s="7"/>
      <c r="AY807" s="7"/>
      <c r="AZ807" s="7"/>
      <c r="BA807" s="7"/>
      <c r="BB807" s="7"/>
      <c r="BC807" s="7"/>
      <c r="BD807" s="7"/>
      <c r="BE807" s="7"/>
      <c r="BF807" s="7"/>
      <c r="BG807" s="7"/>
      <c r="BH807" s="7"/>
      <c r="BI807" s="7"/>
      <c r="BJ807" s="7"/>
      <c r="BK807" s="7"/>
      <c r="BL807" s="7"/>
      <c r="BM807" s="7"/>
      <c r="BN807" s="7"/>
      <c r="BO807" s="7"/>
      <c r="BP807" s="7"/>
      <c r="BQ807" s="7"/>
      <c r="BR807" s="7"/>
      <c r="BS807" s="7"/>
      <c r="BT807" s="7"/>
      <c r="BU807" s="7"/>
      <c r="BV807" s="7"/>
      <c r="BW807" s="7"/>
      <c r="BX807" s="7"/>
      <c r="BY807" s="7"/>
      <c r="BZ807" s="7"/>
    </row>
    <row r="808" ht="16.5" customHeight="1">
      <c r="AT808" s="7"/>
      <c r="AU808" s="7"/>
      <c r="AV808" s="7"/>
      <c r="AW808" s="7"/>
      <c r="AX808" s="7"/>
      <c r="AY808" s="7"/>
      <c r="AZ808" s="7"/>
      <c r="BA808" s="7"/>
      <c r="BB808" s="7"/>
      <c r="BC808" s="7"/>
      <c r="BD808" s="7"/>
      <c r="BE808" s="7"/>
      <c r="BF808" s="7"/>
      <c r="BG808" s="7"/>
      <c r="BH808" s="7"/>
      <c r="BI808" s="7"/>
      <c r="BJ808" s="7"/>
      <c r="BK808" s="7"/>
      <c r="BL808" s="7"/>
      <c r="BM808" s="7"/>
      <c r="BN808" s="7"/>
      <c r="BO808" s="7"/>
      <c r="BP808" s="7"/>
      <c r="BQ808" s="7"/>
      <c r="BR808" s="7"/>
      <c r="BS808" s="7"/>
      <c r="BT808" s="7"/>
      <c r="BU808" s="7"/>
      <c r="BV808" s="7"/>
      <c r="BW808" s="7"/>
      <c r="BX808" s="7"/>
      <c r="BY808" s="7"/>
      <c r="BZ808" s="7"/>
    </row>
    <row r="809" ht="16.5" customHeight="1">
      <c r="AT809" s="7"/>
      <c r="AU809" s="7"/>
      <c r="AV809" s="7"/>
      <c r="AW809" s="7"/>
      <c r="AX809" s="7"/>
      <c r="AY809" s="7"/>
      <c r="AZ809" s="7"/>
      <c r="BA809" s="7"/>
      <c r="BB809" s="7"/>
      <c r="BC809" s="7"/>
      <c r="BD809" s="7"/>
      <c r="BE809" s="7"/>
      <c r="BF809" s="7"/>
      <c r="BG809" s="7"/>
      <c r="BH809" s="7"/>
      <c r="BI809" s="7"/>
      <c r="BJ809" s="7"/>
      <c r="BK809" s="7"/>
      <c r="BL809" s="7"/>
      <c r="BM809" s="7"/>
      <c r="BN809" s="7"/>
      <c r="BO809" s="7"/>
      <c r="BP809" s="7"/>
      <c r="BQ809" s="7"/>
      <c r="BR809" s="7"/>
      <c r="BS809" s="7"/>
      <c r="BT809" s="7"/>
      <c r="BU809" s="7"/>
      <c r="BV809" s="7"/>
      <c r="BW809" s="7"/>
      <c r="BX809" s="7"/>
      <c r="BY809" s="7"/>
      <c r="BZ809" s="7"/>
    </row>
    <row r="810" ht="16.5" customHeight="1">
      <c r="AT810" s="7"/>
      <c r="AU810" s="7"/>
      <c r="AV810" s="7"/>
      <c r="AW810" s="7"/>
      <c r="AX810" s="7"/>
      <c r="AY810" s="7"/>
      <c r="AZ810" s="7"/>
      <c r="BA810" s="7"/>
      <c r="BB810" s="7"/>
      <c r="BC810" s="7"/>
      <c r="BD810" s="7"/>
      <c r="BE810" s="7"/>
      <c r="BF810" s="7"/>
      <c r="BG810" s="7"/>
      <c r="BH810" s="7"/>
      <c r="BI810" s="7"/>
      <c r="BJ810" s="7"/>
      <c r="BK810" s="7"/>
      <c r="BL810" s="7"/>
      <c r="BM810" s="7"/>
      <c r="BN810" s="7"/>
      <c r="BO810" s="7"/>
      <c r="BP810" s="7"/>
      <c r="BQ810" s="7"/>
      <c r="BR810" s="7"/>
      <c r="BS810" s="7"/>
      <c r="BT810" s="7"/>
      <c r="BU810" s="7"/>
      <c r="BV810" s="7"/>
      <c r="BW810" s="7"/>
      <c r="BX810" s="7"/>
      <c r="BY810" s="7"/>
      <c r="BZ810" s="7"/>
    </row>
    <row r="811" ht="16.5" customHeight="1">
      <c r="AT811" s="7"/>
      <c r="AU811" s="7"/>
      <c r="AV811" s="7"/>
      <c r="AW811" s="7"/>
      <c r="AX811" s="7"/>
      <c r="AY811" s="7"/>
      <c r="AZ811" s="7"/>
      <c r="BA811" s="7"/>
      <c r="BB811" s="7"/>
      <c r="BC811" s="7"/>
      <c r="BD811" s="7"/>
      <c r="BE811" s="7"/>
      <c r="BF811" s="7"/>
      <c r="BG811" s="7"/>
      <c r="BH811" s="7"/>
      <c r="BI811" s="7"/>
      <c r="BJ811" s="7"/>
      <c r="BK811" s="7"/>
      <c r="BL811" s="7"/>
      <c r="BM811" s="7"/>
      <c r="BN811" s="7"/>
      <c r="BO811" s="7"/>
      <c r="BP811" s="7"/>
      <c r="BQ811" s="7"/>
      <c r="BR811" s="7"/>
      <c r="BS811" s="7"/>
      <c r="BT811" s="7"/>
      <c r="BU811" s="7"/>
      <c r="BV811" s="7"/>
      <c r="BW811" s="7"/>
      <c r="BX811" s="7"/>
      <c r="BY811" s="7"/>
      <c r="BZ811" s="7"/>
    </row>
    <row r="812" ht="16.5" customHeight="1">
      <c r="AT812" s="7"/>
      <c r="AU812" s="7"/>
      <c r="AV812" s="7"/>
      <c r="AW812" s="7"/>
      <c r="AX812" s="7"/>
      <c r="AY812" s="7"/>
      <c r="AZ812" s="7"/>
      <c r="BA812" s="7"/>
      <c r="BB812" s="7"/>
      <c r="BC812" s="7"/>
      <c r="BD812" s="7"/>
      <c r="BE812" s="7"/>
      <c r="BF812" s="7"/>
      <c r="BG812" s="7"/>
      <c r="BH812" s="7"/>
      <c r="BI812" s="7"/>
      <c r="BJ812" s="7"/>
      <c r="BK812" s="7"/>
      <c r="BL812" s="7"/>
      <c r="BM812" s="7"/>
      <c r="BN812" s="7"/>
      <c r="BO812" s="7"/>
      <c r="BP812" s="7"/>
      <c r="BQ812" s="7"/>
      <c r="BR812" s="7"/>
      <c r="BS812" s="7"/>
      <c r="BT812" s="7"/>
      <c r="BU812" s="7"/>
      <c r="BV812" s="7"/>
      <c r="BW812" s="7"/>
      <c r="BX812" s="7"/>
      <c r="BY812" s="7"/>
      <c r="BZ812" s="7"/>
    </row>
    <row r="813" ht="16.5" customHeight="1">
      <c r="AT813" s="7"/>
      <c r="AU813" s="7"/>
      <c r="AV813" s="7"/>
      <c r="AW813" s="7"/>
      <c r="AX813" s="7"/>
      <c r="AY813" s="7"/>
      <c r="AZ813" s="7"/>
      <c r="BA813" s="7"/>
      <c r="BB813" s="7"/>
      <c r="BC813" s="7"/>
      <c r="BD813" s="7"/>
      <c r="BE813" s="7"/>
      <c r="BF813" s="7"/>
      <c r="BG813" s="7"/>
      <c r="BH813" s="7"/>
      <c r="BI813" s="7"/>
      <c r="BJ813" s="7"/>
      <c r="BK813" s="7"/>
      <c r="BL813" s="7"/>
      <c r="BM813" s="7"/>
      <c r="BN813" s="7"/>
      <c r="BO813" s="7"/>
      <c r="BP813" s="7"/>
      <c r="BQ813" s="7"/>
      <c r="BR813" s="7"/>
      <c r="BS813" s="7"/>
      <c r="BT813" s="7"/>
      <c r="BU813" s="7"/>
      <c r="BV813" s="7"/>
      <c r="BW813" s="7"/>
      <c r="BX813" s="7"/>
      <c r="BY813" s="7"/>
      <c r="BZ813" s="7"/>
    </row>
    <row r="814" ht="16.5" customHeight="1">
      <c r="AT814" s="7"/>
      <c r="AU814" s="7"/>
      <c r="AV814" s="7"/>
      <c r="AW814" s="7"/>
      <c r="AX814" s="7"/>
      <c r="AY814" s="7"/>
      <c r="AZ814" s="7"/>
      <c r="BA814" s="7"/>
      <c r="BB814" s="7"/>
      <c r="BC814" s="7"/>
      <c r="BD814" s="7"/>
      <c r="BE814" s="7"/>
      <c r="BF814" s="7"/>
      <c r="BG814" s="7"/>
      <c r="BH814" s="7"/>
      <c r="BI814" s="7"/>
      <c r="BJ814" s="7"/>
      <c r="BK814" s="7"/>
      <c r="BL814" s="7"/>
      <c r="BM814" s="7"/>
      <c r="BN814" s="7"/>
      <c r="BO814" s="7"/>
      <c r="BP814" s="7"/>
      <c r="BQ814" s="7"/>
      <c r="BR814" s="7"/>
      <c r="BS814" s="7"/>
      <c r="BT814" s="7"/>
      <c r="BU814" s="7"/>
      <c r="BV814" s="7"/>
      <c r="BW814" s="7"/>
      <c r="BX814" s="7"/>
      <c r="BY814" s="7"/>
      <c r="BZ814" s="7"/>
    </row>
    <row r="815" ht="16.5" customHeight="1">
      <c r="AT815" s="7"/>
      <c r="AU815" s="7"/>
      <c r="AV815" s="7"/>
      <c r="AW815" s="7"/>
      <c r="AX815" s="7"/>
      <c r="AY815" s="7"/>
      <c r="AZ815" s="7"/>
      <c r="BA815" s="7"/>
      <c r="BB815" s="7"/>
      <c r="BC815" s="7"/>
      <c r="BD815" s="7"/>
      <c r="BE815" s="7"/>
      <c r="BF815" s="7"/>
      <c r="BG815" s="7"/>
      <c r="BH815" s="7"/>
      <c r="BI815" s="7"/>
      <c r="BJ815" s="7"/>
      <c r="BK815" s="7"/>
      <c r="BL815" s="7"/>
      <c r="BM815" s="7"/>
      <c r="BN815" s="7"/>
      <c r="BO815" s="7"/>
      <c r="BP815" s="7"/>
      <c r="BQ815" s="7"/>
      <c r="BR815" s="7"/>
      <c r="BS815" s="7"/>
      <c r="BT815" s="7"/>
      <c r="BU815" s="7"/>
      <c r="BV815" s="7"/>
      <c r="BW815" s="7"/>
      <c r="BX815" s="7"/>
      <c r="BY815" s="7"/>
      <c r="BZ815" s="7"/>
    </row>
    <row r="816" ht="16.5" customHeight="1">
      <c r="AT816" s="7"/>
      <c r="AU816" s="7"/>
      <c r="AV816" s="7"/>
      <c r="AW816" s="7"/>
      <c r="AX816" s="7"/>
      <c r="AY816" s="7"/>
      <c r="AZ816" s="7"/>
      <c r="BA816" s="7"/>
      <c r="BB816" s="7"/>
      <c r="BC816" s="7"/>
      <c r="BD816" s="7"/>
      <c r="BE816" s="7"/>
      <c r="BF816" s="7"/>
      <c r="BG816" s="7"/>
      <c r="BH816" s="7"/>
      <c r="BI816" s="7"/>
      <c r="BJ816" s="7"/>
      <c r="BK816" s="7"/>
      <c r="BL816" s="7"/>
      <c r="BM816" s="7"/>
      <c r="BN816" s="7"/>
      <c r="BO816" s="7"/>
      <c r="BP816" s="7"/>
      <c r="BQ816" s="7"/>
      <c r="BR816" s="7"/>
      <c r="BS816" s="7"/>
      <c r="BT816" s="7"/>
      <c r="BU816" s="7"/>
      <c r="BV816" s="7"/>
      <c r="BW816" s="7"/>
      <c r="BX816" s="7"/>
      <c r="BY816" s="7"/>
      <c r="BZ816" s="7"/>
    </row>
    <row r="817" ht="16.5" customHeight="1">
      <c r="AT817" s="7"/>
      <c r="AU817" s="7"/>
      <c r="AV817" s="7"/>
      <c r="AW817" s="7"/>
      <c r="AX817" s="7"/>
      <c r="AY817" s="7"/>
      <c r="AZ817" s="7"/>
      <c r="BA817" s="7"/>
      <c r="BB817" s="7"/>
      <c r="BC817" s="7"/>
      <c r="BD817" s="7"/>
      <c r="BE817" s="7"/>
      <c r="BF817" s="7"/>
      <c r="BG817" s="7"/>
      <c r="BH817" s="7"/>
      <c r="BI817" s="7"/>
      <c r="BJ817" s="7"/>
      <c r="BK817" s="7"/>
      <c r="BL817" s="7"/>
      <c r="BM817" s="7"/>
      <c r="BN817" s="7"/>
      <c r="BO817" s="7"/>
      <c r="BP817" s="7"/>
      <c r="BQ817" s="7"/>
      <c r="BR817" s="7"/>
      <c r="BS817" s="7"/>
      <c r="BT817" s="7"/>
      <c r="BU817" s="7"/>
      <c r="BV817" s="7"/>
      <c r="BW817" s="7"/>
      <c r="BX817" s="7"/>
      <c r="BY817" s="7"/>
      <c r="BZ817" s="7"/>
    </row>
    <row r="818" ht="16.5" customHeight="1">
      <c r="AT818" s="7"/>
      <c r="AU818" s="7"/>
      <c r="AV818" s="7"/>
      <c r="AW818" s="7"/>
      <c r="AX818" s="7"/>
      <c r="AY818" s="7"/>
      <c r="AZ818" s="7"/>
      <c r="BA818" s="7"/>
      <c r="BB818" s="7"/>
      <c r="BC818" s="7"/>
      <c r="BD818" s="7"/>
      <c r="BE818" s="7"/>
      <c r="BF818" s="7"/>
      <c r="BG818" s="7"/>
      <c r="BH818" s="7"/>
      <c r="BI818" s="7"/>
      <c r="BJ818" s="7"/>
      <c r="BK818" s="7"/>
      <c r="BL818" s="7"/>
      <c r="BM818" s="7"/>
      <c r="BN818" s="7"/>
      <c r="BO818" s="7"/>
      <c r="BP818" s="7"/>
      <c r="BQ818" s="7"/>
      <c r="BR818" s="7"/>
      <c r="BS818" s="7"/>
      <c r="BT818" s="7"/>
      <c r="BU818" s="7"/>
      <c r="BV818" s="7"/>
      <c r="BW818" s="7"/>
      <c r="BX818" s="7"/>
      <c r="BY818" s="7"/>
      <c r="BZ818" s="7"/>
    </row>
    <row r="819" ht="16.5" customHeight="1">
      <c r="AT819" s="7"/>
      <c r="AU819" s="7"/>
      <c r="AV819" s="7"/>
      <c r="AW819" s="7"/>
      <c r="AX819" s="7"/>
      <c r="AY819" s="7"/>
      <c r="AZ819" s="7"/>
      <c r="BA819" s="7"/>
      <c r="BB819" s="7"/>
      <c r="BC819" s="7"/>
      <c r="BD819" s="7"/>
      <c r="BE819" s="7"/>
      <c r="BF819" s="7"/>
      <c r="BG819" s="7"/>
      <c r="BH819" s="7"/>
      <c r="BI819" s="7"/>
      <c r="BJ819" s="7"/>
      <c r="BK819" s="7"/>
      <c r="BL819" s="7"/>
      <c r="BM819" s="7"/>
      <c r="BN819" s="7"/>
      <c r="BO819" s="7"/>
      <c r="BP819" s="7"/>
      <c r="BQ819" s="7"/>
      <c r="BR819" s="7"/>
      <c r="BS819" s="7"/>
      <c r="BT819" s="7"/>
      <c r="BU819" s="7"/>
      <c r="BV819" s="7"/>
      <c r="BW819" s="7"/>
      <c r="BX819" s="7"/>
      <c r="BY819" s="7"/>
      <c r="BZ819" s="7"/>
    </row>
    <row r="820" ht="16.5" customHeight="1">
      <c r="AT820" s="7"/>
      <c r="AU820" s="7"/>
      <c r="AV820" s="7"/>
      <c r="AW820" s="7"/>
      <c r="AX820" s="7"/>
      <c r="AY820" s="7"/>
      <c r="AZ820" s="7"/>
      <c r="BA820" s="7"/>
      <c r="BB820" s="7"/>
      <c r="BC820" s="7"/>
      <c r="BD820" s="7"/>
      <c r="BE820" s="7"/>
      <c r="BF820" s="7"/>
      <c r="BG820" s="7"/>
      <c r="BH820" s="7"/>
      <c r="BI820" s="7"/>
      <c r="BJ820" s="7"/>
      <c r="BK820" s="7"/>
      <c r="BL820" s="7"/>
      <c r="BM820" s="7"/>
      <c r="BN820" s="7"/>
      <c r="BO820" s="7"/>
      <c r="BP820" s="7"/>
      <c r="BQ820" s="7"/>
      <c r="BR820" s="7"/>
      <c r="BS820" s="7"/>
      <c r="BT820" s="7"/>
      <c r="BU820" s="7"/>
      <c r="BV820" s="7"/>
      <c r="BW820" s="7"/>
      <c r="BX820" s="7"/>
      <c r="BY820" s="7"/>
      <c r="BZ820" s="7"/>
    </row>
    <row r="821" ht="16.5" customHeight="1">
      <c r="AT821" s="7"/>
      <c r="AU821" s="7"/>
      <c r="AV821" s="7"/>
      <c r="AW821" s="7"/>
      <c r="AX821" s="7"/>
      <c r="AY821" s="7"/>
      <c r="AZ821" s="7"/>
      <c r="BA821" s="7"/>
      <c r="BB821" s="7"/>
      <c r="BC821" s="7"/>
      <c r="BD821" s="7"/>
      <c r="BE821" s="7"/>
      <c r="BF821" s="7"/>
      <c r="BG821" s="7"/>
      <c r="BH821" s="7"/>
      <c r="BI821" s="7"/>
      <c r="BJ821" s="7"/>
      <c r="BK821" s="7"/>
      <c r="BL821" s="7"/>
      <c r="BM821" s="7"/>
      <c r="BN821" s="7"/>
      <c r="BO821" s="7"/>
      <c r="BP821" s="7"/>
      <c r="BQ821" s="7"/>
      <c r="BR821" s="7"/>
      <c r="BS821" s="7"/>
      <c r="BT821" s="7"/>
      <c r="BU821" s="7"/>
      <c r="BV821" s="7"/>
      <c r="BW821" s="7"/>
      <c r="BX821" s="7"/>
      <c r="BY821" s="7"/>
      <c r="BZ821" s="7"/>
    </row>
    <row r="822" ht="16.5" customHeight="1">
      <c r="AT822" s="7"/>
      <c r="AU822" s="7"/>
      <c r="AV822" s="7"/>
      <c r="AW822" s="7"/>
      <c r="AX822" s="7"/>
      <c r="AY822" s="7"/>
      <c r="AZ822" s="7"/>
      <c r="BA822" s="7"/>
      <c r="BB822" s="7"/>
      <c r="BC822" s="7"/>
      <c r="BD822" s="7"/>
      <c r="BE822" s="7"/>
      <c r="BF822" s="7"/>
      <c r="BG822" s="7"/>
      <c r="BH822" s="7"/>
      <c r="BI822" s="7"/>
      <c r="BJ822" s="7"/>
      <c r="BK822" s="7"/>
      <c r="BL822" s="7"/>
      <c r="BM822" s="7"/>
      <c r="BN822" s="7"/>
      <c r="BO822" s="7"/>
      <c r="BP822" s="7"/>
      <c r="BQ822" s="7"/>
      <c r="BR822" s="7"/>
      <c r="BS822" s="7"/>
      <c r="BT822" s="7"/>
      <c r="BU822" s="7"/>
      <c r="BV822" s="7"/>
      <c r="BW822" s="7"/>
      <c r="BX822" s="7"/>
      <c r="BY822" s="7"/>
      <c r="BZ822" s="7"/>
    </row>
    <row r="823" ht="16.5" customHeight="1">
      <c r="AT823" s="7"/>
      <c r="AU823" s="7"/>
      <c r="AV823" s="7"/>
      <c r="AW823" s="7"/>
      <c r="AX823" s="7"/>
      <c r="AY823" s="7"/>
      <c r="AZ823" s="7"/>
      <c r="BA823" s="7"/>
      <c r="BB823" s="7"/>
      <c r="BC823" s="7"/>
      <c r="BD823" s="7"/>
      <c r="BE823" s="7"/>
      <c r="BF823" s="7"/>
      <c r="BG823" s="7"/>
      <c r="BH823" s="7"/>
      <c r="BI823" s="7"/>
      <c r="BJ823" s="7"/>
      <c r="BK823" s="7"/>
      <c r="BL823" s="7"/>
      <c r="BM823" s="7"/>
      <c r="BN823" s="7"/>
      <c r="BO823" s="7"/>
      <c r="BP823" s="7"/>
      <c r="BQ823" s="7"/>
      <c r="BR823" s="7"/>
      <c r="BS823" s="7"/>
      <c r="BT823" s="7"/>
      <c r="BU823" s="7"/>
      <c r="BV823" s="7"/>
      <c r="BW823" s="7"/>
      <c r="BX823" s="7"/>
      <c r="BY823" s="7"/>
      <c r="BZ823" s="7"/>
    </row>
    <row r="824" ht="16.5" customHeight="1">
      <c r="AT824" s="7"/>
      <c r="AU824" s="7"/>
      <c r="AV824" s="7"/>
      <c r="AW824" s="7"/>
      <c r="AX824" s="7"/>
      <c r="AY824" s="7"/>
      <c r="AZ824" s="7"/>
      <c r="BA824" s="7"/>
      <c r="BB824" s="7"/>
      <c r="BC824" s="7"/>
      <c r="BD824" s="7"/>
      <c r="BE824" s="7"/>
      <c r="BF824" s="7"/>
      <c r="BG824" s="7"/>
      <c r="BH824" s="7"/>
      <c r="BI824" s="7"/>
      <c r="BJ824" s="7"/>
      <c r="BK824" s="7"/>
      <c r="BL824" s="7"/>
      <c r="BM824" s="7"/>
      <c r="BN824" s="7"/>
      <c r="BO824" s="7"/>
      <c r="BP824" s="7"/>
      <c r="BQ824" s="7"/>
      <c r="BR824" s="7"/>
      <c r="BS824" s="7"/>
      <c r="BT824" s="7"/>
      <c r="BU824" s="7"/>
      <c r="BV824" s="7"/>
      <c r="BW824" s="7"/>
      <c r="BX824" s="7"/>
      <c r="BY824" s="7"/>
      <c r="BZ824" s="7"/>
    </row>
    <row r="825" ht="16.5" customHeight="1">
      <c r="AT825" s="7"/>
      <c r="AU825" s="7"/>
      <c r="AV825" s="7"/>
      <c r="AW825" s="7"/>
      <c r="AX825" s="7"/>
      <c r="AY825" s="7"/>
      <c r="AZ825" s="7"/>
      <c r="BA825" s="7"/>
      <c r="BB825" s="7"/>
      <c r="BC825" s="7"/>
      <c r="BD825" s="7"/>
      <c r="BE825" s="7"/>
      <c r="BF825" s="7"/>
      <c r="BG825" s="7"/>
      <c r="BH825" s="7"/>
      <c r="BI825" s="7"/>
      <c r="BJ825" s="7"/>
      <c r="BK825" s="7"/>
      <c r="BL825" s="7"/>
      <c r="BM825" s="7"/>
      <c r="BN825" s="7"/>
      <c r="BO825" s="7"/>
      <c r="BP825" s="7"/>
      <c r="BQ825" s="7"/>
      <c r="BR825" s="7"/>
      <c r="BS825" s="7"/>
      <c r="BT825" s="7"/>
      <c r="BU825" s="7"/>
      <c r="BV825" s="7"/>
      <c r="BW825" s="7"/>
      <c r="BX825" s="7"/>
      <c r="BY825" s="7"/>
      <c r="BZ825" s="7"/>
    </row>
    <row r="826" ht="16.5" customHeight="1">
      <c r="AT826" s="7"/>
      <c r="AU826" s="7"/>
      <c r="AV826" s="7"/>
      <c r="AW826" s="7"/>
      <c r="AX826" s="7"/>
      <c r="AY826" s="7"/>
      <c r="AZ826" s="7"/>
      <c r="BA826" s="7"/>
      <c r="BB826" s="7"/>
      <c r="BC826" s="7"/>
      <c r="BD826" s="7"/>
      <c r="BE826" s="7"/>
      <c r="BF826" s="7"/>
      <c r="BG826" s="7"/>
      <c r="BH826" s="7"/>
      <c r="BI826" s="7"/>
      <c r="BJ826" s="7"/>
      <c r="BK826" s="7"/>
      <c r="BL826" s="7"/>
      <c r="BM826" s="7"/>
      <c r="BN826" s="7"/>
      <c r="BO826" s="7"/>
      <c r="BP826" s="7"/>
      <c r="BQ826" s="7"/>
      <c r="BR826" s="7"/>
      <c r="BS826" s="7"/>
      <c r="BT826" s="7"/>
      <c r="BU826" s="7"/>
      <c r="BV826" s="7"/>
      <c r="BW826" s="7"/>
      <c r="BX826" s="7"/>
      <c r="BY826" s="7"/>
      <c r="BZ826" s="7"/>
    </row>
    <row r="827" ht="16.5" customHeight="1">
      <c r="AT827" s="7"/>
      <c r="AU827" s="7"/>
      <c r="AV827" s="7"/>
      <c r="AW827" s="7"/>
      <c r="AX827" s="7"/>
      <c r="AY827" s="7"/>
      <c r="AZ827" s="7"/>
      <c r="BA827" s="7"/>
      <c r="BB827" s="7"/>
      <c r="BC827" s="7"/>
      <c r="BD827" s="7"/>
      <c r="BE827" s="7"/>
      <c r="BF827" s="7"/>
      <c r="BG827" s="7"/>
      <c r="BH827" s="7"/>
      <c r="BI827" s="7"/>
      <c r="BJ827" s="7"/>
      <c r="BK827" s="7"/>
      <c r="BL827" s="7"/>
      <c r="BM827" s="7"/>
      <c r="BN827" s="7"/>
      <c r="BO827" s="7"/>
      <c r="BP827" s="7"/>
      <c r="BQ827" s="7"/>
      <c r="BR827" s="7"/>
      <c r="BS827" s="7"/>
      <c r="BT827" s="7"/>
      <c r="BU827" s="7"/>
      <c r="BV827" s="7"/>
      <c r="BW827" s="7"/>
      <c r="BX827" s="7"/>
      <c r="BY827" s="7"/>
      <c r="BZ827" s="7"/>
    </row>
    <row r="828" ht="16.5" customHeight="1">
      <c r="AT828" s="7"/>
      <c r="AU828" s="7"/>
      <c r="AV828" s="7"/>
      <c r="AW828" s="7"/>
      <c r="AX828" s="7"/>
      <c r="AY828" s="7"/>
      <c r="AZ828" s="7"/>
      <c r="BA828" s="7"/>
      <c r="BB828" s="7"/>
      <c r="BC828" s="7"/>
      <c r="BD828" s="7"/>
      <c r="BE828" s="7"/>
      <c r="BF828" s="7"/>
      <c r="BG828" s="7"/>
      <c r="BH828" s="7"/>
      <c r="BI828" s="7"/>
      <c r="BJ828" s="7"/>
      <c r="BK828" s="7"/>
      <c r="BL828" s="7"/>
      <c r="BM828" s="7"/>
      <c r="BN828" s="7"/>
      <c r="BO828" s="7"/>
      <c r="BP828" s="7"/>
      <c r="BQ828" s="7"/>
      <c r="BR828" s="7"/>
      <c r="BS828" s="7"/>
      <c r="BT828" s="7"/>
      <c r="BU828" s="7"/>
      <c r="BV828" s="7"/>
      <c r="BW828" s="7"/>
      <c r="BX828" s="7"/>
      <c r="BY828" s="7"/>
      <c r="BZ828" s="7"/>
    </row>
    <row r="829" ht="16.5" customHeight="1">
      <c r="AT829" s="7"/>
      <c r="AU829" s="7"/>
      <c r="AV829" s="7"/>
      <c r="AW829" s="7"/>
      <c r="AX829" s="7"/>
      <c r="AY829" s="7"/>
      <c r="AZ829" s="7"/>
      <c r="BA829" s="7"/>
      <c r="BB829" s="7"/>
      <c r="BC829" s="7"/>
      <c r="BD829" s="7"/>
      <c r="BE829" s="7"/>
      <c r="BF829" s="7"/>
      <c r="BG829" s="7"/>
      <c r="BH829" s="7"/>
      <c r="BI829" s="7"/>
      <c r="BJ829" s="7"/>
      <c r="BK829" s="7"/>
      <c r="BL829" s="7"/>
      <c r="BM829" s="7"/>
      <c r="BN829" s="7"/>
      <c r="BO829" s="7"/>
      <c r="BP829" s="7"/>
      <c r="BQ829" s="7"/>
      <c r="BR829" s="7"/>
      <c r="BS829" s="7"/>
      <c r="BT829" s="7"/>
      <c r="BU829" s="7"/>
      <c r="BV829" s="7"/>
      <c r="BW829" s="7"/>
      <c r="BX829" s="7"/>
      <c r="BY829" s="7"/>
      <c r="BZ829" s="7"/>
    </row>
    <row r="830" ht="16.5" customHeight="1">
      <c r="AT830" s="7"/>
      <c r="AU830" s="7"/>
      <c r="AV830" s="7"/>
      <c r="AW830" s="7"/>
      <c r="AX830" s="7"/>
      <c r="AY830" s="7"/>
      <c r="AZ830" s="7"/>
      <c r="BA830" s="7"/>
      <c r="BB830" s="7"/>
      <c r="BC830" s="7"/>
      <c r="BD830" s="7"/>
      <c r="BE830" s="7"/>
      <c r="BF830" s="7"/>
      <c r="BG830" s="7"/>
      <c r="BH830" s="7"/>
      <c r="BI830" s="7"/>
      <c r="BJ830" s="7"/>
      <c r="BK830" s="7"/>
      <c r="BL830" s="7"/>
      <c r="BM830" s="7"/>
      <c r="BN830" s="7"/>
      <c r="BO830" s="7"/>
      <c r="BP830" s="7"/>
      <c r="BQ830" s="7"/>
      <c r="BR830" s="7"/>
      <c r="BS830" s="7"/>
      <c r="BT830" s="7"/>
      <c r="BU830" s="7"/>
      <c r="BV830" s="7"/>
      <c r="BW830" s="7"/>
      <c r="BX830" s="7"/>
      <c r="BY830" s="7"/>
      <c r="BZ830" s="7"/>
    </row>
    <row r="831" ht="16.5" customHeight="1">
      <c r="AT831" s="7"/>
      <c r="AU831" s="7"/>
      <c r="AV831" s="7"/>
      <c r="AW831" s="7"/>
      <c r="AX831" s="7"/>
      <c r="AY831" s="7"/>
      <c r="AZ831" s="7"/>
      <c r="BA831" s="7"/>
      <c r="BB831" s="7"/>
      <c r="BC831" s="7"/>
      <c r="BD831" s="7"/>
      <c r="BE831" s="7"/>
      <c r="BF831" s="7"/>
      <c r="BG831" s="7"/>
      <c r="BH831" s="7"/>
      <c r="BI831" s="7"/>
      <c r="BJ831" s="7"/>
      <c r="BK831" s="7"/>
      <c r="BL831" s="7"/>
      <c r="BM831" s="7"/>
      <c r="BN831" s="7"/>
      <c r="BO831" s="7"/>
      <c r="BP831" s="7"/>
      <c r="BQ831" s="7"/>
      <c r="BR831" s="7"/>
      <c r="BS831" s="7"/>
      <c r="BT831" s="7"/>
      <c r="BU831" s="7"/>
      <c r="BV831" s="7"/>
      <c r="BW831" s="7"/>
      <c r="BX831" s="7"/>
      <c r="BY831" s="7"/>
      <c r="BZ831" s="7"/>
    </row>
    <row r="832" ht="16.5" customHeight="1">
      <c r="AT832" s="7"/>
      <c r="AU832" s="7"/>
      <c r="AV832" s="7"/>
      <c r="AW832" s="7"/>
      <c r="AX832" s="7"/>
      <c r="AY832" s="7"/>
      <c r="AZ832" s="7"/>
      <c r="BA832" s="7"/>
      <c r="BB832" s="7"/>
      <c r="BC832" s="7"/>
      <c r="BD832" s="7"/>
      <c r="BE832" s="7"/>
      <c r="BF832" s="7"/>
      <c r="BG832" s="7"/>
      <c r="BH832" s="7"/>
      <c r="BI832" s="7"/>
      <c r="BJ832" s="7"/>
      <c r="BK832" s="7"/>
      <c r="BL832" s="7"/>
      <c r="BM832" s="7"/>
      <c r="BN832" s="7"/>
      <c r="BO832" s="7"/>
      <c r="BP832" s="7"/>
      <c r="BQ832" s="7"/>
      <c r="BR832" s="7"/>
      <c r="BS832" s="7"/>
      <c r="BT832" s="7"/>
      <c r="BU832" s="7"/>
      <c r="BV832" s="7"/>
      <c r="BW832" s="7"/>
      <c r="BX832" s="7"/>
      <c r="BY832" s="7"/>
      <c r="BZ832" s="7"/>
    </row>
    <row r="833" ht="16.5" customHeight="1">
      <c r="AT833" s="7"/>
      <c r="AU833" s="7"/>
      <c r="AV833" s="7"/>
      <c r="AW833" s="7"/>
      <c r="AX833" s="7"/>
      <c r="AY833" s="7"/>
      <c r="AZ833" s="7"/>
      <c r="BA833" s="7"/>
      <c r="BB833" s="7"/>
      <c r="BC833" s="7"/>
      <c r="BD833" s="7"/>
      <c r="BE833" s="7"/>
      <c r="BF833" s="7"/>
      <c r="BG833" s="7"/>
      <c r="BH833" s="7"/>
      <c r="BI833" s="7"/>
      <c r="BJ833" s="7"/>
      <c r="BK833" s="7"/>
      <c r="BL833" s="7"/>
      <c r="BM833" s="7"/>
      <c r="BN833" s="7"/>
      <c r="BO833" s="7"/>
      <c r="BP833" s="7"/>
      <c r="BQ833" s="7"/>
      <c r="BR833" s="7"/>
      <c r="BS833" s="7"/>
      <c r="BT833" s="7"/>
      <c r="BU833" s="7"/>
      <c r="BV833" s="7"/>
      <c r="BW833" s="7"/>
      <c r="BX833" s="7"/>
      <c r="BY833" s="7"/>
      <c r="BZ833" s="7"/>
    </row>
    <row r="834" ht="16.5" customHeight="1">
      <c r="AT834" s="7"/>
      <c r="AU834" s="7"/>
      <c r="AV834" s="7"/>
      <c r="AW834" s="7"/>
      <c r="AX834" s="7"/>
      <c r="AY834" s="7"/>
      <c r="AZ834" s="7"/>
      <c r="BA834" s="7"/>
      <c r="BB834" s="7"/>
      <c r="BC834" s="7"/>
      <c r="BD834" s="7"/>
      <c r="BE834" s="7"/>
      <c r="BF834" s="7"/>
      <c r="BG834" s="7"/>
      <c r="BH834" s="7"/>
      <c r="BI834" s="7"/>
      <c r="BJ834" s="7"/>
      <c r="BK834" s="7"/>
      <c r="BL834" s="7"/>
      <c r="BM834" s="7"/>
      <c r="BN834" s="7"/>
      <c r="BO834" s="7"/>
      <c r="BP834" s="7"/>
      <c r="BQ834" s="7"/>
      <c r="BR834" s="7"/>
      <c r="BS834" s="7"/>
      <c r="BT834" s="7"/>
      <c r="BU834" s="7"/>
      <c r="BV834" s="7"/>
      <c r="BW834" s="7"/>
      <c r="BX834" s="7"/>
      <c r="BY834" s="7"/>
      <c r="BZ834" s="7"/>
    </row>
    <row r="835" ht="16.5" customHeight="1">
      <c r="AT835" s="7"/>
      <c r="AU835" s="7"/>
      <c r="AV835" s="7"/>
      <c r="AW835" s="7"/>
      <c r="AX835" s="7"/>
      <c r="AY835" s="7"/>
      <c r="AZ835" s="7"/>
      <c r="BA835" s="7"/>
      <c r="BB835" s="7"/>
      <c r="BC835" s="7"/>
      <c r="BD835" s="7"/>
      <c r="BE835" s="7"/>
      <c r="BF835" s="7"/>
      <c r="BG835" s="7"/>
      <c r="BH835" s="7"/>
      <c r="BI835" s="7"/>
      <c r="BJ835" s="7"/>
      <c r="BK835" s="7"/>
      <c r="BL835" s="7"/>
      <c r="BM835" s="7"/>
      <c r="BN835" s="7"/>
      <c r="BO835" s="7"/>
      <c r="BP835" s="7"/>
      <c r="BQ835" s="7"/>
      <c r="BR835" s="7"/>
      <c r="BS835" s="7"/>
      <c r="BT835" s="7"/>
      <c r="BU835" s="7"/>
      <c r="BV835" s="7"/>
      <c r="BW835" s="7"/>
      <c r="BX835" s="7"/>
      <c r="BY835" s="7"/>
      <c r="BZ835" s="7"/>
    </row>
    <row r="836" ht="16.5" customHeight="1">
      <c r="AT836" s="7"/>
      <c r="AU836" s="7"/>
      <c r="AV836" s="7"/>
      <c r="AW836" s="7"/>
      <c r="AX836" s="7"/>
      <c r="AY836" s="7"/>
      <c r="AZ836" s="7"/>
      <c r="BA836" s="7"/>
      <c r="BB836" s="7"/>
      <c r="BC836" s="7"/>
      <c r="BD836" s="7"/>
      <c r="BE836" s="7"/>
      <c r="BF836" s="7"/>
      <c r="BG836" s="7"/>
      <c r="BH836" s="7"/>
      <c r="BI836" s="7"/>
      <c r="BJ836" s="7"/>
      <c r="BK836" s="7"/>
      <c r="BL836" s="7"/>
      <c r="BM836" s="7"/>
      <c r="BN836" s="7"/>
      <c r="BO836" s="7"/>
      <c r="BP836" s="7"/>
      <c r="BQ836" s="7"/>
      <c r="BR836" s="7"/>
      <c r="BS836" s="7"/>
      <c r="BT836" s="7"/>
      <c r="BU836" s="7"/>
      <c r="BV836" s="7"/>
      <c r="BW836" s="7"/>
      <c r="BX836" s="7"/>
      <c r="BY836" s="7"/>
      <c r="BZ836" s="7"/>
    </row>
    <row r="837" ht="16.5" customHeight="1">
      <c r="AT837" s="7"/>
      <c r="AU837" s="7"/>
      <c r="AV837" s="7"/>
      <c r="AW837" s="7"/>
      <c r="AX837" s="7"/>
      <c r="AY837" s="7"/>
      <c r="AZ837" s="7"/>
      <c r="BA837" s="7"/>
      <c r="BB837" s="7"/>
      <c r="BC837" s="7"/>
      <c r="BD837" s="7"/>
      <c r="BE837" s="7"/>
      <c r="BF837" s="7"/>
      <c r="BG837" s="7"/>
      <c r="BH837" s="7"/>
      <c r="BI837" s="7"/>
      <c r="BJ837" s="7"/>
      <c r="BK837" s="7"/>
      <c r="BL837" s="7"/>
      <c r="BM837" s="7"/>
      <c r="BN837" s="7"/>
      <c r="BO837" s="7"/>
      <c r="BP837" s="7"/>
      <c r="BQ837" s="7"/>
      <c r="BR837" s="7"/>
      <c r="BS837" s="7"/>
      <c r="BT837" s="7"/>
      <c r="BU837" s="7"/>
      <c r="BV837" s="7"/>
      <c r="BW837" s="7"/>
      <c r="BX837" s="7"/>
      <c r="BY837" s="7"/>
      <c r="BZ837" s="7"/>
    </row>
    <row r="838" ht="16.5" customHeight="1">
      <c r="AT838" s="7"/>
      <c r="AU838" s="7"/>
      <c r="AV838" s="7"/>
      <c r="AW838" s="7"/>
      <c r="AX838" s="7"/>
      <c r="AY838" s="7"/>
      <c r="AZ838" s="7"/>
      <c r="BA838" s="7"/>
      <c r="BB838" s="7"/>
      <c r="BC838" s="7"/>
      <c r="BD838" s="7"/>
      <c r="BE838" s="7"/>
      <c r="BF838" s="7"/>
      <c r="BG838" s="7"/>
      <c r="BH838" s="7"/>
      <c r="BI838" s="7"/>
      <c r="BJ838" s="7"/>
      <c r="BK838" s="7"/>
      <c r="BL838" s="7"/>
      <c r="BM838" s="7"/>
      <c r="BN838" s="7"/>
      <c r="BO838" s="7"/>
      <c r="BP838" s="7"/>
      <c r="BQ838" s="7"/>
      <c r="BR838" s="7"/>
      <c r="BS838" s="7"/>
      <c r="BT838" s="7"/>
      <c r="BU838" s="7"/>
      <c r="BV838" s="7"/>
      <c r="BW838" s="7"/>
      <c r="BX838" s="7"/>
      <c r="BY838" s="7"/>
      <c r="BZ838" s="7"/>
    </row>
    <row r="839" ht="16.5" customHeight="1">
      <c r="AT839" s="7"/>
      <c r="AU839" s="7"/>
      <c r="AV839" s="7"/>
      <c r="AW839" s="7"/>
      <c r="AX839" s="7"/>
      <c r="AY839" s="7"/>
      <c r="AZ839" s="7"/>
      <c r="BA839" s="7"/>
      <c r="BB839" s="7"/>
      <c r="BC839" s="7"/>
      <c r="BD839" s="7"/>
      <c r="BE839" s="7"/>
      <c r="BF839" s="7"/>
      <c r="BG839" s="7"/>
      <c r="BH839" s="7"/>
      <c r="BI839" s="7"/>
      <c r="BJ839" s="7"/>
      <c r="BK839" s="7"/>
      <c r="BL839" s="7"/>
      <c r="BM839" s="7"/>
      <c r="BN839" s="7"/>
      <c r="BO839" s="7"/>
      <c r="BP839" s="7"/>
      <c r="BQ839" s="7"/>
      <c r="BR839" s="7"/>
      <c r="BS839" s="7"/>
      <c r="BT839" s="7"/>
      <c r="BU839" s="7"/>
      <c r="BV839" s="7"/>
      <c r="BW839" s="7"/>
      <c r="BX839" s="7"/>
      <c r="BY839" s="7"/>
      <c r="BZ839" s="7"/>
    </row>
    <row r="840" ht="16.5" customHeight="1">
      <c r="AT840" s="7"/>
      <c r="AU840" s="7"/>
      <c r="AV840" s="7"/>
      <c r="AW840" s="7"/>
      <c r="AX840" s="7"/>
      <c r="AY840" s="7"/>
      <c r="AZ840" s="7"/>
      <c r="BA840" s="7"/>
      <c r="BB840" s="7"/>
      <c r="BC840" s="7"/>
      <c r="BD840" s="7"/>
      <c r="BE840" s="7"/>
      <c r="BF840" s="7"/>
      <c r="BG840" s="7"/>
      <c r="BH840" s="7"/>
      <c r="BI840" s="7"/>
      <c r="BJ840" s="7"/>
      <c r="BK840" s="7"/>
      <c r="BL840" s="7"/>
      <c r="BM840" s="7"/>
      <c r="BN840" s="7"/>
      <c r="BO840" s="7"/>
      <c r="BP840" s="7"/>
      <c r="BQ840" s="7"/>
      <c r="BR840" s="7"/>
      <c r="BS840" s="7"/>
      <c r="BT840" s="7"/>
      <c r="BU840" s="7"/>
      <c r="BV840" s="7"/>
      <c r="BW840" s="7"/>
      <c r="BX840" s="7"/>
      <c r="BY840" s="7"/>
      <c r="BZ840" s="7"/>
    </row>
    <row r="841" ht="16.5" customHeight="1">
      <c r="AT841" s="7"/>
      <c r="AU841" s="7"/>
      <c r="AV841" s="7"/>
      <c r="AW841" s="7"/>
      <c r="AX841" s="7"/>
      <c r="AY841" s="7"/>
      <c r="AZ841" s="7"/>
      <c r="BA841" s="7"/>
      <c r="BB841" s="7"/>
      <c r="BC841" s="7"/>
      <c r="BD841" s="7"/>
      <c r="BE841" s="7"/>
      <c r="BF841" s="7"/>
      <c r="BG841" s="7"/>
      <c r="BH841" s="7"/>
      <c r="BI841" s="7"/>
      <c r="BJ841" s="7"/>
      <c r="BK841" s="7"/>
      <c r="BL841" s="7"/>
      <c r="BM841" s="7"/>
      <c r="BN841" s="7"/>
      <c r="BO841" s="7"/>
      <c r="BP841" s="7"/>
      <c r="BQ841" s="7"/>
      <c r="BR841" s="7"/>
      <c r="BS841" s="7"/>
      <c r="BT841" s="7"/>
      <c r="BU841" s="7"/>
      <c r="BV841" s="7"/>
      <c r="BW841" s="7"/>
      <c r="BX841" s="7"/>
      <c r="BY841" s="7"/>
      <c r="BZ841" s="7"/>
    </row>
    <row r="842" ht="16.5" customHeight="1">
      <c r="AT842" s="7"/>
      <c r="AU842" s="7"/>
      <c r="AV842" s="7"/>
      <c r="AW842" s="7"/>
      <c r="AX842" s="7"/>
      <c r="AY842" s="7"/>
      <c r="AZ842" s="7"/>
      <c r="BA842" s="7"/>
      <c r="BB842" s="7"/>
      <c r="BC842" s="7"/>
      <c r="BD842" s="7"/>
      <c r="BE842" s="7"/>
      <c r="BF842" s="7"/>
      <c r="BG842" s="7"/>
      <c r="BH842" s="7"/>
      <c r="BI842" s="7"/>
      <c r="BJ842" s="7"/>
      <c r="BK842" s="7"/>
      <c r="BL842" s="7"/>
      <c r="BM842" s="7"/>
      <c r="BN842" s="7"/>
      <c r="BO842" s="7"/>
      <c r="BP842" s="7"/>
      <c r="BQ842" s="7"/>
      <c r="BR842" s="7"/>
      <c r="BS842" s="7"/>
      <c r="BT842" s="7"/>
      <c r="BU842" s="7"/>
      <c r="BV842" s="7"/>
      <c r="BW842" s="7"/>
      <c r="BX842" s="7"/>
      <c r="BY842" s="7"/>
      <c r="BZ842" s="7"/>
    </row>
    <row r="843" ht="16.5" customHeight="1">
      <c r="AT843" s="7"/>
      <c r="AU843" s="7"/>
      <c r="AV843" s="7"/>
      <c r="AW843" s="7"/>
      <c r="AX843" s="7"/>
      <c r="AY843" s="7"/>
      <c r="AZ843" s="7"/>
      <c r="BA843" s="7"/>
      <c r="BB843" s="7"/>
      <c r="BC843" s="7"/>
      <c r="BD843" s="7"/>
      <c r="BE843" s="7"/>
      <c r="BF843" s="7"/>
      <c r="BG843" s="7"/>
      <c r="BH843" s="7"/>
      <c r="BI843" s="7"/>
      <c r="BJ843" s="7"/>
      <c r="BK843" s="7"/>
      <c r="BL843" s="7"/>
      <c r="BM843" s="7"/>
      <c r="BN843" s="7"/>
      <c r="BO843" s="7"/>
      <c r="BP843" s="7"/>
      <c r="BQ843" s="7"/>
      <c r="BR843" s="7"/>
      <c r="BS843" s="7"/>
      <c r="BT843" s="7"/>
      <c r="BU843" s="7"/>
      <c r="BV843" s="7"/>
      <c r="BW843" s="7"/>
      <c r="BX843" s="7"/>
      <c r="BY843" s="7"/>
      <c r="BZ843" s="7"/>
    </row>
    <row r="844" ht="16.5" customHeight="1">
      <c r="AT844" s="7"/>
      <c r="AU844" s="7"/>
      <c r="AV844" s="7"/>
      <c r="AW844" s="7"/>
      <c r="AX844" s="7"/>
      <c r="AY844" s="7"/>
      <c r="AZ844" s="7"/>
      <c r="BA844" s="7"/>
      <c r="BB844" s="7"/>
      <c r="BC844" s="7"/>
      <c r="BD844" s="7"/>
      <c r="BE844" s="7"/>
      <c r="BF844" s="7"/>
      <c r="BG844" s="7"/>
      <c r="BH844" s="7"/>
      <c r="BI844" s="7"/>
      <c r="BJ844" s="7"/>
      <c r="BK844" s="7"/>
      <c r="BL844" s="7"/>
      <c r="BM844" s="7"/>
      <c r="BN844" s="7"/>
      <c r="BO844" s="7"/>
      <c r="BP844" s="7"/>
      <c r="BQ844" s="7"/>
      <c r="BR844" s="7"/>
      <c r="BS844" s="7"/>
      <c r="BT844" s="7"/>
      <c r="BU844" s="7"/>
      <c r="BV844" s="7"/>
      <c r="BW844" s="7"/>
      <c r="BX844" s="7"/>
      <c r="BY844" s="7"/>
      <c r="BZ844" s="7"/>
    </row>
    <row r="845" ht="16.5" customHeight="1">
      <c r="AT845" s="7"/>
      <c r="AU845" s="7"/>
      <c r="AV845" s="7"/>
      <c r="AW845" s="7"/>
      <c r="AX845" s="7"/>
      <c r="AY845" s="7"/>
      <c r="AZ845" s="7"/>
      <c r="BA845" s="7"/>
      <c r="BB845" s="7"/>
      <c r="BC845" s="7"/>
      <c r="BD845" s="7"/>
      <c r="BE845" s="7"/>
      <c r="BF845" s="7"/>
      <c r="BG845" s="7"/>
      <c r="BH845" s="7"/>
      <c r="BI845" s="7"/>
      <c r="BJ845" s="7"/>
      <c r="BK845" s="7"/>
      <c r="BL845" s="7"/>
      <c r="BM845" s="7"/>
      <c r="BN845" s="7"/>
      <c r="BO845" s="7"/>
      <c r="BP845" s="7"/>
      <c r="BQ845" s="7"/>
      <c r="BR845" s="7"/>
      <c r="BS845" s="7"/>
      <c r="BT845" s="7"/>
      <c r="BU845" s="7"/>
      <c r="BV845" s="7"/>
      <c r="BW845" s="7"/>
      <c r="BX845" s="7"/>
      <c r="BY845" s="7"/>
      <c r="BZ845" s="7"/>
    </row>
    <row r="846" ht="16.5" customHeight="1">
      <c r="AT846" s="7"/>
      <c r="AU846" s="7"/>
      <c r="AV846" s="7"/>
      <c r="AW846" s="7"/>
      <c r="AX846" s="7"/>
      <c r="AY846" s="7"/>
      <c r="AZ846" s="7"/>
      <c r="BA846" s="7"/>
      <c r="BB846" s="7"/>
      <c r="BC846" s="7"/>
      <c r="BD846" s="7"/>
      <c r="BE846" s="7"/>
      <c r="BF846" s="7"/>
      <c r="BG846" s="7"/>
      <c r="BH846" s="7"/>
      <c r="BI846" s="7"/>
      <c r="BJ846" s="7"/>
      <c r="BK846" s="7"/>
      <c r="BL846" s="7"/>
      <c r="BM846" s="7"/>
      <c r="BN846" s="7"/>
      <c r="BO846" s="7"/>
      <c r="BP846" s="7"/>
      <c r="BQ846" s="7"/>
      <c r="BR846" s="7"/>
      <c r="BS846" s="7"/>
      <c r="BT846" s="7"/>
      <c r="BU846" s="7"/>
      <c r="BV846" s="7"/>
      <c r="BW846" s="7"/>
      <c r="BX846" s="7"/>
      <c r="BY846" s="7"/>
      <c r="BZ846" s="7"/>
    </row>
    <row r="847" ht="16.5" customHeight="1">
      <c r="AT847" s="7"/>
      <c r="AU847" s="7"/>
      <c r="AV847" s="7"/>
      <c r="AW847" s="7"/>
      <c r="AX847" s="7"/>
      <c r="AY847" s="7"/>
      <c r="AZ847" s="7"/>
      <c r="BA847" s="7"/>
      <c r="BB847" s="7"/>
      <c r="BC847" s="7"/>
      <c r="BD847" s="7"/>
      <c r="BE847" s="7"/>
      <c r="BF847" s="7"/>
      <c r="BG847" s="7"/>
      <c r="BH847" s="7"/>
      <c r="BI847" s="7"/>
      <c r="BJ847" s="7"/>
      <c r="BK847" s="7"/>
      <c r="BL847" s="7"/>
      <c r="BM847" s="7"/>
      <c r="BN847" s="7"/>
      <c r="BO847" s="7"/>
      <c r="BP847" s="7"/>
      <c r="BQ847" s="7"/>
      <c r="BR847" s="7"/>
      <c r="BS847" s="7"/>
      <c r="BT847" s="7"/>
      <c r="BU847" s="7"/>
      <c r="BV847" s="7"/>
      <c r="BW847" s="7"/>
      <c r="BX847" s="7"/>
      <c r="BY847" s="7"/>
      <c r="BZ847" s="7"/>
    </row>
    <row r="848" ht="16.5" customHeight="1">
      <c r="AT848" s="7"/>
      <c r="AU848" s="7"/>
      <c r="AV848" s="7"/>
      <c r="AW848" s="7"/>
      <c r="AX848" s="7"/>
      <c r="AY848" s="7"/>
      <c r="AZ848" s="7"/>
      <c r="BA848" s="7"/>
      <c r="BB848" s="7"/>
      <c r="BC848" s="7"/>
      <c r="BD848" s="7"/>
      <c r="BE848" s="7"/>
      <c r="BF848" s="7"/>
      <c r="BG848" s="7"/>
      <c r="BH848" s="7"/>
      <c r="BI848" s="7"/>
      <c r="BJ848" s="7"/>
      <c r="BK848" s="7"/>
      <c r="BL848" s="7"/>
      <c r="BM848" s="7"/>
      <c r="BN848" s="7"/>
      <c r="BO848" s="7"/>
      <c r="BP848" s="7"/>
      <c r="BQ848" s="7"/>
      <c r="BR848" s="7"/>
      <c r="BS848" s="7"/>
      <c r="BT848" s="7"/>
      <c r="BU848" s="7"/>
      <c r="BV848" s="7"/>
      <c r="BW848" s="7"/>
      <c r="BX848" s="7"/>
      <c r="BY848" s="7"/>
      <c r="BZ848" s="7"/>
    </row>
    <row r="849" ht="16.5" customHeight="1">
      <c r="AT849" s="7"/>
      <c r="AU849" s="7"/>
      <c r="AV849" s="7"/>
      <c r="AW849" s="7"/>
      <c r="AX849" s="7"/>
      <c r="AY849" s="7"/>
      <c r="AZ849" s="7"/>
      <c r="BA849" s="7"/>
      <c r="BB849" s="7"/>
      <c r="BC849" s="7"/>
      <c r="BD849" s="7"/>
      <c r="BE849" s="7"/>
      <c r="BF849" s="7"/>
      <c r="BG849" s="7"/>
      <c r="BH849" s="7"/>
      <c r="BI849" s="7"/>
      <c r="BJ849" s="7"/>
      <c r="BK849" s="7"/>
      <c r="BL849" s="7"/>
      <c r="BM849" s="7"/>
      <c r="BN849" s="7"/>
      <c r="BO849" s="7"/>
      <c r="BP849" s="7"/>
      <c r="BQ849" s="7"/>
      <c r="BR849" s="7"/>
      <c r="BS849" s="7"/>
      <c r="BT849" s="7"/>
      <c r="BU849" s="7"/>
      <c r="BV849" s="7"/>
      <c r="BW849" s="7"/>
      <c r="BX849" s="7"/>
      <c r="BY849" s="7"/>
      <c r="BZ849" s="7"/>
    </row>
    <row r="850" ht="16.5" customHeight="1">
      <c r="AT850" s="7"/>
      <c r="AU850" s="7"/>
      <c r="AV850" s="7"/>
      <c r="AW850" s="7"/>
      <c r="AX850" s="7"/>
      <c r="AY850" s="7"/>
      <c r="AZ850" s="7"/>
      <c r="BA850" s="7"/>
      <c r="BB850" s="7"/>
      <c r="BC850" s="7"/>
      <c r="BD850" s="7"/>
      <c r="BE850" s="7"/>
      <c r="BF850" s="7"/>
      <c r="BG850" s="7"/>
      <c r="BH850" s="7"/>
      <c r="BI850" s="7"/>
      <c r="BJ850" s="7"/>
      <c r="BK850" s="7"/>
      <c r="BL850" s="7"/>
      <c r="BM850" s="7"/>
      <c r="BN850" s="7"/>
      <c r="BO850" s="7"/>
      <c r="BP850" s="7"/>
      <c r="BQ850" s="7"/>
      <c r="BR850" s="7"/>
      <c r="BS850" s="7"/>
      <c r="BT850" s="7"/>
      <c r="BU850" s="7"/>
      <c r="BV850" s="7"/>
      <c r="BW850" s="7"/>
      <c r="BX850" s="7"/>
      <c r="BY850" s="7"/>
      <c r="BZ850" s="7"/>
    </row>
    <row r="851" ht="16.5" customHeight="1">
      <c r="AT851" s="7"/>
      <c r="AU851" s="7"/>
      <c r="AV851" s="7"/>
      <c r="AW851" s="7"/>
      <c r="AX851" s="7"/>
      <c r="AY851" s="7"/>
      <c r="AZ851" s="7"/>
      <c r="BA851" s="7"/>
      <c r="BB851" s="7"/>
      <c r="BC851" s="7"/>
      <c r="BD851" s="7"/>
      <c r="BE851" s="7"/>
      <c r="BF851" s="7"/>
      <c r="BG851" s="7"/>
      <c r="BH851" s="7"/>
      <c r="BI851" s="7"/>
      <c r="BJ851" s="7"/>
      <c r="BK851" s="7"/>
      <c r="BL851" s="7"/>
      <c r="BM851" s="7"/>
      <c r="BN851" s="7"/>
      <c r="BO851" s="7"/>
      <c r="BP851" s="7"/>
      <c r="BQ851" s="7"/>
      <c r="BR851" s="7"/>
      <c r="BS851" s="7"/>
      <c r="BT851" s="7"/>
      <c r="BU851" s="7"/>
      <c r="BV851" s="7"/>
      <c r="BW851" s="7"/>
      <c r="BX851" s="7"/>
      <c r="BY851" s="7"/>
      <c r="BZ851" s="7"/>
    </row>
    <row r="852" ht="16.5" customHeight="1">
      <c r="AT852" s="7"/>
      <c r="AU852" s="7"/>
      <c r="AV852" s="7"/>
      <c r="AW852" s="7"/>
      <c r="AX852" s="7"/>
      <c r="AY852" s="7"/>
      <c r="AZ852" s="7"/>
      <c r="BA852" s="7"/>
      <c r="BB852" s="7"/>
      <c r="BC852" s="7"/>
      <c r="BD852" s="7"/>
      <c r="BE852" s="7"/>
      <c r="BF852" s="7"/>
      <c r="BG852" s="7"/>
      <c r="BH852" s="7"/>
      <c r="BI852" s="7"/>
      <c r="BJ852" s="7"/>
      <c r="BK852" s="7"/>
      <c r="BL852" s="7"/>
      <c r="BM852" s="7"/>
      <c r="BN852" s="7"/>
      <c r="BO852" s="7"/>
      <c r="BP852" s="7"/>
      <c r="BQ852" s="7"/>
      <c r="BR852" s="7"/>
      <c r="BS852" s="7"/>
      <c r="BT852" s="7"/>
      <c r="BU852" s="7"/>
      <c r="BV852" s="7"/>
      <c r="BW852" s="7"/>
      <c r="BX852" s="7"/>
      <c r="BY852" s="7"/>
      <c r="BZ852" s="7"/>
    </row>
    <row r="853" ht="16.5" customHeight="1">
      <c r="AT853" s="7"/>
      <c r="AU853" s="7"/>
      <c r="AV853" s="7"/>
      <c r="AW853" s="7"/>
      <c r="AX853" s="7"/>
      <c r="AY853" s="7"/>
      <c r="AZ853" s="7"/>
      <c r="BA853" s="7"/>
      <c r="BB853" s="7"/>
      <c r="BC853" s="7"/>
      <c r="BD853" s="7"/>
      <c r="BE853" s="7"/>
      <c r="BF853" s="7"/>
      <c r="BG853" s="7"/>
      <c r="BH853" s="7"/>
      <c r="BI853" s="7"/>
      <c r="BJ853" s="7"/>
      <c r="BK853" s="7"/>
      <c r="BL853" s="7"/>
      <c r="BM853" s="7"/>
      <c r="BN853" s="7"/>
      <c r="BO853" s="7"/>
      <c r="BP853" s="7"/>
      <c r="BQ853" s="7"/>
      <c r="BR853" s="7"/>
      <c r="BS853" s="7"/>
      <c r="BT853" s="7"/>
      <c r="BU853" s="7"/>
      <c r="BV853" s="7"/>
      <c r="BW853" s="7"/>
      <c r="BX853" s="7"/>
      <c r="BY853" s="7"/>
      <c r="BZ853" s="7"/>
    </row>
    <row r="854" ht="16.5" customHeight="1">
      <c r="AT854" s="7"/>
      <c r="AU854" s="7"/>
      <c r="AV854" s="7"/>
      <c r="AW854" s="7"/>
      <c r="AX854" s="7"/>
      <c r="AY854" s="7"/>
      <c r="AZ854" s="7"/>
      <c r="BA854" s="7"/>
      <c r="BB854" s="7"/>
      <c r="BC854" s="7"/>
      <c r="BD854" s="7"/>
      <c r="BE854" s="7"/>
      <c r="BF854" s="7"/>
      <c r="BG854" s="7"/>
      <c r="BH854" s="7"/>
      <c r="BI854" s="7"/>
      <c r="BJ854" s="7"/>
      <c r="BK854" s="7"/>
      <c r="BL854" s="7"/>
      <c r="BM854" s="7"/>
      <c r="BN854" s="7"/>
      <c r="BO854" s="7"/>
      <c r="BP854" s="7"/>
      <c r="BQ854" s="7"/>
      <c r="BR854" s="7"/>
      <c r="BS854" s="7"/>
      <c r="BT854" s="7"/>
      <c r="BU854" s="7"/>
      <c r="BV854" s="7"/>
      <c r="BW854" s="7"/>
      <c r="BX854" s="7"/>
      <c r="BY854" s="7"/>
      <c r="BZ854" s="7"/>
    </row>
    <row r="855" ht="16.5" customHeight="1">
      <c r="AT855" s="7"/>
      <c r="AU855" s="7"/>
      <c r="AV855" s="7"/>
      <c r="AW855" s="7"/>
      <c r="AX855" s="7"/>
      <c r="AY855" s="7"/>
      <c r="AZ855" s="7"/>
      <c r="BA855" s="7"/>
      <c r="BB855" s="7"/>
      <c r="BC855" s="7"/>
      <c r="BD855" s="7"/>
      <c r="BE855" s="7"/>
      <c r="BF855" s="7"/>
      <c r="BG855" s="7"/>
      <c r="BH855" s="7"/>
      <c r="BI855" s="7"/>
      <c r="BJ855" s="7"/>
      <c r="BK855" s="7"/>
      <c r="BL855" s="7"/>
      <c r="BM855" s="7"/>
      <c r="BN855" s="7"/>
      <c r="BO855" s="7"/>
      <c r="BP855" s="7"/>
      <c r="BQ855" s="7"/>
      <c r="BR855" s="7"/>
      <c r="BS855" s="7"/>
      <c r="BT855" s="7"/>
      <c r="BU855" s="7"/>
      <c r="BV855" s="7"/>
      <c r="BW855" s="7"/>
      <c r="BX855" s="7"/>
      <c r="BY855" s="7"/>
      <c r="BZ855" s="7"/>
    </row>
    <row r="856" ht="16.5" customHeight="1">
      <c r="AT856" s="7"/>
      <c r="AU856" s="7"/>
      <c r="AV856" s="7"/>
      <c r="AW856" s="7"/>
      <c r="AX856" s="7"/>
      <c r="AY856" s="7"/>
      <c r="AZ856" s="7"/>
      <c r="BA856" s="7"/>
      <c r="BB856" s="7"/>
      <c r="BC856" s="7"/>
      <c r="BD856" s="7"/>
      <c r="BE856" s="7"/>
      <c r="BF856" s="7"/>
      <c r="BG856" s="7"/>
      <c r="BH856" s="7"/>
      <c r="BI856" s="7"/>
      <c r="BJ856" s="7"/>
      <c r="BK856" s="7"/>
      <c r="BL856" s="7"/>
      <c r="BM856" s="7"/>
      <c r="BN856" s="7"/>
      <c r="BO856" s="7"/>
      <c r="BP856" s="7"/>
      <c r="BQ856" s="7"/>
      <c r="BR856" s="7"/>
      <c r="BS856" s="7"/>
      <c r="BT856" s="7"/>
      <c r="BU856" s="7"/>
      <c r="BV856" s="7"/>
      <c r="BW856" s="7"/>
      <c r="BX856" s="7"/>
      <c r="BY856" s="7"/>
      <c r="BZ856" s="7"/>
    </row>
    <row r="857" ht="16.5" customHeight="1">
      <c r="AT857" s="7"/>
      <c r="AU857" s="7"/>
      <c r="AV857" s="7"/>
      <c r="AW857" s="7"/>
      <c r="AX857" s="7"/>
      <c r="AY857" s="7"/>
      <c r="AZ857" s="7"/>
      <c r="BA857" s="7"/>
      <c r="BB857" s="7"/>
      <c r="BC857" s="7"/>
      <c r="BD857" s="7"/>
      <c r="BE857" s="7"/>
      <c r="BF857" s="7"/>
      <c r="BG857" s="7"/>
      <c r="BH857" s="7"/>
      <c r="BI857" s="7"/>
      <c r="BJ857" s="7"/>
      <c r="BK857" s="7"/>
      <c r="BL857" s="7"/>
      <c r="BM857" s="7"/>
      <c r="BN857" s="7"/>
      <c r="BO857" s="7"/>
      <c r="BP857" s="7"/>
      <c r="BQ857" s="7"/>
      <c r="BR857" s="7"/>
      <c r="BS857" s="7"/>
      <c r="BT857" s="7"/>
      <c r="BU857" s="7"/>
      <c r="BV857" s="7"/>
      <c r="BW857" s="7"/>
      <c r="BX857" s="7"/>
      <c r="BY857" s="7"/>
      <c r="BZ857" s="7"/>
    </row>
    <row r="858" ht="16.5" customHeight="1">
      <c r="AT858" s="7"/>
      <c r="AU858" s="7"/>
      <c r="AV858" s="7"/>
      <c r="AW858" s="7"/>
      <c r="AX858" s="7"/>
      <c r="AY858" s="7"/>
      <c r="AZ858" s="7"/>
      <c r="BA858" s="7"/>
      <c r="BB858" s="7"/>
      <c r="BC858" s="7"/>
      <c r="BD858" s="7"/>
      <c r="BE858" s="7"/>
      <c r="BF858" s="7"/>
      <c r="BG858" s="7"/>
      <c r="BH858" s="7"/>
      <c r="BI858" s="7"/>
      <c r="BJ858" s="7"/>
      <c r="BK858" s="7"/>
      <c r="BL858" s="7"/>
      <c r="BM858" s="7"/>
      <c r="BN858" s="7"/>
      <c r="BO858" s="7"/>
      <c r="BP858" s="7"/>
      <c r="BQ858" s="7"/>
      <c r="BR858" s="7"/>
      <c r="BS858" s="7"/>
      <c r="BT858" s="7"/>
      <c r="BU858" s="7"/>
      <c r="BV858" s="7"/>
      <c r="BW858" s="7"/>
      <c r="BX858" s="7"/>
      <c r="BY858" s="7"/>
      <c r="BZ858" s="7"/>
    </row>
    <row r="859" ht="16.5" customHeight="1">
      <c r="AT859" s="7"/>
      <c r="AU859" s="7"/>
      <c r="AV859" s="7"/>
      <c r="AW859" s="7"/>
      <c r="AX859" s="7"/>
      <c r="AY859" s="7"/>
      <c r="AZ859" s="7"/>
      <c r="BA859" s="7"/>
      <c r="BB859" s="7"/>
      <c r="BC859" s="7"/>
      <c r="BD859" s="7"/>
      <c r="BE859" s="7"/>
      <c r="BF859" s="7"/>
      <c r="BG859" s="7"/>
      <c r="BH859" s="7"/>
      <c r="BI859" s="7"/>
      <c r="BJ859" s="7"/>
      <c r="BK859" s="7"/>
      <c r="BL859" s="7"/>
      <c r="BM859" s="7"/>
      <c r="BN859" s="7"/>
      <c r="BO859" s="7"/>
      <c r="BP859" s="7"/>
      <c r="BQ859" s="7"/>
      <c r="BR859" s="7"/>
      <c r="BS859" s="7"/>
      <c r="BT859" s="7"/>
      <c r="BU859" s="7"/>
      <c r="BV859" s="7"/>
      <c r="BW859" s="7"/>
      <c r="BX859" s="7"/>
      <c r="BY859" s="7"/>
      <c r="BZ859" s="7"/>
    </row>
    <row r="860" ht="16.5" customHeight="1">
      <c r="AT860" s="7"/>
      <c r="AU860" s="7"/>
      <c r="AV860" s="7"/>
      <c r="AW860" s="7"/>
      <c r="AX860" s="7"/>
      <c r="AY860" s="7"/>
      <c r="AZ860" s="7"/>
      <c r="BA860" s="7"/>
      <c r="BB860" s="7"/>
      <c r="BC860" s="7"/>
      <c r="BD860" s="7"/>
      <c r="BE860" s="7"/>
      <c r="BF860" s="7"/>
      <c r="BG860" s="7"/>
      <c r="BH860" s="7"/>
      <c r="BI860" s="7"/>
      <c r="BJ860" s="7"/>
      <c r="BK860" s="7"/>
      <c r="BL860" s="7"/>
      <c r="BM860" s="7"/>
      <c r="BN860" s="7"/>
      <c r="BO860" s="7"/>
      <c r="BP860" s="7"/>
      <c r="BQ860" s="7"/>
      <c r="BR860" s="7"/>
      <c r="BS860" s="7"/>
      <c r="BT860" s="7"/>
      <c r="BU860" s="7"/>
      <c r="BV860" s="7"/>
      <c r="BW860" s="7"/>
      <c r="BX860" s="7"/>
      <c r="BY860" s="7"/>
      <c r="BZ860" s="7"/>
    </row>
    <row r="861" ht="16.5" customHeight="1">
      <c r="AT861" s="7"/>
      <c r="AU861" s="7"/>
      <c r="AV861" s="7"/>
      <c r="AW861" s="7"/>
      <c r="AX861" s="7"/>
      <c r="AY861" s="7"/>
      <c r="AZ861" s="7"/>
      <c r="BA861" s="7"/>
      <c r="BB861" s="7"/>
      <c r="BC861" s="7"/>
      <c r="BD861" s="7"/>
      <c r="BE861" s="7"/>
      <c r="BF861" s="7"/>
      <c r="BG861" s="7"/>
      <c r="BH861" s="7"/>
      <c r="BI861" s="7"/>
      <c r="BJ861" s="7"/>
      <c r="BK861" s="7"/>
      <c r="BL861" s="7"/>
      <c r="BM861" s="7"/>
      <c r="BN861" s="7"/>
      <c r="BO861" s="7"/>
      <c r="BP861" s="7"/>
      <c r="BQ861" s="7"/>
      <c r="BR861" s="7"/>
      <c r="BS861" s="7"/>
      <c r="BT861" s="7"/>
      <c r="BU861" s="7"/>
      <c r="BV861" s="7"/>
      <c r="BW861" s="7"/>
      <c r="BX861" s="7"/>
      <c r="BY861" s="7"/>
      <c r="BZ861" s="7"/>
    </row>
    <row r="862" ht="16.5" customHeight="1">
      <c r="AT862" s="7"/>
      <c r="AU862" s="7"/>
      <c r="AV862" s="7"/>
      <c r="AW862" s="7"/>
      <c r="AX862" s="7"/>
      <c r="AY862" s="7"/>
      <c r="AZ862" s="7"/>
      <c r="BA862" s="7"/>
      <c r="BB862" s="7"/>
      <c r="BC862" s="7"/>
      <c r="BD862" s="7"/>
      <c r="BE862" s="7"/>
      <c r="BF862" s="7"/>
      <c r="BG862" s="7"/>
      <c r="BH862" s="7"/>
      <c r="BI862" s="7"/>
      <c r="BJ862" s="7"/>
      <c r="BK862" s="7"/>
      <c r="BL862" s="7"/>
      <c r="BM862" s="7"/>
      <c r="BN862" s="7"/>
      <c r="BO862" s="7"/>
      <c r="BP862" s="7"/>
      <c r="BQ862" s="7"/>
      <c r="BR862" s="7"/>
      <c r="BS862" s="7"/>
      <c r="BT862" s="7"/>
      <c r="BU862" s="7"/>
      <c r="BV862" s="7"/>
      <c r="BW862" s="7"/>
      <c r="BX862" s="7"/>
      <c r="BY862" s="7"/>
      <c r="BZ862" s="7"/>
    </row>
    <row r="863" ht="16.5" customHeight="1">
      <c r="AT863" s="7"/>
      <c r="AU863" s="7"/>
      <c r="AV863" s="7"/>
      <c r="AW863" s="7"/>
      <c r="AX863" s="7"/>
      <c r="AY863" s="7"/>
      <c r="AZ863" s="7"/>
      <c r="BA863" s="7"/>
      <c r="BB863" s="7"/>
      <c r="BC863" s="7"/>
      <c r="BD863" s="7"/>
      <c r="BE863" s="7"/>
      <c r="BF863" s="7"/>
      <c r="BG863" s="7"/>
      <c r="BH863" s="7"/>
      <c r="BI863" s="7"/>
      <c r="BJ863" s="7"/>
      <c r="BK863" s="7"/>
      <c r="BL863" s="7"/>
      <c r="BM863" s="7"/>
      <c r="BN863" s="7"/>
      <c r="BO863" s="7"/>
      <c r="BP863" s="7"/>
      <c r="BQ863" s="7"/>
      <c r="BR863" s="7"/>
      <c r="BS863" s="7"/>
      <c r="BT863" s="7"/>
      <c r="BU863" s="7"/>
      <c r="BV863" s="7"/>
      <c r="BW863" s="7"/>
      <c r="BX863" s="7"/>
      <c r="BY863" s="7"/>
      <c r="BZ863" s="7"/>
    </row>
    <row r="864" ht="16.5" customHeight="1">
      <c r="AT864" s="7"/>
      <c r="AU864" s="7"/>
      <c r="AV864" s="7"/>
      <c r="AW864" s="7"/>
      <c r="AX864" s="7"/>
      <c r="AY864" s="7"/>
      <c r="AZ864" s="7"/>
      <c r="BA864" s="7"/>
      <c r="BB864" s="7"/>
      <c r="BC864" s="7"/>
      <c r="BD864" s="7"/>
      <c r="BE864" s="7"/>
      <c r="BF864" s="7"/>
      <c r="BG864" s="7"/>
      <c r="BH864" s="7"/>
      <c r="BI864" s="7"/>
      <c r="BJ864" s="7"/>
      <c r="BK864" s="7"/>
      <c r="BL864" s="7"/>
      <c r="BM864" s="7"/>
      <c r="BN864" s="7"/>
      <c r="BO864" s="7"/>
      <c r="BP864" s="7"/>
      <c r="BQ864" s="7"/>
      <c r="BR864" s="7"/>
      <c r="BS864" s="7"/>
      <c r="BT864" s="7"/>
      <c r="BU864" s="7"/>
      <c r="BV864" s="7"/>
      <c r="BW864" s="7"/>
      <c r="BX864" s="7"/>
      <c r="BY864" s="7"/>
      <c r="BZ864" s="7"/>
    </row>
    <row r="865" ht="16.5" customHeight="1">
      <c r="AT865" s="7"/>
      <c r="AU865" s="7"/>
      <c r="AV865" s="7"/>
      <c r="AW865" s="7"/>
      <c r="AX865" s="7"/>
      <c r="AY865" s="7"/>
      <c r="AZ865" s="7"/>
      <c r="BA865" s="7"/>
      <c r="BB865" s="7"/>
      <c r="BC865" s="7"/>
      <c r="BD865" s="7"/>
      <c r="BE865" s="7"/>
      <c r="BF865" s="7"/>
      <c r="BG865" s="7"/>
      <c r="BH865" s="7"/>
      <c r="BI865" s="7"/>
      <c r="BJ865" s="7"/>
      <c r="BK865" s="7"/>
      <c r="BL865" s="7"/>
      <c r="BM865" s="7"/>
      <c r="BN865" s="7"/>
      <c r="BO865" s="7"/>
      <c r="BP865" s="7"/>
      <c r="BQ865" s="7"/>
      <c r="BR865" s="7"/>
      <c r="BS865" s="7"/>
      <c r="BT865" s="7"/>
      <c r="BU865" s="7"/>
      <c r="BV865" s="7"/>
      <c r="BW865" s="7"/>
      <c r="BX865" s="7"/>
      <c r="BY865" s="7"/>
      <c r="BZ865" s="7"/>
    </row>
    <row r="866" ht="16.5" customHeight="1">
      <c r="AT866" s="7"/>
      <c r="AU866" s="7"/>
      <c r="AV866" s="7"/>
      <c r="AW866" s="7"/>
      <c r="AX866" s="7"/>
      <c r="AY866" s="7"/>
      <c r="AZ866" s="7"/>
      <c r="BA866" s="7"/>
      <c r="BB866" s="7"/>
      <c r="BC866" s="7"/>
      <c r="BD866" s="7"/>
      <c r="BE866" s="7"/>
      <c r="BF866" s="7"/>
      <c r="BG866" s="7"/>
      <c r="BH866" s="7"/>
      <c r="BI866" s="7"/>
      <c r="BJ866" s="7"/>
      <c r="BK866" s="7"/>
      <c r="BL866" s="7"/>
      <c r="BM866" s="7"/>
      <c r="BN866" s="7"/>
      <c r="BO866" s="7"/>
      <c r="BP866" s="7"/>
      <c r="BQ866" s="7"/>
      <c r="BR866" s="7"/>
      <c r="BS866" s="7"/>
      <c r="BT866" s="7"/>
      <c r="BU866" s="7"/>
      <c r="BV866" s="7"/>
      <c r="BW866" s="7"/>
      <c r="BX866" s="7"/>
      <c r="BY866" s="7"/>
      <c r="BZ866" s="7"/>
    </row>
    <row r="867" ht="16.5" customHeight="1">
      <c r="AT867" s="7"/>
      <c r="AU867" s="7"/>
      <c r="AV867" s="7"/>
      <c r="AW867" s="7"/>
      <c r="AX867" s="7"/>
      <c r="AY867" s="7"/>
      <c r="AZ867" s="7"/>
      <c r="BA867" s="7"/>
      <c r="BB867" s="7"/>
      <c r="BC867" s="7"/>
      <c r="BD867" s="7"/>
      <c r="BE867" s="7"/>
      <c r="BF867" s="7"/>
      <c r="BG867" s="7"/>
      <c r="BH867" s="7"/>
      <c r="BI867" s="7"/>
      <c r="BJ867" s="7"/>
      <c r="BK867" s="7"/>
      <c r="BL867" s="7"/>
      <c r="BM867" s="7"/>
      <c r="BN867" s="7"/>
      <c r="BO867" s="7"/>
      <c r="BP867" s="7"/>
      <c r="BQ867" s="7"/>
      <c r="BR867" s="7"/>
      <c r="BS867" s="7"/>
      <c r="BT867" s="7"/>
      <c r="BU867" s="7"/>
      <c r="BV867" s="7"/>
      <c r="BW867" s="7"/>
      <c r="BX867" s="7"/>
      <c r="BY867" s="7"/>
      <c r="BZ867" s="7"/>
    </row>
    <row r="868" ht="16.5" customHeight="1">
      <c r="AT868" s="7"/>
      <c r="AU868" s="7"/>
      <c r="AV868" s="7"/>
      <c r="AW868" s="7"/>
      <c r="AX868" s="7"/>
      <c r="AY868" s="7"/>
      <c r="AZ868" s="7"/>
      <c r="BA868" s="7"/>
      <c r="BB868" s="7"/>
      <c r="BC868" s="7"/>
      <c r="BD868" s="7"/>
      <c r="BE868" s="7"/>
      <c r="BF868" s="7"/>
      <c r="BG868" s="7"/>
      <c r="BH868" s="7"/>
      <c r="BI868" s="7"/>
      <c r="BJ868" s="7"/>
      <c r="BK868" s="7"/>
      <c r="BL868" s="7"/>
      <c r="BM868" s="7"/>
      <c r="BN868" s="7"/>
      <c r="BO868" s="7"/>
      <c r="BP868" s="7"/>
      <c r="BQ868" s="7"/>
      <c r="BR868" s="7"/>
      <c r="BS868" s="7"/>
      <c r="BT868" s="7"/>
      <c r="BU868" s="7"/>
      <c r="BV868" s="7"/>
      <c r="BW868" s="7"/>
      <c r="BX868" s="7"/>
      <c r="BY868" s="7"/>
      <c r="BZ868" s="7"/>
    </row>
    <row r="869" ht="16.5" customHeight="1">
      <c r="AT869" s="7"/>
      <c r="AU869" s="7"/>
      <c r="AV869" s="7"/>
      <c r="AW869" s="7"/>
      <c r="AX869" s="7"/>
      <c r="AY869" s="7"/>
      <c r="AZ869" s="7"/>
      <c r="BA869" s="7"/>
      <c r="BB869" s="7"/>
      <c r="BC869" s="7"/>
      <c r="BD869" s="7"/>
      <c r="BE869" s="7"/>
      <c r="BF869" s="7"/>
      <c r="BG869" s="7"/>
      <c r="BH869" s="7"/>
      <c r="BI869" s="7"/>
      <c r="BJ869" s="7"/>
      <c r="BK869" s="7"/>
      <c r="BL869" s="7"/>
      <c r="BM869" s="7"/>
      <c r="BN869" s="7"/>
      <c r="BO869" s="7"/>
      <c r="BP869" s="7"/>
      <c r="BQ869" s="7"/>
      <c r="BR869" s="7"/>
      <c r="BS869" s="7"/>
      <c r="BT869" s="7"/>
      <c r="BU869" s="7"/>
      <c r="BV869" s="7"/>
      <c r="BW869" s="7"/>
      <c r="BX869" s="7"/>
      <c r="BY869" s="7"/>
      <c r="BZ869" s="7"/>
    </row>
    <row r="870" ht="16.5" customHeight="1">
      <c r="AT870" s="7"/>
      <c r="AU870" s="7"/>
      <c r="AV870" s="7"/>
      <c r="AW870" s="7"/>
      <c r="AX870" s="7"/>
      <c r="AY870" s="7"/>
      <c r="AZ870" s="7"/>
      <c r="BA870" s="7"/>
      <c r="BB870" s="7"/>
      <c r="BC870" s="7"/>
      <c r="BD870" s="7"/>
      <c r="BE870" s="7"/>
      <c r="BF870" s="7"/>
      <c r="BG870" s="7"/>
      <c r="BH870" s="7"/>
      <c r="BI870" s="7"/>
      <c r="BJ870" s="7"/>
      <c r="BK870" s="7"/>
      <c r="BL870" s="7"/>
      <c r="BM870" s="7"/>
      <c r="BN870" s="7"/>
      <c r="BO870" s="7"/>
      <c r="BP870" s="7"/>
      <c r="BQ870" s="7"/>
      <c r="BR870" s="7"/>
      <c r="BS870" s="7"/>
      <c r="BT870" s="7"/>
      <c r="BU870" s="7"/>
      <c r="BV870" s="7"/>
      <c r="BW870" s="7"/>
      <c r="BX870" s="7"/>
      <c r="BY870" s="7"/>
      <c r="BZ870" s="7"/>
    </row>
    <row r="871" ht="16.5" customHeight="1">
      <c r="AT871" s="7"/>
      <c r="AU871" s="7"/>
      <c r="AV871" s="7"/>
      <c r="AW871" s="7"/>
      <c r="AX871" s="7"/>
      <c r="AY871" s="7"/>
      <c r="AZ871" s="7"/>
      <c r="BA871" s="7"/>
      <c r="BB871" s="7"/>
      <c r="BC871" s="7"/>
      <c r="BD871" s="7"/>
      <c r="BE871" s="7"/>
      <c r="BF871" s="7"/>
      <c r="BG871" s="7"/>
      <c r="BH871" s="7"/>
      <c r="BI871" s="7"/>
      <c r="BJ871" s="7"/>
      <c r="BK871" s="7"/>
      <c r="BL871" s="7"/>
      <c r="BM871" s="7"/>
      <c r="BN871" s="7"/>
      <c r="BO871" s="7"/>
      <c r="BP871" s="7"/>
      <c r="BQ871" s="7"/>
      <c r="BR871" s="7"/>
      <c r="BS871" s="7"/>
      <c r="BT871" s="7"/>
      <c r="BU871" s="7"/>
      <c r="BV871" s="7"/>
      <c r="BW871" s="7"/>
      <c r="BX871" s="7"/>
      <c r="BY871" s="7"/>
      <c r="BZ871" s="7"/>
    </row>
    <row r="872" ht="16.5" customHeight="1">
      <c r="AT872" s="7"/>
      <c r="AU872" s="7"/>
      <c r="AV872" s="7"/>
      <c r="AW872" s="7"/>
      <c r="AX872" s="7"/>
      <c r="AY872" s="7"/>
      <c r="AZ872" s="7"/>
      <c r="BA872" s="7"/>
      <c r="BB872" s="7"/>
      <c r="BC872" s="7"/>
      <c r="BD872" s="7"/>
      <c r="BE872" s="7"/>
      <c r="BF872" s="7"/>
      <c r="BG872" s="7"/>
      <c r="BH872" s="7"/>
      <c r="BI872" s="7"/>
      <c r="BJ872" s="7"/>
      <c r="BK872" s="7"/>
      <c r="BL872" s="7"/>
      <c r="BM872" s="7"/>
      <c r="BN872" s="7"/>
      <c r="BO872" s="7"/>
      <c r="BP872" s="7"/>
      <c r="BQ872" s="7"/>
      <c r="BR872" s="7"/>
      <c r="BS872" s="7"/>
      <c r="BT872" s="7"/>
      <c r="BU872" s="7"/>
      <c r="BV872" s="7"/>
      <c r="BW872" s="7"/>
      <c r="BX872" s="7"/>
      <c r="BY872" s="7"/>
      <c r="BZ872" s="7"/>
    </row>
    <row r="873" ht="16.5" customHeight="1">
      <c r="AT873" s="7"/>
      <c r="AU873" s="7"/>
      <c r="AV873" s="7"/>
      <c r="AW873" s="7"/>
      <c r="AX873" s="7"/>
      <c r="AY873" s="7"/>
      <c r="AZ873" s="7"/>
      <c r="BA873" s="7"/>
      <c r="BB873" s="7"/>
      <c r="BC873" s="7"/>
      <c r="BD873" s="7"/>
      <c r="BE873" s="7"/>
      <c r="BF873" s="7"/>
      <c r="BG873" s="7"/>
      <c r="BH873" s="7"/>
      <c r="BI873" s="7"/>
      <c r="BJ873" s="7"/>
      <c r="BK873" s="7"/>
      <c r="BL873" s="7"/>
      <c r="BM873" s="7"/>
      <c r="BN873" s="7"/>
      <c r="BO873" s="7"/>
      <c r="BP873" s="7"/>
      <c r="BQ873" s="7"/>
      <c r="BR873" s="7"/>
      <c r="BS873" s="7"/>
      <c r="BT873" s="7"/>
      <c r="BU873" s="7"/>
      <c r="BV873" s="7"/>
      <c r="BW873" s="7"/>
      <c r="BX873" s="7"/>
      <c r="BY873" s="7"/>
      <c r="BZ873" s="7"/>
    </row>
    <row r="874" ht="16.5" customHeight="1">
      <c r="AT874" s="7"/>
      <c r="AU874" s="7"/>
      <c r="AV874" s="7"/>
      <c r="AW874" s="7"/>
      <c r="AX874" s="7"/>
      <c r="AY874" s="7"/>
      <c r="AZ874" s="7"/>
      <c r="BA874" s="7"/>
      <c r="BB874" s="7"/>
      <c r="BC874" s="7"/>
      <c r="BD874" s="7"/>
      <c r="BE874" s="7"/>
      <c r="BF874" s="7"/>
      <c r="BG874" s="7"/>
      <c r="BH874" s="7"/>
      <c r="BI874" s="7"/>
      <c r="BJ874" s="7"/>
      <c r="BK874" s="7"/>
      <c r="BL874" s="7"/>
      <c r="BM874" s="7"/>
      <c r="BN874" s="7"/>
      <c r="BO874" s="7"/>
      <c r="BP874" s="7"/>
      <c r="BQ874" s="7"/>
      <c r="BR874" s="7"/>
      <c r="BS874" s="7"/>
      <c r="BT874" s="7"/>
      <c r="BU874" s="7"/>
      <c r="BV874" s="7"/>
      <c r="BW874" s="7"/>
      <c r="BX874" s="7"/>
      <c r="BY874" s="7"/>
      <c r="BZ874" s="7"/>
    </row>
    <row r="875" ht="16.5" customHeight="1">
      <c r="AT875" s="7"/>
      <c r="AU875" s="7"/>
      <c r="AV875" s="7"/>
      <c r="AW875" s="7"/>
      <c r="AX875" s="7"/>
      <c r="AY875" s="7"/>
      <c r="AZ875" s="7"/>
      <c r="BA875" s="7"/>
      <c r="BB875" s="7"/>
      <c r="BC875" s="7"/>
      <c r="BD875" s="7"/>
      <c r="BE875" s="7"/>
      <c r="BF875" s="7"/>
      <c r="BG875" s="7"/>
      <c r="BH875" s="7"/>
      <c r="BI875" s="7"/>
      <c r="BJ875" s="7"/>
      <c r="BK875" s="7"/>
      <c r="BL875" s="7"/>
      <c r="BM875" s="7"/>
      <c r="BN875" s="7"/>
      <c r="BO875" s="7"/>
      <c r="BP875" s="7"/>
      <c r="BQ875" s="7"/>
      <c r="BR875" s="7"/>
      <c r="BS875" s="7"/>
      <c r="BT875" s="7"/>
      <c r="BU875" s="7"/>
      <c r="BV875" s="7"/>
      <c r="BW875" s="7"/>
      <c r="BX875" s="7"/>
      <c r="BY875" s="7"/>
      <c r="BZ875" s="7"/>
    </row>
    <row r="876" ht="16.5" customHeight="1">
      <c r="AT876" s="7"/>
      <c r="AU876" s="7"/>
      <c r="AV876" s="7"/>
      <c r="AW876" s="7"/>
      <c r="AX876" s="7"/>
      <c r="AY876" s="7"/>
      <c r="AZ876" s="7"/>
      <c r="BA876" s="7"/>
      <c r="BB876" s="7"/>
      <c r="BC876" s="7"/>
      <c r="BD876" s="7"/>
      <c r="BE876" s="7"/>
      <c r="BF876" s="7"/>
      <c r="BG876" s="7"/>
      <c r="BH876" s="7"/>
      <c r="BI876" s="7"/>
      <c r="BJ876" s="7"/>
      <c r="BK876" s="7"/>
      <c r="BL876" s="7"/>
      <c r="BM876" s="7"/>
      <c r="BN876" s="7"/>
      <c r="BO876" s="7"/>
      <c r="BP876" s="7"/>
      <c r="BQ876" s="7"/>
      <c r="BR876" s="7"/>
      <c r="BS876" s="7"/>
      <c r="BT876" s="7"/>
      <c r="BU876" s="7"/>
      <c r="BV876" s="7"/>
      <c r="BW876" s="7"/>
      <c r="BX876" s="7"/>
      <c r="BY876" s="7"/>
      <c r="BZ876" s="7"/>
    </row>
    <row r="877" ht="16.5" customHeight="1">
      <c r="AT877" s="7"/>
      <c r="AU877" s="7"/>
      <c r="AV877" s="7"/>
      <c r="AW877" s="7"/>
      <c r="AX877" s="7"/>
      <c r="AY877" s="7"/>
      <c r="AZ877" s="7"/>
      <c r="BA877" s="7"/>
      <c r="BB877" s="7"/>
      <c r="BC877" s="7"/>
      <c r="BD877" s="7"/>
      <c r="BE877" s="7"/>
      <c r="BF877" s="7"/>
      <c r="BG877" s="7"/>
      <c r="BH877" s="7"/>
      <c r="BI877" s="7"/>
      <c r="BJ877" s="7"/>
      <c r="BK877" s="7"/>
      <c r="BL877" s="7"/>
      <c r="BM877" s="7"/>
      <c r="BN877" s="7"/>
      <c r="BO877" s="7"/>
      <c r="BP877" s="7"/>
      <c r="BQ877" s="7"/>
      <c r="BR877" s="7"/>
      <c r="BS877" s="7"/>
      <c r="BT877" s="7"/>
      <c r="BU877" s="7"/>
      <c r="BV877" s="7"/>
      <c r="BW877" s="7"/>
      <c r="BX877" s="7"/>
      <c r="BY877" s="7"/>
      <c r="BZ877" s="7"/>
    </row>
    <row r="878" ht="16.5" customHeight="1">
      <c r="AT878" s="7"/>
      <c r="AU878" s="7"/>
      <c r="AV878" s="7"/>
      <c r="AW878" s="7"/>
      <c r="AX878" s="7"/>
      <c r="AY878" s="7"/>
      <c r="AZ878" s="7"/>
      <c r="BA878" s="7"/>
      <c r="BB878" s="7"/>
      <c r="BC878" s="7"/>
      <c r="BD878" s="7"/>
      <c r="BE878" s="7"/>
      <c r="BF878" s="7"/>
      <c r="BG878" s="7"/>
      <c r="BH878" s="7"/>
      <c r="BI878" s="7"/>
      <c r="BJ878" s="7"/>
      <c r="BK878" s="7"/>
      <c r="BL878" s="7"/>
      <c r="BM878" s="7"/>
      <c r="BN878" s="7"/>
      <c r="BO878" s="7"/>
      <c r="BP878" s="7"/>
      <c r="BQ878" s="7"/>
      <c r="BR878" s="7"/>
      <c r="BS878" s="7"/>
      <c r="BT878" s="7"/>
      <c r="BU878" s="7"/>
      <c r="BV878" s="7"/>
      <c r="BW878" s="7"/>
      <c r="BX878" s="7"/>
      <c r="BY878" s="7"/>
      <c r="BZ878" s="7"/>
    </row>
    <row r="879" ht="16.5" customHeight="1">
      <c r="AT879" s="7"/>
      <c r="AU879" s="7"/>
      <c r="AV879" s="7"/>
      <c r="AW879" s="7"/>
      <c r="AX879" s="7"/>
      <c r="AY879" s="7"/>
      <c r="AZ879" s="7"/>
      <c r="BA879" s="7"/>
      <c r="BB879" s="7"/>
      <c r="BC879" s="7"/>
      <c r="BD879" s="7"/>
      <c r="BE879" s="7"/>
      <c r="BF879" s="7"/>
      <c r="BG879" s="7"/>
      <c r="BH879" s="7"/>
      <c r="BI879" s="7"/>
      <c r="BJ879" s="7"/>
      <c r="BK879" s="7"/>
      <c r="BL879" s="7"/>
      <c r="BM879" s="7"/>
      <c r="BN879" s="7"/>
      <c r="BO879" s="7"/>
      <c r="BP879" s="7"/>
      <c r="BQ879" s="7"/>
      <c r="BR879" s="7"/>
      <c r="BS879" s="7"/>
      <c r="BT879" s="7"/>
      <c r="BU879" s="7"/>
      <c r="BV879" s="7"/>
      <c r="BW879" s="7"/>
      <c r="BX879" s="7"/>
      <c r="BY879" s="7"/>
      <c r="BZ879" s="7"/>
    </row>
    <row r="880" ht="16.5" customHeight="1">
      <c r="AT880" s="7"/>
      <c r="AU880" s="7"/>
      <c r="AV880" s="7"/>
      <c r="AW880" s="7"/>
      <c r="AX880" s="7"/>
      <c r="AY880" s="7"/>
      <c r="AZ880" s="7"/>
      <c r="BA880" s="7"/>
      <c r="BB880" s="7"/>
      <c r="BC880" s="7"/>
      <c r="BD880" s="7"/>
      <c r="BE880" s="7"/>
      <c r="BF880" s="7"/>
      <c r="BG880" s="7"/>
      <c r="BH880" s="7"/>
      <c r="BI880" s="7"/>
      <c r="BJ880" s="7"/>
      <c r="BK880" s="7"/>
      <c r="BL880" s="7"/>
      <c r="BM880" s="7"/>
      <c r="BN880" s="7"/>
      <c r="BO880" s="7"/>
      <c r="BP880" s="7"/>
      <c r="BQ880" s="7"/>
      <c r="BR880" s="7"/>
      <c r="BS880" s="7"/>
      <c r="BT880" s="7"/>
      <c r="BU880" s="7"/>
      <c r="BV880" s="7"/>
      <c r="BW880" s="7"/>
      <c r="BX880" s="7"/>
      <c r="BY880" s="7"/>
      <c r="BZ880" s="7"/>
    </row>
    <row r="881" ht="16.5" customHeight="1">
      <c r="AT881" s="7"/>
      <c r="AU881" s="7"/>
      <c r="AV881" s="7"/>
      <c r="AW881" s="7"/>
      <c r="AX881" s="7"/>
      <c r="AY881" s="7"/>
      <c r="AZ881" s="7"/>
      <c r="BA881" s="7"/>
      <c r="BB881" s="7"/>
      <c r="BC881" s="7"/>
      <c r="BD881" s="7"/>
      <c r="BE881" s="7"/>
      <c r="BF881" s="7"/>
      <c r="BG881" s="7"/>
      <c r="BH881" s="7"/>
      <c r="BI881" s="7"/>
      <c r="BJ881" s="7"/>
      <c r="BK881" s="7"/>
      <c r="BL881" s="7"/>
      <c r="BM881" s="7"/>
      <c r="BN881" s="7"/>
      <c r="BO881" s="7"/>
      <c r="BP881" s="7"/>
      <c r="BQ881" s="7"/>
      <c r="BR881" s="7"/>
      <c r="BS881" s="7"/>
      <c r="BT881" s="7"/>
      <c r="BU881" s="7"/>
      <c r="BV881" s="7"/>
      <c r="BW881" s="7"/>
      <c r="BX881" s="7"/>
      <c r="BY881" s="7"/>
      <c r="BZ881" s="7"/>
    </row>
    <row r="882" ht="16.5" customHeight="1">
      <c r="AT882" s="7"/>
      <c r="AU882" s="7"/>
      <c r="AV882" s="7"/>
      <c r="AW882" s="7"/>
      <c r="AX882" s="7"/>
      <c r="AY882" s="7"/>
      <c r="AZ882" s="7"/>
      <c r="BA882" s="7"/>
      <c r="BB882" s="7"/>
      <c r="BC882" s="7"/>
      <c r="BD882" s="7"/>
      <c r="BE882" s="7"/>
      <c r="BF882" s="7"/>
      <c r="BG882" s="7"/>
      <c r="BH882" s="7"/>
      <c r="BI882" s="7"/>
      <c r="BJ882" s="7"/>
      <c r="BK882" s="7"/>
      <c r="BL882" s="7"/>
      <c r="BM882" s="7"/>
      <c r="BN882" s="7"/>
      <c r="BO882" s="7"/>
      <c r="BP882" s="7"/>
      <c r="BQ882" s="7"/>
      <c r="BR882" s="7"/>
      <c r="BS882" s="7"/>
      <c r="BT882" s="7"/>
      <c r="BU882" s="7"/>
      <c r="BV882" s="7"/>
      <c r="BW882" s="7"/>
      <c r="BX882" s="7"/>
      <c r="BY882" s="7"/>
      <c r="BZ882" s="7"/>
    </row>
    <row r="883" ht="16.5" customHeight="1">
      <c r="AT883" s="7"/>
      <c r="AU883" s="7"/>
      <c r="AV883" s="7"/>
      <c r="AW883" s="7"/>
      <c r="AX883" s="7"/>
      <c r="AY883" s="7"/>
      <c r="AZ883" s="7"/>
      <c r="BA883" s="7"/>
      <c r="BB883" s="7"/>
      <c r="BC883" s="7"/>
      <c r="BD883" s="7"/>
      <c r="BE883" s="7"/>
      <c r="BF883" s="7"/>
      <c r="BG883" s="7"/>
      <c r="BH883" s="7"/>
      <c r="BI883" s="7"/>
      <c r="BJ883" s="7"/>
      <c r="BK883" s="7"/>
      <c r="BL883" s="7"/>
      <c r="BM883" s="7"/>
      <c r="BN883" s="7"/>
      <c r="BO883" s="7"/>
      <c r="BP883" s="7"/>
      <c r="BQ883" s="7"/>
      <c r="BR883" s="7"/>
      <c r="BS883" s="7"/>
      <c r="BT883" s="7"/>
      <c r="BU883" s="7"/>
      <c r="BV883" s="7"/>
      <c r="BW883" s="7"/>
      <c r="BX883" s="7"/>
      <c r="BY883" s="7"/>
      <c r="BZ883" s="7"/>
    </row>
    <row r="884" ht="16.5" customHeight="1">
      <c r="AT884" s="7"/>
      <c r="AU884" s="7"/>
      <c r="AV884" s="7"/>
      <c r="AW884" s="7"/>
      <c r="AX884" s="7"/>
      <c r="AY884" s="7"/>
      <c r="AZ884" s="7"/>
      <c r="BA884" s="7"/>
      <c r="BB884" s="7"/>
      <c r="BC884" s="7"/>
      <c r="BD884" s="7"/>
      <c r="BE884" s="7"/>
      <c r="BF884" s="7"/>
      <c r="BG884" s="7"/>
      <c r="BH884" s="7"/>
      <c r="BI884" s="7"/>
      <c r="BJ884" s="7"/>
      <c r="BK884" s="7"/>
      <c r="BL884" s="7"/>
      <c r="BM884" s="7"/>
      <c r="BN884" s="7"/>
      <c r="BO884" s="7"/>
      <c r="BP884" s="7"/>
      <c r="BQ884" s="7"/>
      <c r="BR884" s="7"/>
      <c r="BS884" s="7"/>
      <c r="BT884" s="7"/>
      <c r="BU884" s="7"/>
      <c r="BV884" s="7"/>
      <c r="BW884" s="7"/>
      <c r="BX884" s="7"/>
      <c r="BY884" s="7"/>
      <c r="BZ884" s="7"/>
    </row>
    <row r="885" ht="16.5" customHeight="1">
      <c r="AT885" s="7"/>
      <c r="AU885" s="7"/>
      <c r="AV885" s="7"/>
      <c r="AW885" s="7"/>
      <c r="AX885" s="7"/>
      <c r="AY885" s="7"/>
      <c r="AZ885" s="7"/>
      <c r="BA885" s="7"/>
      <c r="BB885" s="7"/>
      <c r="BC885" s="7"/>
      <c r="BD885" s="7"/>
      <c r="BE885" s="7"/>
      <c r="BF885" s="7"/>
      <c r="BG885" s="7"/>
      <c r="BH885" s="7"/>
      <c r="BI885" s="7"/>
      <c r="BJ885" s="7"/>
      <c r="BK885" s="7"/>
      <c r="BL885" s="7"/>
      <c r="BM885" s="7"/>
      <c r="BN885" s="7"/>
      <c r="BO885" s="7"/>
      <c r="BP885" s="7"/>
      <c r="BQ885" s="7"/>
      <c r="BR885" s="7"/>
      <c r="BS885" s="7"/>
      <c r="BT885" s="7"/>
      <c r="BU885" s="7"/>
      <c r="BV885" s="7"/>
      <c r="BW885" s="7"/>
      <c r="BX885" s="7"/>
      <c r="BY885" s="7"/>
      <c r="BZ885" s="7"/>
    </row>
    <row r="886" ht="16.5" customHeight="1">
      <c r="AT886" s="7"/>
      <c r="AU886" s="7"/>
      <c r="AV886" s="7"/>
      <c r="AW886" s="7"/>
      <c r="AX886" s="7"/>
      <c r="AY886" s="7"/>
      <c r="AZ886" s="7"/>
      <c r="BA886" s="7"/>
      <c r="BB886" s="7"/>
      <c r="BC886" s="7"/>
      <c r="BD886" s="7"/>
      <c r="BE886" s="7"/>
      <c r="BF886" s="7"/>
      <c r="BG886" s="7"/>
      <c r="BH886" s="7"/>
      <c r="BI886" s="7"/>
      <c r="BJ886" s="7"/>
      <c r="BK886" s="7"/>
      <c r="BL886" s="7"/>
      <c r="BM886" s="7"/>
      <c r="BN886" s="7"/>
      <c r="BO886" s="7"/>
      <c r="BP886" s="7"/>
      <c r="BQ886" s="7"/>
      <c r="BR886" s="7"/>
      <c r="BS886" s="7"/>
      <c r="BT886" s="7"/>
      <c r="BU886" s="7"/>
      <c r="BV886" s="7"/>
      <c r="BW886" s="7"/>
      <c r="BX886" s="7"/>
      <c r="BY886" s="7"/>
      <c r="BZ886" s="7"/>
    </row>
    <row r="887" ht="16.5" customHeight="1">
      <c r="AT887" s="7"/>
      <c r="AU887" s="7"/>
      <c r="AV887" s="7"/>
      <c r="AW887" s="7"/>
      <c r="AX887" s="7"/>
      <c r="AY887" s="7"/>
      <c r="AZ887" s="7"/>
      <c r="BA887" s="7"/>
      <c r="BB887" s="7"/>
      <c r="BC887" s="7"/>
      <c r="BD887" s="7"/>
      <c r="BE887" s="7"/>
      <c r="BF887" s="7"/>
      <c r="BG887" s="7"/>
      <c r="BH887" s="7"/>
      <c r="BI887" s="7"/>
      <c r="BJ887" s="7"/>
      <c r="BK887" s="7"/>
      <c r="BL887" s="7"/>
      <c r="BM887" s="7"/>
      <c r="BN887" s="7"/>
      <c r="BO887" s="7"/>
      <c r="BP887" s="7"/>
      <c r="BQ887" s="7"/>
      <c r="BR887" s="7"/>
      <c r="BS887" s="7"/>
      <c r="BT887" s="7"/>
      <c r="BU887" s="7"/>
      <c r="BV887" s="7"/>
      <c r="BW887" s="7"/>
      <c r="BX887" s="7"/>
      <c r="BY887" s="7"/>
      <c r="BZ887" s="7"/>
    </row>
    <row r="888" ht="16.5" customHeight="1">
      <c r="AT888" s="7"/>
      <c r="AU888" s="7"/>
      <c r="AV888" s="7"/>
      <c r="AW888" s="7"/>
      <c r="AX888" s="7"/>
      <c r="AY888" s="7"/>
      <c r="AZ888" s="7"/>
      <c r="BA888" s="7"/>
      <c r="BB888" s="7"/>
      <c r="BC888" s="7"/>
      <c r="BD888" s="7"/>
      <c r="BE888" s="7"/>
      <c r="BF888" s="7"/>
      <c r="BG888" s="7"/>
      <c r="BH888" s="7"/>
      <c r="BI888" s="7"/>
      <c r="BJ888" s="7"/>
      <c r="BK888" s="7"/>
      <c r="BL888" s="7"/>
      <c r="BM888" s="7"/>
      <c r="BN888" s="7"/>
      <c r="BO888" s="7"/>
      <c r="BP888" s="7"/>
      <c r="BQ888" s="7"/>
      <c r="BR888" s="7"/>
      <c r="BS888" s="7"/>
      <c r="BT888" s="7"/>
      <c r="BU888" s="7"/>
      <c r="BV888" s="7"/>
      <c r="BW888" s="7"/>
      <c r="BX888" s="7"/>
      <c r="BY888" s="7"/>
      <c r="BZ888" s="7"/>
    </row>
    <row r="889" ht="16.5" customHeight="1">
      <c r="AT889" s="7"/>
      <c r="AU889" s="7"/>
      <c r="AV889" s="7"/>
      <c r="AW889" s="7"/>
      <c r="AX889" s="7"/>
      <c r="AY889" s="7"/>
      <c r="AZ889" s="7"/>
      <c r="BA889" s="7"/>
      <c r="BB889" s="7"/>
      <c r="BC889" s="7"/>
      <c r="BD889" s="7"/>
      <c r="BE889" s="7"/>
      <c r="BF889" s="7"/>
      <c r="BG889" s="7"/>
      <c r="BH889" s="7"/>
      <c r="BI889" s="7"/>
      <c r="BJ889" s="7"/>
      <c r="BK889" s="7"/>
      <c r="BL889" s="7"/>
      <c r="BM889" s="7"/>
      <c r="BN889" s="7"/>
      <c r="BO889" s="7"/>
      <c r="BP889" s="7"/>
      <c r="BQ889" s="7"/>
      <c r="BR889" s="7"/>
      <c r="BS889" s="7"/>
      <c r="BT889" s="7"/>
      <c r="BU889" s="7"/>
      <c r="BV889" s="7"/>
      <c r="BW889" s="7"/>
      <c r="BX889" s="7"/>
      <c r="BY889" s="7"/>
      <c r="BZ889" s="7"/>
    </row>
    <row r="890" ht="16.5" customHeight="1">
      <c r="AT890" s="7"/>
      <c r="AU890" s="7"/>
      <c r="AV890" s="7"/>
      <c r="AW890" s="7"/>
      <c r="AX890" s="7"/>
      <c r="AY890" s="7"/>
      <c r="AZ890" s="7"/>
      <c r="BA890" s="7"/>
      <c r="BB890" s="7"/>
      <c r="BC890" s="7"/>
      <c r="BD890" s="7"/>
      <c r="BE890" s="7"/>
      <c r="BF890" s="7"/>
      <c r="BG890" s="7"/>
      <c r="BH890" s="7"/>
      <c r="BI890" s="7"/>
      <c r="BJ890" s="7"/>
      <c r="BK890" s="7"/>
      <c r="BL890" s="7"/>
      <c r="BM890" s="7"/>
      <c r="BN890" s="7"/>
      <c r="BO890" s="7"/>
      <c r="BP890" s="7"/>
      <c r="BQ890" s="7"/>
      <c r="BR890" s="7"/>
      <c r="BS890" s="7"/>
      <c r="BT890" s="7"/>
      <c r="BU890" s="7"/>
      <c r="BV890" s="7"/>
      <c r="BW890" s="7"/>
      <c r="BX890" s="7"/>
      <c r="BY890" s="7"/>
      <c r="BZ890" s="7"/>
    </row>
    <row r="891" ht="16.5" customHeight="1">
      <c r="AT891" s="7"/>
      <c r="AU891" s="7"/>
      <c r="AV891" s="7"/>
      <c r="AW891" s="7"/>
      <c r="AX891" s="7"/>
      <c r="AY891" s="7"/>
      <c r="AZ891" s="7"/>
      <c r="BA891" s="7"/>
      <c r="BB891" s="7"/>
      <c r="BC891" s="7"/>
      <c r="BD891" s="7"/>
      <c r="BE891" s="7"/>
      <c r="BF891" s="7"/>
      <c r="BG891" s="7"/>
      <c r="BH891" s="7"/>
      <c r="BI891" s="7"/>
      <c r="BJ891" s="7"/>
      <c r="BK891" s="7"/>
      <c r="BL891" s="7"/>
      <c r="BM891" s="7"/>
      <c r="BN891" s="7"/>
      <c r="BO891" s="7"/>
      <c r="BP891" s="7"/>
      <c r="BQ891" s="7"/>
      <c r="BR891" s="7"/>
      <c r="BS891" s="7"/>
      <c r="BT891" s="7"/>
      <c r="BU891" s="7"/>
      <c r="BV891" s="7"/>
      <c r="BW891" s="7"/>
      <c r="BX891" s="7"/>
      <c r="BY891" s="7"/>
      <c r="BZ891" s="7"/>
    </row>
    <row r="892" ht="16.5" customHeight="1">
      <c r="AT892" s="7"/>
      <c r="AU892" s="7"/>
      <c r="AV892" s="7"/>
      <c r="AW892" s="7"/>
      <c r="AX892" s="7"/>
      <c r="AY892" s="7"/>
      <c r="AZ892" s="7"/>
      <c r="BA892" s="7"/>
      <c r="BB892" s="7"/>
      <c r="BC892" s="7"/>
      <c r="BD892" s="7"/>
      <c r="BE892" s="7"/>
      <c r="BF892" s="7"/>
      <c r="BG892" s="7"/>
      <c r="BH892" s="7"/>
      <c r="BI892" s="7"/>
      <c r="BJ892" s="7"/>
      <c r="BK892" s="7"/>
      <c r="BL892" s="7"/>
      <c r="BM892" s="7"/>
      <c r="BN892" s="7"/>
      <c r="BO892" s="7"/>
      <c r="BP892" s="7"/>
      <c r="BQ892" s="7"/>
      <c r="BR892" s="7"/>
      <c r="BS892" s="7"/>
      <c r="BT892" s="7"/>
      <c r="BU892" s="7"/>
      <c r="BV892" s="7"/>
      <c r="BW892" s="7"/>
      <c r="BX892" s="7"/>
      <c r="BY892" s="7"/>
      <c r="BZ892" s="7"/>
    </row>
    <row r="893" ht="16.5" customHeight="1">
      <c r="AT893" s="7"/>
      <c r="AU893" s="7"/>
      <c r="AV893" s="7"/>
      <c r="AW893" s="7"/>
      <c r="AX893" s="7"/>
      <c r="AY893" s="7"/>
      <c r="AZ893" s="7"/>
      <c r="BA893" s="7"/>
      <c r="BB893" s="7"/>
      <c r="BC893" s="7"/>
      <c r="BD893" s="7"/>
      <c r="BE893" s="7"/>
      <c r="BF893" s="7"/>
      <c r="BG893" s="7"/>
      <c r="BH893" s="7"/>
      <c r="BI893" s="7"/>
      <c r="BJ893" s="7"/>
      <c r="BK893" s="7"/>
      <c r="BL893" s="7"/>
      <c r="BM893" s="7"/>
      <c r="BN893" s="7"/>
      <c r="BO893" s="7"/>
      <c r="BP893" s="7"/>
      <c r="BQ893" s="7"/>
      <c r="BR893" s="7"/>
      <c r="BS893" s="7"/>
      <c r="BT893" s="7"/>
      <c r="BU893" s="7"/>
      <c r="BV893" s="7"/>
      <c r="BW893" s="7"/>
      <c r="BX893" s="7"/>
      <c r="BY893" s="7"/>
      <c r="BZ893" s="7"/>
    </row>
    <row r="894" ht="16.5" customHeight="1">
      <c r="AT894" s="7"/>
      <c r="AU894" s="7"/>
      <c r="AV894" s="7"/>
      <c r="AW894" s="7"/>
      <c r="AX894" s="7"/>
      <c r="AY894" s="7"/>
      <c r="AZ894" s="7"/>
      <c r="BA894" s="7"/>
      <c r="BB894" s="7"/>
      <c r="BC894" s="7"/>
      <c r="BD894" s="7"/>
      <c r="BE894" s="7"/>
      <c r="BF894" s="7"/>
      <c r="BG894" s="7"/>
      <c r="BH894" s="7"/>
      <c r="BI894" s="7"/>
      <c r="BJ894" s="7"/>
      <c r="BK894" s="7"/>
      <c r="BL894" s="7"/>
      <c r="BM894" s="7"/>
      <c r="BN894" s="7"/>
      <c r="BO894" s="7"/>
      <c r="BP894" s="7"/>
      <c r="BQ894" s="7"/>
      <c r="BR894" s="7"/>
      <c r="BS894" s="7"/>
      <c r="BT894" s="7"/>
      <c r="BU894" s="7"/>
      <c r="BV894" s="7"/>
      <c r="BW894" s="7"/>
      <c r="BX894" s="7"/>
      <c r="BY894" s="7"/>
      <c r="BZ894" s="7"/>
    </row>
    <row r="895" ht="16.5" customHeight="1">
      <c r="AT895" s="7"/>
      <c r="AU895" s="7"/>
      <c r="AV895" s="7"/>
      <c r="AW895" s="7"/>
      <c r="AX895" s="7"/>
      <c r="AY895" s="7"/>
      <c r="AZ895" s="7"/>
      <c r="BA895" s="7"/>
      <c r="BB895" s="7"/>
      <c r="BC895" s="7"/>
      <c r="BD895" s="7"/>
      <c r="BE895" s="7"/>
      <c r="BF895" s="7"/>
      <c r="BG895" s="7"/>
      <c r="BH895" s="7"/>
      <c r="BI895" s="7"/>
      <c r="BJ895" s="7"/>
      <c r="BK895" s="7"/>
      <c r="BL895" s="7"/>
      <c r="BM895" s="7"/>
      <c r="BN895" s="7"/>
      <c r="BO895" s="7"/>
      <c r="BP895" s="7"/>
      <c r="BQ895" s="7"/>
      <c r="BR895" s="7"/>
      <c r="BS895" s="7"/>
      <c r="BT895" s="7"/>
      <c r="BU895" s="7"/>
      <c r="BV895" s="7"/>
      <c r="BW895" s="7"/>
      <c r="BX895" s="7"/>
      <c r="BY895" s="7"/>
      <c r="BZ895" s="7"/>
    </row>
    <row r="896" ht="16.5" customHeight="1">
      <c r="AT896" s="7"/>
      <c r="AU896" s="7"/>
      <c r="AV896" s="7"/>
      <c r="AW896" s="7"/>
      <c r="AX896" s="7"/>
      <c r="AY896" s="7"/>
      <c r="AZ896" s="7"/>
      <c r="BA896" s="7"/>
      <c r="BB896" s="7"/>
      <c r="BC896" s="7"/>
      <c r="BD896" s="7"/>
      <c r="BE896" s="7"/>
      <c r="BF896" s="7"/>
      <c r="BG896" s="7"/>
      <c r="BH896" s="7"/>
      <c r="BI896" s="7"/>
      <c r="BJ896" s="7"/>
      <c r="BK896" s="7"/>
      <c r="BL896" s="7"/>
      <c r="BM896" s="7"/>
      <c r="BN896" s="7"/>
      <c r="BO896" s="7"/>
      <c r="BP896" s="7"/>
      <c r="BQ896" s="7"/>
      <c r="BR896" s="7"/>
      <c r="BS896" s="7"/>
      <c r="BT896" s="7"/>
      <c r="BU896" s="7"/>
      <c r="BV896" s="7"/>
      <c r="BW896" s="7"/>
      <c r="BX896" s="7"/>
      <c r="BY896" s="7"/>
      <c r="BZ896" s="7"/>
    </row>
    <row r="897" ht="16.5" customHeight="1">
      <c r="AT897" s="7"/>
      <c r="AU897" s="7"/>
      <c r="AV897" s="7"/>
      <c r="AW897" s="7"/>
      <c r="AX897" s="7"/>
      <c r="AY897" s="7"/>
      <c r="AZ897" s="7"/>
      <c r="BA897" s="7"/>
      <c r="BB897" s="7"/>
      <c r="BC897" s="7"/>
      <c r="BD897" s="7"/>
      <c r="BE897" s="7"/>
      <c r="BF897" s="7"/>
      <c r="BG897" s="7"/>
      <c r="BH897" s="7"/>
      <c r="BI897" s="7"/>
      <c r="BJ897" s="7"/>
      <c r="BK897" s="7"/>
      <c r="BL897" s="7"/>
      <c r="BM897" s="7"/>
      <c r="BN897" s="7"/>
      <c r="BO897" s="7"/>
      <c r="BP897" s="7"/>
      <c r="BQ897" s="7"/>
      <c r="BR897" s="7"/>
      <c r="BS897" s="7"/>
      <c r="BT897" s="7"/>
      <c r="BU897" s="7"/>
      <c r="BV897" s="7"/>
      <c r="BW897" s="7"/>
      <c r="BX897" s="7"/>
      <c r="BY897" s="7"/>
      <c r="BZ897" s="7"/>
    </row>
    <row r="898" ht="16.5" customHeight="1">
      <c r="AT898" s="7"/>
      <c r="AU898" s="7"/>
      <c r="AV898" s="7"/>
      <c r="AW898" s="7"/>
      <c r="AX898" s="7"/>
      <c r="AY898" s="7"/>
      <c r="AZ898" s="7"/>
      <c r="BA898" s="7"/>
      <c r="BB898" s="7"/>
      <c r="BC898" s="7"/>
      <c r="BD898" s="7"/>
      <c r="BE898" s="7"/>
      <c r="BF898" s="7"/>
      <c r="BG898" s="7"/>
      <c r="BH898" s="7"/>
      <c r="BI898" s="7"/>
      <c r="BJ898" s="7"/>
      <c r="BK898" s="7"/>
      <c r="BL898" s="7"/>
      <c r="BM898" s="7"/>
      <c r="BN898" s="7"/>
      <c r="BO898" s="7"/>
      <c r="BP898" s="7"/>
      <c r="BQ898" s="7"/>
      <c r="BR898" s="7"/>
      <c r="BS898" s="7"/>
      <c r="BT898" s="7"/>
      <c r="BU898" s="7"/>
      <c r="BV898" s="7"/>
      <c r="BW898" s="7"/>
      <c r="BX898" s="7"/>
      <c r="BY898" s="7"/>
      <c r="BZ898" s="7"/>
    </row>
    <row r="899" ht="16.5" customHeight="1">
      <c r="AT899" s="7"/>
      <c r="AU899" s="7"/>
      <c r="AV899" s="7"/>
      <c r="AW899" s="7"/>
      <c r="AX899" s="7"/>
      <c r="AY899" s="7"/>
      <c r="AZ899" s="7"/>
      <c r="BA899" s="7"/>
      <c r="BB899" s="7"/>
      <c r="BC899" s="7"/>
      <c r="BD899" s="7"/>
      <c r="BE899" s="7"/>
      <c r="BF899" s="7"/>
      <c r="BG899" s="7"/>
      <c r="BH899" s="7"/>
      <c r="BI899" s="7"/>
      <c r="BJ899" s="7"/>
      <c r="BK899" s="7"/>
      <c r="BL899" s="7"/>
      <c r="BM899" s="7"/>
      <c r="BN899" s="7"/>
      <c r="BO899" s="7"/>
      <c r="BP899" s="7"/>
      <c r="BQ899" s="7"/>
      <c r="BR899" s="7"/>
      <c r="BS899" s="7"/>
      <c r="BT899" s="7"/>
      <c r="BU899" s="7"/>
      <c r="BV899" s="7"/>
      <c r="BW899" s="7"/>
      <c r="BX899" s="7"/>
      <c r="BY899" s="7"/>
      <c r="BZ899" s="7"/>
    </row>
    <row r="900" ht="16.5" customHeight="1">
      <c r="AT900" s="7"/>
      <c r="AU900" s="7"/>
      <c r="AV900" s="7"/>
      <c r="AW900" s="7"/>
      <c r="AX900" s="7"/>
      <c r="AY900" s="7"/>
      <c r="AZ900" s="7"/>
      <c r="BA900" s="7"/>
      <c r="BB900" s="7"/>
      <c r="BC900" s="7"/>
      <c r="BD900" s="7"/>
      <c r="BE900" s="7"/>
      <c r="BF900" s="7"/>
      <c r="BG900" s="7"/>
      <c r="BH900" s="7"/>
      <c r="BI900" s="7"/>
      <c r="BJ900" s="7"/>
      <c r="BK900" s="7"/>
      <c r="BL900" s="7"/>
      <c r="BM900" s="7"/>
      <c r="BN900" s="7"/>
      <c r="BO900" s="7"/>
      <c r="BP900" s="7"/>
      <c r="BQ900" s="7"/>
      <c r="BR900" s="7"/>
      <c r="BS900" s="7"/>
      <c r="BT900" s="7"/>
      <c r="BU900" s="7"/>
      <c r="BV900" s="7"/>
      <c r="BW900" s="7"/>
      <c r="BX900" s="7"/>
      <c r="BY900" s="7"/>
      <c r="BZ900" s="7"/>
    </row>
    <row r="901" ht="16.5" customHeight="1">
      <c r="AT901" s="7"/>
      <c r="AU901" s="7"/>
      <c r="AV901" s="7"/>
      <c r="AW901" s="7"/>
      <c r="AX901" s="7"/>
      <c r="AY901" s="7"/>
      <c r="AZ901" s="7"/>
      <c r="BA901" s="7"/>
      <c r="BB901" s="7"/>
      <c r="BC901" s="7"/>
      <c r="BD901" s="7"/>
      <c r="BE901" s="7"/>
      <c r="BF901" s="7"/>
      <c r="BG901" s="7"/>
      <c r="BH901" s="7"/>
      <c r="BI901" s="7"/>
      <c r="BJ901" s="7"/>
      <c r="BK901" s="7"/>
      <c r="BL901" s="7"/>
      <c r="BM901" s="7"/>
      <c r="BN901" s="7"/>
      <c r="BO901" s="7"/>
      <c r="BP901" s="7"/>
      <c r="BQ901" s="7"/>
      <c r="BR901" s="7"/>
      <c r="BS901" s="7"/>
      <c r="BT901" s="7"/>
      <c r="BU901" s="7"/>
      <c r="BV901" s="7"/>
      <c r="BW901" s="7"/>
      <c r="BX901" s="7"/>
      <c r="BY901" s="7"/>
      <c r="BZ901" s="7"/>
    </row>
    <row r="902" ht="16.5" customHeight="1">
      <c r="AT902" s="7"/>
      <c r="AU902" s="7"/>
      <c r="AV902" s="7"/>
      <c r="AW902" s="7"/>
      <c r="AX902" s="7"/>
      <c r="AY902" s="7"/>
      <c r="AZ902" s="7"/>
      <c r="BA902" s="7"/>
      <c r="BB902" s="7"/>
      <c r="BC902" s="7"/>
      <c r="BD902" s="7"/>
      <c r="BE902" s="7"/>
      <c r="BF902" s="7"/>
      <c r="BG902" s="7"/>
      <c r="BH902" s="7"/>
      <c r="BI902" s="7"/>
      <c r="BJ902" s="7"/>
      <c r="BK902" s="7"/>
      <c r="BL902" s="7"/>
      <c r="BM902" s="7"/>
      <c r="BN902" s="7"/>
      <c r="BO902" s="7"/>
      <c r="BP902" s="7"/>
      <c r="BQ902" s="7"/>
      <c r="BR902" s="7"/>
      <c r="BS902" s="7"/>
      <c r="BT902" s="7"/>
      <c r="BU902" s="7"/>
      <c r="BV902" s="7"/>
      <c r="BW902" s="7"/>
      <c r="BX902" s="7"/>
      <c r="BY902" s="7"/>
      <c r="BZ902" s="7"/>
    </row>
    <row r="903" ht="16.5" customHeight="1">
      <c r="AT903" s="7"/>
      <c r="AU903" s="7"/>
      <c r="AV903" s="7"/>
      <c r="AW903" s="7"/>
      <c r="AX903" s="7"/>
      <c r="AY903" s="7"/>
      <c r="AZ903" s="7"/>
      <c r="BA903" s="7"/>
      <c r="BB903" s="7"/>
      <c r="BC903" s="7"/>
      <c r="BD903" s="7"/>
      <c r="BE903" s="7"/>
      <c r="BF903" s="7"/>
      <c r="BG903" s="7"/>
      <c r="BH903" s="7"/>
      <c r="BI903" s="7"/>
      <c r="BJ903" s="7"/>
      <c r="BK903" s="7"/>
      <c r="BL903" s="7"/>
      <c r="BM903" s="7"/>
      <c r="BN903" s="7"/>
      <c r="BO903" s="7"/>
      <c r="BP903" s="7"/>
      <c r="BQ903" s="7"/>
      <c r="BR903" s="7"/>
      <c r="BS903" s="7"/>
      <c r="BT903" s="7"/>
      <c r="BU903" s="7"/>
      <c r="BV903" s="7"/>
      <c r="BW903" s="7"/>
      <c r="BX903" s="7"/>
      <c r="BY903" s="7"/>
      <c r="BZ903" s="7"/>
    </row>
    <row r="904" ht="16.5" customHeight="1">
      <c r="AT904" s="7"/>
      <c r="AU904" s="7"/>
      <c r="AV904" s="7"/>
      <c r="AW904" s="7"/>
      <c r="AX904" s="7"/>
      <c r="AY904" s="7"/>
      <c r="AZ904" s="7"/>
      <c r="BA904" s="7"/>
      <c r="BB904" s="7"/>
      <c r="BC904" s="7"/>
      <c r="BD904" s="7"/>
      <c r="BE904" s="7"/>
      <c r="BF904" s="7"/>
      <c r="BG904" s="7"/>
      <c r="BH904" s="7"/>
      <c r="BI904" s="7"/>
      <c r="BJ904" s="7"/>
      <c r="BK904" s="7"/>
      <c r="BL904" s="7"/>
      <c r="BM904" s="7"/>
      <c r="BN904" s="7"/>
      <c r="BO904" s="7"/>
      <c r="BP904" s="7"/>
      <c r="BQ904" s="7"/>
      <c r="BR904" s="7"/>
      <c r="BS904" s="7"/>
      <c r="BT904" s="7"/>
      <c r="BU904" s="7"/>
      <c r="BV904" s="7"/>
      <c r="BW904" s="7"/>
      <c r="BX904" s="7"/>
      <c r="BY904" s="7"/>
      <c r="BZ904" s="7"/>
    </row>
    <row r="905" ht="16.5" customHeight="1">
      <c r="AT905" s="7"/>
      <c r="AU905" s="7"/>
      <c r="AV905" s="7"/>
      <c r="AW905" s="7"/>
      <c r="AX905" s="7"/>
      <c r="AY905" s="7"/>
      <c r="AZ905" s="7"/>
      <c r="BA905" s="7"/>
      <c r="BB905" s="7"/>
      <c r="BC905" s="7"/>
      <c r="BD905" s="7"/>
      <c r="BE905" s="7"/>
      <c r="BF905" s="7"/>
      <c r="BG905" s="7"/>
      <c r="BH905" s="7"/>
      <c r="BI905" s="7"/>
      <c r="BJ905" s="7"/>
      <c r="BK905" s="7"/>
      <c r="BL905" s="7"/>
      <c r="BM905" s="7"/>
      <c r="BN905" s="7"/>
      <c r="BO905" s="7"/>
      <c r="BP905" s="7"/>
      <c r="BQ905" s="7"/>
      <c r="BR905" s="7"/>
      <c r="BS905" s="7"/>
      <c r="BT905" s="7"/>
      <c r="BU905" s="7"/>
      <c r="BV905" s="7"/>
      <c r="BW905" s="7"/>
      <c r="BX905" s="7"/>
      <c r="BY905" s="7"/>
      <c r="BZ905" s="7"/>
    </row>
    <row r="906" ht="16.5" customHeight="1">
      <c r="AT906" s="7"/>
      <c r="AU906" s="7"/>
      <c r="AV906" s="7"/>
      <c r="AW906" s="7"/>
      <c r="AX906" s="7"/>
      <c r="AY906" s="7"/>
      <c r="AZ906" s="7"/>
      <c r="BA906" s="7"/>
      <c r="BB906" s="7"/>
      <c r="BC906" s="7"/>
      <c r="BD906" s="7"/>
      <c r="BE906" s="7"/>
      <c r="BF906" s="7"/>
      <c r="BG906" s="7"/>
      <c r="BH906" s="7"/>
      <c r="BI906" s="7"/>
      <c r="BJ906" s="7"/>
      <c r="BK906" s="7"/>
      <c r="BL906" s="7"/>
      <c r="BM906" s="7"/>
      <c r="BN906" s="7"/>
      <c r="BO906" s="7"/>
      <c r="BP906" s="7"/>
      <c r="BQ906" s="7"/>
      <c r="BR906" s="7"/>
      <c r="BS906" s="7"/>
      <c r="BT906" s="7"/>
      <c r="BU906" s="7"/>
      <c r="BV906" s="7"/>
      <c r="BW906" s="7"/>
      <c r="BX906" s="7"/>
      <c r="BY906" s="7"/>
      <c r="BZ906" s="7"/>
    </row>
    <row r="907" ht="16.5" customHeight="1">
      <c r="AT907" s="7"/>
      <c r="AU907" s="7"/>
      <c r="AV907" s="7"/>
      <c r="AW907" s="7"/>
      <c r="AX907" s="7"/>
      <c r="AY907" s="7"/>
      <c r="AZ907" s="7"/>
      <c r="BA907" s="7"/>
      <c r="BB907" s="7"/>
      <c r="BC907" s="7"/>
      <c r="BD907" s="7"/>
      <c r="BE907" s="7"/>
      <c r="BF907" s="7"/>
      <c r="BG907" s="7"/>
      <c r="BH907" s="7"/>
      <c r="BI907" s="7"/>
      <c r="BJ907" s="7"/>
      <c r="BK907" s="7"/>
      <c r="BL907" s="7"/>
      <c r="BM907" s="7"/>
      <c r="BN907" s="7"/>
      <c r="BO907" s="7"/>
      <c r="BP907" s="7"/>
      <c r="BQ907" s="7"/>
      <c r="BR907" s="7"/>
      <c r="BS907" s="7"/>
      <c r="BT907" s="7"/>
      <c r="BU907" s="7"/>
      <c r="BV907" s="7"/>
      <c r="BW907" s="7"/>
      <c r="BX907" s="7"/>
      <c r="BY907" s="7"/>
      <c r="BZ907" s="7"/>
    </row>
    <row r="908" ht="16.5" customHeight="1">
      <c r="AT908" s="7"/>
      <c r="AU908" s="7"/>
      <c r="AV908" s="7"/>
      <c r="AW908" s="7"/>
      <c r="AX908" s="7"/>
      <c r="AY908" s="7"/>
      <c r="AZ908" s="7"/>
      <c r="BA908" s="7"/>
      <c r="BB908" s="7"/>
      <c r="BC908" s="7"/>
      <c r="BD908" s="7"/>
      <c r="BE908" s="7"/>
      <c r="BF908" s="7"/>
      <c r="BG908" s="7"/>
      <c r="BH908" s="7"/>
      <c r="BI908" s="7"/>
      <c r="BJ908" s="7"/>
      <c r="BK908" s="7"/>
      <c r="BL908" s="7"/>
      <c r="BM908" s="7"/>
      <c r="BN908" s="7"/>
      <c r="BO908" s="7"/>
      <c r="BP908" s="7"/>
      <c r="BQ908" s="7"/>
      <c r="BR908" s="7"/>
      <c r="BS908" s="7"/>
      <c r="BT908" s="7"/>
      <c r="BU908" s="7"/>
      <c r="BV908" s="7"/>
      <c r="BW908" s="7"/>
      <c r="BX908" s="7"/>
      <c r="BY908" s="7"/>
      <c r="BZ908" s="7"/>
    </row>
    <row r="909" ht="16.5" customHeight="1">
      <c r="AT909" s="7"/>
      <c r="AU909" s="7"/>
      <c r="AV909" s="7"/>
      <c r="AW909" s="7"/>
      <c r="AX909" s="7"/>
      <c r="AY909" s="7"/>
      <c r="AZ909" s="7"/>
      <c r="BA909" s="7"/>
      <c r="BB909" s="7"/>
      <c r="BC909" s="7"/>
      <c r="BD909" s="7"/>
      <c r="BE909" s="7"/>
      <c r="BF909" s="7"/>
      <c r="BG909" s="7"/>
      <c r="BH909" s="7"/>
      <c r="BI909" s="7"/>
      <c r="BJ909" s="7"/>
      <c r="BK909" s="7"/>
      <c r="BL909" s="7"/>
      <c r="BM909" s="7"/>
      <c r="BN909" s="7"/>
      <c r="BO909" s="7"/>
      <c r="BP909" s="7"/>
      <c r="BQ909" s="7"/>
      <c r="BR909" s="7"/>
      <c r="BS909" s="7"/>
      <c r="BT909" s="7"/>
      <c r="BU909" s="7"/>
      <c r="BV909" s="7"/>
      <c r="BW909" s="7"/>
      <c r="BX909" s="7"/>
      <c r="BY909" s="7"/>
      <c r="BZ909" s="7"/>
    </row>
    <row r="910" ht="16.5" customHeight="1">
      <c r="AT910" s="7"/>
      <c r="AU910" s="7"/>
      <c r="AV910" s="7"/>
      <c r="AW910" s="7"/>
      <c r="AX910" s="7"/>
      <c r="AY910" s="7"/>
      <c r="AZ910" s="7"/>
      <c r="BA910" s="7"/>
      <c r="BB910" s="7"/>
      <c r="BC910" s="7"/>
      <c r="BD910" s="7"/>
      <c r="BE910" s="7"/>
      <c r="BF910" s="7"/>
      <c r="BG910" s="7"/>
      <c r="BH910" s="7"/>
      <c r="BI910" s="7"/>
      <c r="BJ910" s="7"/>
      <c r="BK910" s="7"/>
      <c r="BL910" s="7"/>
      <c r="BM910" s="7"/>
      <c r="BN910" s="7"/>
      <c r="BO910" s="7"/>
      <c r="BP910" s="7"/>
      <c r="BQ910" s="7"/>
      <c r="BR910" s="7"/>
      <c r="BS910" s="7"/>
      <c r="BT910" s="7"/>
      <c r="BU910" s="7"/>
      <c r="BV910" s="7"/>
      <c r="BW910" s="7"/>
      <c r="BX910" s="7"/>
      <c r="BY910" s="7"/>
      <c r="BZ910" s="7"/>
    </row>
    <row r="911" ht="16.5" customHeight="1">
      <c r="AT911" s="7"/>
      <c r="AU911" s="7"/>
      <c r="AV911" s="7"/>
      <c r="AW911" s="7"/>
      <c r="AX911" s="7"/>
      <c r="AY911" s="7"/>
      <c r="AZ911" s="7"/>
      <c r="BA911" s="7"/>
      <c r="BB911" s="7"/>
      <c r="BC911" s="7"/>
      <c r="BD911" s="7"/>
      <c r="BE911" s="7"/>
      <c r="BF911" s="7"/>
      <c r="BG911" s="7"/>
      <c r="BH911" s="7"/>
      <c r="BI911" s="7"/>
      <c r="BJ911" s="7"/>
      <c r="BK911" s="7"/>
      <c r="BL911" s="7"/>
      <c r="BM911" s="7"/>
      <c r="BN911" s="7"/>
      <c r="BO911" s="7"/>
      <c r="BP911" s="7"/>
      <c r="BQ911" s="7"/>
      <c r="BR911" s="7"/>
      <c r="BS911" s="7"/>
      <c r="BT911" s="7"/>
      <c r="BU911" s="7"/>
      <c r="BV911" s="7"/>
      <c r="BW911" s="7"/>
      <c r="BX911" s="7"/>
      <c r="BY911" s="7"/>
      <c r="BZ911" s="7"/>
    </row>
    <row r="912" ht="16.5" customHeight="1">
      <c r="AT912" s="7"/>
      <c r="AU912" s="7"/>
      <c r="AV912" s="7"/>
      <c r="AW912" s="7"/>
      <c r="AX912" s="7"/>
      <c r="AY912" s="7"/>
      <c r="AZ912" s="7"/>
      <c r="BA912" s="7"/>
      <c r="BB912" s="7"/>
      <c r="BC912" s="7"/>
      <c r="BD912" s="7"/>
      <c r="BE912" s="7"/>
      <c r="BF912" s="7"/>
      <c r="BG912" s="7"/>
      <c r="BH912" s="7"/>
      <c r="BI912" s="7"/>
      <c r="BJ912" s="7"/>
      <c r="BK912" s="7"/>
      <c r="BL912" s="7"/>
      <c r="BM912" s="7"/>
      <c r="BN912" s="7"/>
      <c r="BO912" s="7"/>
      <c r="BP912" s="7"/>
      <c r="BQ912" s="7"/>
      <c r="BR912" s="7"/>
      <c r="BS912" s="7"/>
      <c r="BT912" s="7"/>
      <c r="BU912" s="7"/>
      <c r="BV912" s="7"/>
      <c r="BW912" s="7"/>
      <c r="BX912" s="7"/>
      <c r="BY912" s="7"/>
      <c r="BZ912" s="7"/>
    </row>
    <row r="913" ht="16.5" customHeight="1">
      <c r="AT913" s="7"/>
      <c r="AU913" s="7"/>
      <c r="AV913" s="7"/>
      <c r="AW913" s="7"/>
      <c r="AX913" s="7"/>
      <c r="AY913" s="7"/>
      <c r="AZ913" s="7"/>
      <c r="BA913" s="7"/>
      <c r="BB913" s="7"/>
      <c r="BC913" s="7"/>
      <c r="BD913" s="7"/>
      <c r="BE913" s="7"/>
      <c r="BF913" s="7"/>
      <c r="BG913" s="7"/>
      <c r="BH913" s="7"/>
      <c r="BI913" s="7"/>
      <c r="BJ913" s="7"/>
      <c r="BK913" s="7"/>
      <c r="BL913" s="7"/>
      <c r="BM913" s="7"/>
      <c r="BN913" s="7"/>
      <c r="BO913" s="7"/>
      <c r="BP913" s="7"/>
      <c r="BQ913" s="7"/>
      <c r="BR913" s="7"/>
      <c r="BS913" s="7"/>
      <c r="BT913" s="7"/>
      <c r="BU913" s="7"/>
      <c r="BV913" s="7"/>
      <c r="BW913" s="7"/>
      <c r="BX913" s="7"/>
      <c r="BY913" s="7"/>
      <c r="BZ913" s="7"/>
    </row>
    <row r="914" ht="16.5" customHeight="1">
      <c r="AT914" s="7"/>
      <c r="AU914" s="7"/>
      <c r="AV914" s="7"/>
      <c r="AW914" s="7"/>
      <c r="AX914" s="7"/>
      <c r="AY914" s="7"/>
      <c r="AZ914" s="7"/>
      <c r="BA914" s="7"/>
      <c r="BB914" s="7"/>
      <c r="BC914" s="7"/>
      <c r="BD914" s="7"/>
      <c r="BE914" s="7"/>
      <c r="BF914" s="7"/>
      <c r="BG914" s="7"/>
      <c r="BH914" s="7"/>
      <c r="BI914" s="7"/>
      <c r="BJ914" s="7"/>
      <c r="BK914" s="7"/>
      <c r="BL914" s="7"/>
      <c r="BM914" s="7"/>
      <c r="BN914" s="7"/>
      <c r="BO914" s="7"/>
      <c r="BP914" s="7"/>
      <c r="BQ914" s="7"/>
      <c r="BR914" s="7"/>
      <c r="BS914" s="7"/>
      <c r="BT914" s="7"/>
      <c r="BU914" s="7"/>
      <c r="BV914" s="7"/>
      <c r="BW914" s="7"/>
      <c r="BX914" s="7"/>
      <c r="BY914" s="7"/>
      <c r="BZ914" s="7"/>
    </row>
    <row r="915" ht="16.5" customHeight="1">
      <c r="AT915" s="7"/>
      <c r="AU915" s="7"/>
      <c r="AV915" s="7"/>
      <c r="AW915" s="7"/>
      <c r="AX915" s="7"/>
      <c r="AY915" s="7"/>
      <c r="AZ915" s="7"/>
      <c r="BA915" s="7"/>
      <c r="BB915" s="7"/>
      <c r="BC915" s="7"/>
      <c r="BD915" s="7"/>
      <c r="BE915" s="7"/>
      <c r="BF915" s="7"/>
      <c r="BG915" s="7"/>
      <c r="BH915" s="7"/>
      <c r="BI915" s="7"/>
      <c r="BJ915" s="7"/>
      <c r="BK915" s="7"/>
      <c r="BL915" s="7"/>
      <c r="BM915" s="7"/>
      <c r="BN915" s="7"/>
      <c r="BO915" s="7"/>
      <c r="BP915" s="7"/>
      <c r="BQ915" s="7"/>
      <c r="BR915" s="7"/>
      <c r="BS915" s="7"/>
      <c r="BT915" s="7"/>
      <c r="BU915" s="7"/>
      <c r="BV915" s="7"/>
      <c r="BW915" s="7"/>
      <c r="BX915" s="7"/>
      <c r="BY915" s="7"/>
      <c r="BZ915" s="7"/>
    </row>
    <row r="916" ht="16.5" customHeight="1">
      <c r="AT916" s="7"/>
      <c r="AU916" s="7"/>
      <c r="AV916" s="7"/>
      <c r="AW916" s="7"/>
      <c r="AX916" s="7"/>
      <c r="AY916" s="7"/>
      <c r="AZ916" s="7"/>
      <c r="BA916" s="7"/>
      <c r="BB916" s="7"/>
      <c r="BC916" s="7"/>
      <c r="BD916" s="7"/>
      <c r="BE916" s="7"/>
      <c r="BF916" s="7"/>
      <c r="BG916" s="7"/>
      <c r="BH916" s="7"/>
      <c r="BI916" s="7"/>
      <c r="BJ916" s="7"/>
      <c r="BK916" s="7"/>
      <c r="BL916" s="7"/>
      <c r="BM916" s="7"/>
      <c r="BN916" s="7"/>
      <c r="BO916" s="7"/>
      <c r="BP916" s="7"/>
      <c r="BQ916" s="7"/>
      <c r="BR916" s="7"/>
      <c r="BS916" s="7"/>
      <c r="BT916" s="7"/>
      <c r="BU916" s="7"/>
      <c r="BV916" s="7"/>
      <c r="BW916" s="7"/>
      <c r="BX916" s="7"/>
      <c r="BY916" s="7"/>
      <c r="BZ916" s="7"/>
    </row>
    <row r="917" ht="16.5" customHeight="1">
      <c r="AT917" s="7"/>
      <c r="AU917" s="7"/>
      <c r="AV917" s="7"/>
      <c r="AW917" s="7"/>
      <c r="AX917" s="7"/>
      <c r="AY917" s="7"/>
      <c r="AZ917" s="7"/>
      <c r="BA917" s="7"/>
      <c r="BB917" s="7"/>
      <c r="BC917" s="7"/>
      <c r="BD917" s="7"/>
      <c r="BE917" s="7"/>
      <c r="BF917" s="7"/>
      <c r="BG917" s="7"/>
      <c r="BH917" s="7"/>
      <c r="BI917" s="7"/>
      <c r="BJ917" s="7"/>
      <c r="BK917" s="7"/>
      <c r="BL917" s="7"/>
      <c r="BM917" s="7"/>
      <c r="BN917" s="7"/>
      <c r="BO917" s="7"/>
      <c r="BP917" s="7"/>
      <c r="BQ917" s="7"/>
      <c r="BR917" s="7"/>
      <c r="BS917" s="7"/>
      <c r="BT917" s="7"/>
      <c r="BU917" s="7"/>
      <c r="BV917" s="7"/>
      <c r="BW917" s="7"/>
      <c r="BX917" s="7"/>
      <c r="BY917" s="7"/>
      <c r="BZ917" s="7"/>
    </row>
    <row r="918" ht="16.5" customHeight="1">
      <c r="AT918" s="7"/>
      <c r="AU918" s="7"/>
      <c r="AV918" s="7"/>
      <c r="AW918" s="7"/>
      <c r="AX918" s="7"/>
      <c r="AY918" s="7"/>
      <c r="AZ918" s="7"/>
      <c r="BA918" s="7"/>
      <c r="BB918" s="7"/>
      <c r="BC918" s="7"/>
      <c r="BD918" s="7"/>
      <c r="BE918" s="7"/>
      <c r="BF918" s="7"/>
      <c r="BG918" s="7"/>
      <c r="BH918" s="7"/>
      <c r="BI918" s="7"/>
      <c r="BJ918" s="7"/>
      <c r="BK918" s="7"/>
      <c r="BL918" s="7"/>
      <c r="BM918" s="7"/>
      <c r="BN918" s="7"/>
      <c r="BO918" s="7"/>
      <c r="BP918" s="7"/>
      <c r="BQ918" s="7"/>
      <c r="BR918" s="7"/>
      <c r="BS918" s="7"/>
      <c r="BT918" s="7"/>
      <c r="BU918" s="7"/>
      <c r="BV918" s="7"/>
      <c r="BW918" s="7"/>
      <c r="BX918" s="7"/>
      <c r="BY918" s="7"/>
      <c r="BZ918" s="7"/>
    </row>
    <row r="919" ht="16.5" customHeight="1">
      <c r="AT919" s="7"/>
      <c r="AU919" s="7"/>
      <c r="AV919" s="7"/>
      <c r="AW919" s="7"/>
      <c r="AX919" s="7"/>
      <c r="AY919" s="7"/>
      <c r="AZ919" s="7"/>
      <c r="BA919" s="7"/>
      <c r="BB919" s="7"/>
      <c r="BC919" s="7"/>
      <c r="BD919" s="7"/>
      <c r="BE919" s="7"/>
      <c r="BF919" s="7"/>
      <c r="BG919" s="7"/>
      <c r="BH919" s="7"/>
      <c r="BI919" s="7"/>
      <c r="BJ919" s="7"/>
      <c r="BK919" s="7"/>
      <c r="BL919" s="7"/>
      <c r="BM919" s="7"/>
      <c r="BN919" s="7"/>
      <c r="BO919" s="7"/>
      <c r="BP919" s="7"/>
      <c r="BQ919" s="7"/>
      <c r="BR919" s="7"/>
      <c r="BS919" s="7"/>
      <c r="BT919" s="7"/>
      <c r="BU919" s="7"/>
      <c r="BV919" s="7"/>
      <c r="BW919" s="7"/>
      <c r="BX919" s="7"/>
      <c r="BY919" s="7"/>
      <c r="BZ919" s="7"/>
    </row>
    <row r="920" ht="16.5" customHeight="1">
      <c r="AT920" s="7"/>
      <c r="AU920" s="7"/>
      <c r="AV920" s="7"/>
      <c r="AW920" s="7"/>
      <c r="AX920" s="7"/>
      <c r="AY920" s="7"/>
      <c r="AZ920" s="7"/>
      <c r="BA920" s="7"/>
      <c r="BB920" s="7"/>
      <c r="BC920" s="7"/>
      <c r="BD920" s="7"/>
      <c r="BE920" s="7"/>
      <c r="BF920" s="7"/>
      <c r="BG920" s="7"/>
      <c r="BH920" s="7"/>
      <c r="BI920" s="7"/>
      <c r="BJ920" s="7"/>
      <c r="BK920" s="7"/>
      <c r="BL920" s="7"/>
      <c r="BM920" s="7"/>
      <c r="BN920" s="7"/>
      <c r="BO920" s="7"/>
      <c r="BP920" s="7"/>
      <c r="BQ920" s="7"/>
      <c r="BR920" s="7"/>
      <c r="BS920" s="7"/>
      <c r="BT920" s="7"/>
      <c r="BU920" s="7"/>
      <c r="BV920" s="7"/>
      <c r="BW920" s="7"/>
      <c r="BX920" s="7"/>
      <c r="BY920" s="7"/>
      <c r="BZ920" s="7"/>
    </row>
    <row r="921" ht="16.5" customHeight="1">
      <c r="AT921" s="7"/>
      <c r="AU921" s="7"/>
      <c r="AV921" s="7"/>
      <c r="AW921" s="7"/>
      <c r="AX921" s="7"/>
      <c r="AY921" s="7"/>
      <c r="AZ921" s="7"/>
      <c r="BA921" s="7"/>
      <c r="BB921" s="7"/>
      <c r="BC921" s="7"/>
      <c r="BD921" s="7"/>
      <c r="BE921" s="7"/>
      <c r="BF921" s="7"/>
      <c r="BG921" s="7"/>
      <c r="BH921" s="7"/>
      <c r="BI921" s="7"/>
      <c r="BJ921" s="7"/>
      <c r="BK921" s="7"/>
      <c r="BL921" s="7"/>
      <c r="BM921" s="7"/>
      <c r="BN921" s="7"/>
      <c r="BO921" s="7"/>
      <c r="BP921" s="7"/>
      <c r="BQ921" s="7"/>
      <c r="BR921" s="7"/>
      <c r="BS921" s="7"/>
      <c r="BT921" s="7"/>
      <c r="BU921" s="7"/>
      <c r="BV921" s="7"/>
      <c r="BW921" s="7"/>
      <c r="BX921" s="7"/>
      <c r="BY921" s="7"/>
      <c r="BZ921" s="7"/>
    </row>
    <row r="922" ht="16.5" customHeight="1">
      <c r="AT922" s="7"/>
      <c r="AU922" s="7"/>
      <c r="AV922" s="7"/>
      <c r="AW922" s="7"/>
      <c r="AX922" s="7"/>
      <c r="AY922" s="7"/>
      <c r="AZ922" s="7"/>
      <c r="BA922" s="7"/>
      <c r="BB922" s="7"/>
      <c r="BC922" s="7"/>
      <c r="BD922" s="7"/>
      <c r="BE922" s="7"/>
      <c r="BF922" s="7"/>
      <c r="BG922" s="7"/>
      <c r="BH922" s="7"/>
      <c r="BI922" s="7"/>
      <c r="BJ922" s="7"/>
      <c r="BK922" s="7"/>
      <c r="BL922" s="7"/>
      <c r="BM922" s="7"/>
      <c r="BN922" s="7"/>
      <c r="BO922" s="7"/>
      <c r="BP922" s="7"/>
      <c r="BQ922" s="7"/>
      <c r="BR922" s="7"/>
      <c r="BS922" s="7"/>
      <c r="BT922" s="7"/>
      <c r="BU922" s="7"/>
      <c r="BV922" s="7"/>
      <c r="BW922" s="7"/>
      <c r="BX922" s="7"/>
      <c r="BY922" s="7"/>
      <c r="BZ922" s="7"/>
    </row>
    <row r="923" ht="16.5" customHeight="1">
      <c r="AT923" s="7"/>
      <c r="AU923" s="7"/>
      <c r="AV923" s="7"/>
      <c r="AW923" s="7"/>
      <c r="AX923" s="7"/>
      <c r="AY923" s="7"/>
      <c r="AZ923" s="7"/>
      <c r="BA923" s="7"/>
      <c r="BB923" s="7"/>
      <c r="BC923" s="7"/>
      <c r="BD923" s="7"/>
      <c r="BE923" s="7"/>
      <c r="BF923" s="7"/>
      <c r="BG923" s="7"/>
      <c r="BH923" s="7"/>
      <c r="BI923" s="7"/>
      <c r="BJ923" s="7"/>
      <c r="BK923" s="7"/>
      <c r="BL923" s="7"/>
      <c r="BM923" s="7"/>
      <c r="BN923" s="7"/>
      <c r="BO923" s="7"/>
      <c r="BP923" s="7"/>
      <c r="BQ923" s="7"/>
      <c r="BR923" s="7"/>
      <c r="BS923" s="7"/>
      <c r="BT923" s="7"/>
      <c r="BU923" s="7"/>
      <c r="BV923" s="7"/>
      <c r="BW923" s="7"/>
      <c r="BX923" s="7"/>
      <c r="BY923" s="7"/>
      <c r="BZ923" s="7"/>
    </row>
    <row r="924" ht="16.5" customHeight="1">
      <c r="AT924" s="7"/>
      <c r="AU924" s="7"/>
      <c r="AV924" s="7"/>
      <c r="AW924" s="7"/>
      <c r="AX924" s="7"/>
      <c r="AY924" s="7"/>
      <c r="AZ924" s="7"/>
      <c r="BA924" s="7"/>
      <c r="BB924" s="7"/>
      <c r="BC924" s="7"/>
      <c r="BD924" s="7"/>
      <c r="BE924" s="7"/>
      <c r="BF924" s="7"/>
      <c r="BG924" s="7"/>
      <c r="BH924" s="7"/>
      <c r="BI924" s="7"/>
      <c r="BJ924" s="7"/>
      <c r="BK924" s="7"/>
      <c r="BL924" s="7"/>
      <c r="BM924" s="7"/>
      <c r="BN924" s="7"/>
      <c r="BO924" s="7"/>
      <c r="BP924" s="7"/>
      <c r="BQ924" s="7"/>
      <c r="BR924" s="7"/>
      <c r="BS924" s="7"/>
      <c r="BT924" s="7"/>
      <c r="BU924" s="7"/>
      <c r="BV924" s="7"/>
      <c r="BW924" s="7"/>
      <c r="BX924" s="7"/>
      <c r="BY924" s="7"/>
      <c r="BZ924" s="7"/>
    </row>
    <row r="925" ht="16.5" customHeight="1">
      <c r="AT925" s="7"/>
      <c r="AU925" s="7"/>
      <c r="AV925" s="7"/>
      <c r="AW925" s="7"/>
      <c r="AX925" s="7"/>
      <c r="AY925" s="7"/>
      <c r="AZ925" s="7"/>
      <c r="BA925" s="7"/>
      <c r="BB925" s="7"/>
      <c r="BC925" s="7"/>
      <c r="BD925" s="7"/>
      <c r="BE925" s="7"/>
      <c r="BF925" s="7"/>
      <c r="BG925" s="7"/>
      <c r="BH925" s="7"/>
      <c r="BI925" s="7"/>
      <c r="BJ925" s="7"/>
      <c r="BK925" s="7"/>
      <c r="BL925" s="7"/>
      <c r="BM925" s="7"/>
      <c r="BN925" s="7"/>
      <c r="BO925" s="7"/>
      <c r="BP925" s="7"/>
      <c r="BQ925" s="7"/>
      <c r="BR925" s="7"/>
      <c r="BS925" s="7"/>
      <c r="BT925" s="7"/>
      <c r="BU925" s="7"/>
      <c r="BV925" s="7"/>
      <c r="BW925" s="7"/>
      <c r="BX925" s="7"/>
      <c r="BY925" s="7"/>
      <c r="BZ925" s="7"/>
    </row>
    <row r="926" ht="16.5" customHeight="1">
      <c r="AT926" s="7"/>
      <c r="AU926" s="7"/>
      <c r="AV926" s="7"/>
      <c r="AW926" s="7"/>
      <c r="AX926" s="7"/>
      <c r="AY926" s="7"/>
      <c r="AZ926" s="7"/>
      <c r="BA926" s="7"/>
      <c r="BB926" s="7"/>
      <c r="BC926" s="7"/>
      <c r="BD926" s="7"/>
      <c r="BE926" s="7"/>
      <c r="BF926" s="7"/>
      <c r="BG926" s="7"/>
      <c r="BH926" s="7"/>
      <c r="BI926" s="7"/>
      <c r="BJ926" s="7"/>
      <c r="BK926" s="7"/>
      <c r="BL926" s="7"/>
      <c r="BM926" s="7"/>
      <c r="BN926" s="7"/>
      <c r="BO926" s="7"/>
      <c r="BP926" s="7"/>
      <c r="BQ926" s="7"/>
      <c r="BR926" s="7"/>
      <c r="BS926" s="7"/>
      <c r="BT926" s="7"/>
      <c r="BU926" s="7"/>
      <c r="BV926" s="7"/>
      <c r="BW926" s="7"/>
      <c r="BX926" s="7"/>
      <c r="BY926" s="7"/>
      <c r="BZ926" s="7"/>
    </row>
    <row r="927" ht="16.5" customHeight="1">
      <c r="AT927" s="7"/>
      <c r="AU927" s="7"/>
      <c r="AV927" s="7"/>
      <c r="AW927" s="7"/>
      <c r="AX927" s="7"/>
      <c r="AY927" s="7"/>
      <c r="AZ927" s="7"/>
      <c r="BA927" s="7"/>
      <c r="BB927" s="7"/>
      <c r="BC927" s="7"/>
      <c r="BD927" s="7"/>
      <c r="BE927" s="7"/>
      <c r="BF927" s="7"/>
      <c r="BG927" s="7"/>
      <c r="BH927" s="7"/>
      <c r="BI927" s="7"/>
      <c r="BJ927" s="7"/>
      <c r="BK927" s="7"/>
      <c r="BL927" s="7"/>
      <c r="BM927" s="7"/>
      <c r="BN927" s="7"/>
      <c r="BO927" s="7"/>
      <c r="BP927" s="7"/>
      <c r="BQ927" s="7"/>
      <c r="BR927" s="7"/>
      <c r="BS927" s="7"/>
      <c r="BT927" s="7"/>
      <c r="BU927" s="7"/>
      <c r="BV927" s="7"/>
      <c r="BW927" s="7"/>
      <c r="BX927" s="7"/>
      <c r="BY927" s="7"/>
      <c r="BZ927" s="7"/>
    </row>
    <row r="928" ht="16.5" customHeight="1">
      <c r="AT928" s="7"/>
      <c r="AU928" s="7"/>
      <c r="AV928" s="7"/>
      <c r="AW928" s="7"/>
      <c r="AX928" s="7"/>
      <c r="AY928" s="7"/>
      <c r="AZ928" s="7"/>
      <c r="BA928" s="7"/>
      <c r="BB928" s="7"/>
      <c r="BC928" s="7"/>
      <c r="BD928" s="7"/>
      <c r="BE928" s="7"/>
      <c r="BF928" s="7"/>
      <c r="BG928" s="7"/>
      <c r="BH928" s="7"/>
      <c r="BI928" s="7"/>
      <c r="BJ928" s="7"/>
      <c r="BK928" s="7"/>
      <c r="BL928" s="7"/>
      <c r="BM928" s="7"/>
      <c r="BN928" s="7"/>
      <c r="BO928" s="7"/>
      <c r="BP928" s="7"/>
      <c r="BQ928" s="7"/>
      <c r="BR928" s="7"/>
      <c r="BS928" s="7"/>
      <c r="BT928" s="7"/>
      <c r="BU928" s="7"/>
      <c r="BV928" s="7"/>
      <c r="BW928" s="7"/>
      <c r="BX928" s="7"/>
      <c r="BY928" s="7"/>
      <c r="BZ928" s="7"/>
    </row>
    <row r="929" ht="16.5" customHeight="1">
      <c r="AT929" s="7"/>
      <c r="AU929" s="7"/>
      <c r="AV929" s="7"/>
      <c r="AW929" s="7"/>
      <c r="AX929" s="7"/>
      <c r="AY929" s="7"/>
      <c r="AZ929" s="7"/>
      <c r="BA929" s="7"/>
      <c r="BB929" s="7"/>
      <c r="BC929" s="7"/>
      <c r="BD929" s="7"/>
      <c r="BE929" s="7"/>
      <c r="BF929" s="7"/>
      <c r="BG929" s="7"/>
      <c r="BH929" s="7"/>
      <c r="BI929" s="7"/>
      <c r="BJ929" s="7"/>
      <c r="BK929" s="7"/>
      <c r="BL929" s="7"/>
      <c r="BM929" s="7"/>
      <c r="BN929" s="7"/>
      <c r="BO929" s="7"/>
      <c r="BP929" s="7"/>
      <c r="BQ929" s="7"/>
      <c r="BR929" s="7"/>
      <c r="BS929" s="7"/>
      <c r="BT929" s="7"/>
      <c r="BU929" s="7"/>
      <c r="BV929" s="7"/>
      <c r="BW929" s="7"/>
      <c r="BX929" s="7"/>
      <c r="BY929" s="7"/>
      <c r="BZ929" s="7"/>
    </row>
    <row r="930" ht="16.5" customHeight="1">
      <c r="AT930" s="7"/>
      <c r="AU930" s="7"/>
      <c r="AV930" s="7"/>
      <c r="AW930" s="7"/>
      <c r="AX930" s="7"/>
      <c r="AY930" s="7"/>
      <c r="AZ930" s="7"/>
      <c r="BA930" s="7"/>
      <c r="BB930" s="7"/>
      <c r="BC930" s="7"/>
      <c r="BD930" s="7"/>
      <c r="BE930" s="7"/>
      <c r="BF930" s="7"/>
      <c r="BG930" s="7"/>
      <c r="BH930" s="7"/>
      <c r="BI930" s="7"/>
      <c r="BJ930" s="7"/>
      <c r="BK930" s="7"/>
      <c r="BL930" s="7"/>
      <c r="BM930" s="7"/>
      <c r="BN930" s="7"/>
      <c r="BO930" s="7"/>
      <c r="BP930" s="7"/>
      <c r="BQ930" s="7"/>
      <c r="BR930" s="7"/>
      <c r="BS930" s="7"/>
      <c r="BT930" s="7"/>
      <c r="BU930" s="7"/>
      <c r="BV930" s="7"/>
      <c r="BW930" s="7"/>
      <c r="BX930" s="7"/>
      <c r="BY930" s="7"/>
      <c r="BZ930" s="7"/>
    </row>
    <row r="931" ht="16.5" customHeight="1">
      <c r="AT931" s="7"/>
      <c r="AU931" s="7"/>
      <c r="AV931" s="7"/>
      <c r="AW931" s="7"/>
      <c r="AX931" s="7"/>
      <c r="AY931" s="7"/>
      <c r="AZ931" s="7"/>
      <c r="BA931" s="7"/>
      <c r="BB931" s="7"/>
      <c r="BC931" s="7"/>
      <c r="BD931" s="7"/>
      <c r="BE931" s="7"/>
      <c r="BF931" s="7"/>
      <c r="BG931" s="7"/>
      <c r="BH931" s="7"/>
      <c r="BI931" s="7"/>
      <c r="BJ931" s="7"/>
      <c r="BK931" s="7"/>
      <c r="BL931" s="7"/>
      <c r="BM931" s="7"/>
      <c r="BN931" s="7"/>
      <c r="BO931" s="7"/>
      <c r="BP931" s="7"/>
      <c r="BQ931" s="7"/>
      <c r="BR931" s="7"/>
      <c r="BS931" s="7"/>
      <c r="BT931" s="7"/>
      <c r="BU931" s="7"/>
      <c r="BV931" s="7"/>
      <c r="BW931" s="7"/>
      <c r="BX931" s="7"/>
      <c r="BY931" s="7"/>
      <c r="BZ931" s="7"/>
    </row>
    <row r="932" ht="16.5" customHeight="1">
      <c r="AT932" s="7"/>
      <c r="AU932" s="7"/>
      <c r="AV932" s="7"/>
      <c r="AW932" s="7"/>
      <c r="AX932" s="7"/>
      <c r="AY932" s="7"/>
      <c r="AZ932" s="7"/>
      <c r="BA932" s="7"/>
      <c r="BB932" s="7"/>
      <c r="BC932" s="7"/>
      <c r="BD932" s="7"/>
      <c r="BE932" s="7"/>
      <c r="BF932" s="7"/>
      <c r="BG932" s="7"/>
      <c r="BH932" s="7"/>
      <c r="BI932" s="7"/>
      <c r="BJ932" s="7"/>
      <c r="BK932" s="7"/>
      <c r="BL932" s="7"/>
      <c r="BM932" s="7"/>
      <c r="BN932" s="7"/>
      <c r="BO932" s="7"/>
      <c r="BP932" s="7"/>
      <c r="BQ932" s="7"/>
      <c r="BR932" s="7"/>
      <c r="BS932" s="7"/>
      <c r="BT932" s="7"/>
      <c r="BU932" s="7"/>
      <c r="BV932" s="7"/>
      <c r="BW932" s="7"/>
      <c r="BX932" s="7"/>
      <c r="BY932" s="7"/>
      <c r="BZ932" s="7"/>
    </row>
    <row r="933" ht="16.5" customHeight="1">
      <c r="AT933" s="7"/>
      <c r="AU933" s="7"/>
      <c r="AV933" s="7"/>
      <c r="AW933" s="7"/>
      <c r="AX933" s="7"/>
      <c r="AY933" s="7"/>
      <c r="AZ933" s="7"/>
      <c r="BA933" s="7"/>
      <c r="BB933" s="7"/>
      <c r="BC933" s="7"/>
      <c r="BD933" s="7"/>
      <c r="BE933" s="7"/>
      <c r="BF933" s="7"/>
      <c r="BG933" s="7"/>
      <c r="BH933" s="7"/>
      <c r="BI933" s="7"/>
      <c r="BJ933" s="7"/>
      <c r="BK933" s="7"/>
      <c r="BL933" s="7"/>
      <c r="BM933" s="7"/>
      <c r="BN933" s="7"/>
      <c r="BO933" s="7"/>
      <c r="BP933" s="7"/>
      <c r="BQ933" s="7"/>
      <c r="BR933" s="7"/>
      <c r="BS933" s="7"/>
      <c r="BT933" s="7"/>
      <c r="BU933" s="7"/>
      <c r="BV933" s="7"/>
      <c r="BW933" s="7"/>
      <c r="BX933" s="7"/>
      <c r="BY933" s="7"/>
      <c r="BZ933" s="7"/>
    </row>
    <row r="934" ht="16.5" customHeight="1">
      <c r="AT934" s="7"/>
      <c r="AU934" s="7"/>
      <c r="AV934" s="7"/>
      <c r="AW934" s="7"/>
      <c r="AX934" s="7"/>
      <c r="AY934" s="7"/>
      <c r="AZ934" s="7"/>
      <c r="BA934" s="7"/>
      <c r="BB934" s="7"/>
      <c r="BC934" s="7"/>
      <c r="BD934" s="7"/>
      <c r="BE934" s="7"/>
      <c r="BF934" s="7"/>
      <c r="BG934" s="7"/>
      <c r="BH934" s="7"/>
      <c r="BI934" s="7"/>
      <c r="BJ934" s="7"/>
      <c r="BK934" s="7"/>
      <c r="BL934" s="7"/>
      <c r="BM934" s="7"/>
      <c r="BN934" s="7"/>
      <c r="BO934" s="7"/>
      <c r="BP934" s="7"/>
      <c r="BQ934" s="7"/>
      <c r="BR934" s="7"/>
      <c r="BS934" s="7"/>
      <c r="BT934" s="7"/>
      <c r="BU934" s="7"/>
      <c r="BV934" s="7"/>
      <c r="BW934" s="7"/>
      <c r="BX934" s="7"/>
      <c r="BY934" s="7"/>
      <c r="BZ934" s="7"/>
    </row>
    <row r="935" ht="16.5" customHeight="1">
      <c r="AT935" s="7"/>
      <c r="AU935" s="7"/>
      <c r="AV935" s="7"/>
      <c r="AW935" s="7"/>
      <c r="AX935" s="7"/>
      <c r="AY935" s="7"/>
      <c r="AZ935" s="7"/>
      <c r="BA935" s="7"/>
      <c r="BB935" s="7"/>
      <c r="BC935" s="7"/>
      <c r="BD935" s="7"/>
      <c r="BE935" s="7"/>
      <c r="BF935" s="7"/>
      <c r="BG935" s="7"/>
      <c r="BH935" s="7"/>
      <c r="BI935" s="7"/>
      <c r="BJ935" s="7"/>
      <c r="BK935" s="7"/>
      <c r="BL935" s="7"/>
      <c r="BM935" s="7"/>
      <c r="BN935" s="7"/>
      <c r="BO935" s="7"/>
      <c r="BP935" s="7"/>
      <c r="BQ935" s="7"/>
      <c r="BR935" s="7"/>
      <c r="BS935" s="7"/>
      <c r="BT935" s="7"/>
      <c r="BU935" s="7"/>
      <c r="BV935" s="7"/>
      <c r="BW935" s="7"/>
      <c r="BX935" s="7"/>
      <c r="BY935" s="7"/>
      <c r="BZ935" s="7"/>
    </row>
    <row r="936" ht="16.5" customHeight="1">
      <c r="AT936" s="7"/>
      <c r="AU936" s="7"/>
      <c r="AV936" s="7"/>
      <c r="AW936" s="7"/>
      <c r="AX936" s="7"/>
      <c r="AY936" s="7"/>
      <c r="AZ936" s="7"/>
      <c r="BA936" s="7"/>
      <c r="BB936" s="7"/>
      <c r="BC936" s="7"/>
      <c r="BD936" s="7"/>
      <c r="BE936" s="7"/>
      <c r="BF936" s="7"/>
      <c r="BG936" s="7"/>
      <c r="BH936" s="7"/>
      <c r="BI936" s="7"/>
      <c r="BJ936" s="7"/>
      <c r="BK936" s="7"/>
      <c r="BL936" s="7"/>
      <c r="BM936" s="7"/>
      <c r="BN936" s="7"/>
      <c r="BO936" s="7"/>
      <c r="BP936" s="7"/>
      <c r="BQ936" s="7"/>
      <c r="BR936" s="7"/>
      <c r="BS936" s="7"/>
      <c r="BT936" s="7"/>
      <c r="BU936" s="7"/>
      <c r="BV936" s="7"/>
      <c r="BW936" s="7"/>
      <c r="BX936" s="7"/>
      <c r="BY936" s="7"/>
      <c r="BZ936" s="7"/>
    </row>
    <row r="937" ht="16.5" customHeight="1">
      <c r="AT937" s="7"/>
      <c r="AU937" s="7"/>
      <c r="AV937" s="7"/>
      <c r="AW937" s="7"/>
      <c r="AX937" s="7"/>
      <c r="AY937" s="7"/>
      <c r="AZ937" s="7"/>
      <c r="BA937" s="7"/>
      <c r="BB937" s="7"/>
      <c r="BC937" s="7"/>
      <c r="BD937" s="7"/>
      <c r="BE937" s="7"/>
      <c r="BF937" s="7"/>
      <c r="BG937" s="7"/>
      <c r="BH937" s="7"/>
      <c r="BI937" s="7"/>
      <c r="BJ937" s="7"/>
      <c r="BK937" s="7"/>
      <c r="BL937" s="7"/>
      <c r="BM937" s="7"/>
      <c r="BN937" s="7"/>
      <c r="BO937" s="7"/>
      <c r="BP937" s="7"/>
      <c r="BQ937" s="7"/>
      <c r="BR937" s="7"/>
      <c r="BS937" s="7"/>
      <c r="BT937" s="7"/>
      <c r="BU937" s="7"/>
      <c r="BV937" s="7"/>
      <c r="BW937" s="7"/>
      <c r="BX937" s="7"/>
      <c r="BY937" s="7"/>
      <c r="BZ937" s="7"/>
    </row>
    <row r="938" ht="16.5" customHeight="1">
      <c r="AT938" s="7"/>
      <c r="AU938" s="7"/>
      <c r="AV938" s="7"/>
      <c r="AW938" s="7"/>
      <c r="AX938" s="7"/>
      <c r="AY938" s="7"/>
      <c r="AZ938" s="7"/>
      <c r="BA938" s="7"/>
      <c r="BB938" s="7"/>
      <c r="BC938" s="7"/>
      <c r="BD938" s="7"/>
      <c r="BE938" s="7"/>
      <c r="BF938" s="7"/>
      <c r="BG938" s="7"/>
      <c r="BH938" s="7"/>
      <c r="BI938" s="7"/>
      <c r="BJ938" s="7"/>
      <c r="BK938" s="7"/>
      <c r="BL938" s="7"/>
      <c r="BM938" s="7"/>
      <c r="BN938" s="7"/>
      <c r="BO938" s="7"/>
      <c r="BP938" s="7"/>
      <c r="BQ938" s="7"/>
      <c r="BR938" s="7"/>
      <c r="BS938" s="7"/>
      <c r="BT938" s="7"/>
      <c r="BU938" s="7"/>
      <c r="BV938" s="7"/>
      <c r="BW938" s="7"/>
      <c r="BX938" s="7"/>
      <c r="BY938" s="7"/>
      <c r="BZ938" s="7"/>
    </row>
    <row r="939" ht="16.5" customHeight="1">
      <c r="AT939" s="7"/>
      <c r="AU939" s="7"/>
      <c r="AV939" s="7"/>
      <c r="AW939" s="7"/>
      <c r="AX939" s="7"/>
      <c r="AY939" s="7"/>
      <c r="AZ939" s="7"/>
      <c r="BA939" s="7"/>
      <c r="BB939" s="7"/>
      <c r="BC939" s="7"/>
      <c r="BD939" s="7"/>
      <c r="BE939" s="7"/>
      <c r="BF939" s="7"/>
      <c r="BG939" s="7"/>
      <c r="BH939" s="7"/>
      <c r="BI939" s="7"/>
      <c r="BJ939" s="7"/>
      <c r="BK939" s="7"/>
      <c r="BL939" s="7"/>
      <c r="BM939" s="7"/>
      <c r="BN939" s="7"/>
      <c r="BO939" s="7"/>
      <c r="BP939" s="7"/>
      <c r="BQ939" s="7"/>
      <c r="BR939" s="7"/>
      <c r="BS939" s="7"/>
      <c r="BT939" s="7"/>
      <c r="BU939" s="7"/>
      <c r="BV939" s="7"/>
      <c r="BW939" s="7"/>
      <c r="BX939" s="7"/>
      <c r="BY939" s="7"/>
      <c r="BZ939" s="7"/>
    </row>
    <row r="940" ht="16.5" customHeight="1">
      <c r="AT940" s="7"/>
      <c r="AU940" s="7"/>
      <c r="AV940" s="7"/>
      <c r="AW940" s="7"/>
      <c r="AX940" s="7"/>
      <c r="AY940" s="7"/>
      <c r="AZ940" s="7"/>
      <c r="BA940" s="7"/>
      <c r="BB940" s="7"/>
      <c r="BC940" s="7"/>
      <c r="BD940" s="7"/>
      <c r="BE940" s="7"/>
      <c r="BF940" s="7"/>
      <c r="BG940" s="7"/>
      <c r="BH940" s="7"/>
      <c r="BI940" s="7"/>
      <c r="BJ940" s="7"/>
      <c r="BK940" s="7"/>
      <c r="BL940" s="7"/>
      <c r="BM940" s="7"/>
      <c r="BN940" s="7"/>
      <c r="BO940" s="7"/>
      <c r="BP940" s="7"/>
      <c r="BQ940" s="7"/>
      <c r="BR940" s="7"/>
      <c r="BS940" s="7"/>
      <c r="BT940" s="7"/>
      <c r="BU940" s="7"/>
      <c r="BV940" s="7"/>
      <c r="BW940" s="7"/>
      <c r="BX940" s="7"/>
      <c r="BY940" s="7"/>
      <c r="BZ940" s="7"/>
    </row>
    <row r="941" ht="16.5" customHeight="1">
      <c r="AT941" s="7"/>
      <c r="AU941" s="7"/>
      <c r="AV941" s="7"/>
      <c r="AW941" s="7"/>
      <c r="AX941" s="7"/>
      <c r="AY941" s="7"/>
      <c r="AZ941" s="7"/>
      <c r="BA941" s="7"/>
      <c r="BB941" s="7"/>
      <c r="BC941" s="7"/>
      <c r="BD941" s="7"/>
      <c r="BE941" s="7"/>
      <c r="BF941" s="7"/>
      <c r="BG941" s="7"/>
      <c r="BH941" s="7"/>
      <c r="BI941" s="7"/>
      <c r="BJ941" s="7"/>
      <c r="BK941" s="7"/>
      <c r="BL941" s="7"/>
      <c r="BM941" s="7"/>
      <c r="BN941" s="7"/>
      <c r="BO941" s="7"/>
      <c r="BP941" s="7"/>
      <c r="BQ941" s="7"/>
      <c r="BR941" s="7"/>
      <c r="BS941" s="7"/>
      <c r="BT941" s="7"/>
      <c r="BU941" s="7"/>
      <c r="BV941" s="7"/>
      <c r="BW941" s="7"/>
      <c r="BX941" s="7"/>
      <c r="BY941" s="7"/>
      <c r="BZ941" s="7"/>
    </row>
    <row r="942" ht="16.5" customHeight="1">
      <c r="AT942" s="7"/>
      <c r="AU942" s="7"/>
      <c r="AV942" s="7"/>
      <c r="AW942" s="7"/>
      <c r="AX942" s="7"/>
      <c r="AY942" s="7"/>
      <c r="AZ942" s="7"/>
      <c r="BA942" s="7"/>
      <c r="BB942" s="7"/>
      <c r="BC942" s="7"/>
      <c r="BD942" s="7"/>
      <c r="BE942" s="7"/>
      <c r="BF942" s="7"/>
      <c r="BG942" s="7"/>
      <c r="BH942" s="7"/>
      <c r="BI942" s="7"/>
      <c r="BJ942" s="7"/>
      <c r="BK942" s="7"/>
      <c r="BL942" s="7"/>
      <c r="BM942" s="7"/>
      <c r="BN942" s="7"/>
      <c r="BO942" s="7"/>
      <c r="BP942" s="7"/>
      <c r="BQ942" s="7"/>
      <c r="BR942" s="7"/>
      <c r="BS942" s="7"/>
      <c r="BT942" s="7"/>
      <c r="BU942" s="7"/>
      <c r="BV942" s="7"/>
      <c r="BW942" s="7"/>
      <c r="BX942" s="7"/>
      <c r="BY942" s="7"/>
      <c r="BZ942" s="7"/>
    </row>
    <row r="943" ht="16.5" customHeight="1">
      <c r="AT943" s="7"/>
      <c r="AU943" s="7"/>
      <c r="AV943" s="7"/>
      <c r="AW943" s="7"/>
      <c r="AX943" s="7"/>
      <c r="AY943" s="7"/>
      <c r="AZ943" s="7"/>
      <c r="BA943" s="7"/>
      <c r="BB943" s="7"/>
      <c r="BC943" s="7"/>
      <c r="BD943" s="7"/>
      <c r="BE943" s="7"/>
      <c r="BF943" s="7"/>
      <c r="BG943" s="7"/>
      <c r="BH943" s="7"/>
      <c r="BI943" s="7"/>
      <c r="BJ943" s="7"/>
      <c r="BK943" s="7"/>
      <c r="BL943" s="7"/>
      <c r="BM943" s="7"/>
      <c r="BN943" s="7"/>
      <c r="BO943" s="7"/>
      <c r="BP943" s="7"/>
      <c r="BQ943" s="7"/>
      <c r="BR943" s="7"/>
      <c r="BS943" s="7"/>
      <c r="BT943" s="7"/>
      <c r="BU943" s="7"/>
      <c r="BV943" s="7"/>
      <c r="BW943" s="7"/>
      <c r="BX943" s="7"/>
      <c r="BY943" s="7"/>
      <c r="BZ943" s="7"/>
    </row>
    <row r="944" ht="16.5" customHeight="1">
      <c r="AT944" s="7"/>
      <c r="AU944" s="7"/>
      <c r="AV944" s="7"/>
      <c r="AW944" s="7"/>
      <c r="AX944" s="7"/>
      <c r="AY944" s="7"/>
      <c r="AZ944" s="7"/>
      <c r="BA944" s="7"/>
      <c r="BB944" s="7"/>
      <c r="BC944" s="7"/>
      <c r="BD944" s="7"/>
      <c r="BE944" s="7"/>
      <c r="BF944" s="7"/>
      <c r="BG944" s="7"/>
      <c r="BH944" s="7"/>
      <c r="BI944" s="7"/>
      <c r="BJ944" s="7"/>
      <c r="BK944" s="7"/>
      <c r="BL944" s="7"/>
      <c r="BM944" s="7"/>
      <c r="BN944" s="7"/>
      <c r="BO944" s="7"/>
      <c r="BP944" s="7"/>
      <c r="BQ944" s="7"/>
      <c r="BR944" s="7"/>
      <c r="BS944" s="7"/>
      <c r="BT944" s="7"/>
      <c r="BU944" s="7"/>
      <c r="BV944" s="7"/>
      <c r="BW944" s="7"/>
      <c r="BX944" s="7"/>
      <c r="BY944" s="7"/>
      <c r="BZ944" s="7"/>
    </row>
    <row r="945" ht="16.5" customHeight="1">
      <c r="AT945" s="7"/>
      <c r="AU945" s="7"/>
      <c r="AV945" s="7"/>
      <c r="AW945" s="7"/>
      <c r="AX945" s="7"/>
      <c r="AY945" s="7"/>
      <c r="AZ945" s="7"/>
      <c r="BA945" s="7"/>
      <c r="BB945" s="7"/>
      <c r="BC945" s="7"/>
      <c r="BD945" s="7"/>
      <c r="BE945" s="7"/>
      <c r="BF945" s="7"/>
      <c r="BG945" s="7"/>
      <c r="BH945" s="7"/>
      <c r="BI945" s="7"/>
      <c r="BJ945" s="7"/>
      <c r="BK945" s="7"/>
      <c r="BL945" s="7"/>
      <c r="BM945" s="7"/>
      <c r="BN945" s="7"/>
      <c r="BO945" s="7"/>
      <c r="BP945" s="7"/>
      <c r="BQ945" s="7"/>
      <c r="BR945" s="7"/>
      <c r="BS945" s="7"/>
      <c r="BT945" s="7"/>
      <c r="BU945" s="7"/>
      <c r="BV945" s="7"/>
      <c r="BW945" s="7"/>
      <c r="BX945" s="7"/>
      <c r="BY945" s="7"/>
      <c r="BZ945" s="7"/>
    </row>
    <row r="946" ht="16.5" customHeight="1">
      <c r="AT946" s="7"/>
      <c r="AU946" s="7"/>
      <c r="AV946" s="7"/>
      <c r="AW946" s="7"/>
      <c r="AX946" s="7"/>
      <c r="AY946" s="7"/>
      <c r="AZ946" s="7"/>
      <c r="BA946" s="7"/>
      <c r="BB946" s="7"/>
      <c r="BC946" s="7"/>
      <c r="BD946" s="7"/>
      <c r="BE946" s="7"/>
      <c r="BF946" s="7"/>
      <c r="BG946" s="7"/>
      <c r="BH946" s="7"/>
      <c r="BI946" s="7"/>
      <c r="BJ946" s="7"/>
      <c r="BK946" s="7"/>
      <c r="BL946" s="7"/>
      <c r="BM946" s="7"/>
      <c r="BN946" s="7"/>
      <c r="BO946" s="7"/>
      <c r="BP946" s="7"/>
      <c r="BQ946" s="7"/>
      <c r="BR946" s="7"/>
      <c r="BS946" s="7"/>
      <c r="BT946" s="7"/>
      <c r="BU946" s="7"/>
      <c r="BV946" s="7"/>
      <c r="BW946" s="7"/>
      <c r="BX946" s="7"/>
      <c r="BY946" s="7"/>
      <c r="BZ946" s="7"/>
    </row>
    <row r="947" ht="16.5" customHeight="1">
      <c r="AT947" s="7"/>
      <c r="AU947" s="7"/>
      <c r="AV947" s="7"/>
      <c r="AW947" s="7"/>
      <c r="AX947" s="7"/>
      <c r="AY947" s="7"/>
      <c r="AZ947" s="7"/>
      <c r="BA947" s="7"/>
      <c r="BB947" s="7"/>
      <c r="BC947" s="7"/>
      <c r="BD947" s="7"/>
      <c r="BE947" s="7"/>
      <c r="BF947" s="7"/>
      <c r="BG947" s="7"/>
      <c r="BH947" s="7"/>
      <c r="BI947" s="7"/>
      <c r="BJ947" s="7"/>
      <c r="BK947" s="7"/>
      <c r="BL947" s="7"/>
      <c r="BM947" s="7"/>
      <c r="BN947" s="7"/>
      <c r="BO947" s="7"/>
      <c r="BP947" s="7"/>
      <c r="BQ947" s="7"/>
      <c r="BR947" s="7"/>
      <c r="BS947" s="7"/>
      <c r="BT947" s="7"/>
      <c r="BU947" s="7"/>
      <c r="BV947" s="7"/>
      <c r="BW947" s="7"/>
      <c r="BX947" s="7"/>
      <c r="BY947" s="7"/>
      <c r="BZ947" s="7"/>
    </row>
    <row r="948" ht="16.5" customHeight="1">
      <c r="AT948" s="7"/>
      <c r="AU948" s="7"/>
      <c r="AV948" s="7"/>
      <c r="AW948" s="7"/>
      <c r="AX948" s="7"/>
      <c r="AY948" s="7"/>
      <c r="AZ948" s="7"/>
      <c r="BA948" s="7"/>
      <c r="BB948" s="7"/>
      <c r="BC948" s="7"/>
      <c r="BD948" s="7"/>
      <c r="BE948" s="7"/>
      <c r="BF948" s="7"/>
      <c r="BG948" s="7"/>
      <c r="BH948" s="7"/>
      <c r="BI948" s="7"/>
      <c r="BJ948" s="7"/>
      <c r="BK948" s="7"/>
      <c r="BL948" s="7"/>
      <c r="BM948" s="7"/>
      <c r="BN948" s="7"/>
      <c r="BO948" s="7"/>
      <c r="BP948" s="7"/>
      <c r="BQ948" s="7"/>
      <c r="BR948" s="7"/>
      <c r="BS948" s="7"/>
      <c r="BT948" s="7"/>
      <c r="BU948" s="7"/>
      <c r="BV948" s="7"/>
      <c r="BW948" s="7"/>
      <c r="BX948" s="7"/>
      <c r="BY948" s="7"/>
      <c r="BZ948" s="7"/>
    </row>
    <row r="949" ht="16.5" customHeight="1">
      <c r="AT949" s="7"/>
      <c r="AU949" s="7"/>
      <c r="AV949" s="7"/>
      <c r="AW949" s="7"/>
      <c r="AX949" s="7"/>
      <c r="AY949" s="7"/>
      <c r="AZ949" s="7"/>
      <c r="BA949" s="7"/>
      <c r="BB949" s="7"/>
      <c r="BC949" s="7"/>
      <c r="BD949" s="7"/>
      <c r="BE949" s="7"/>
      <c r="BF949" s="7"/>
      <c r="BG949" s="7"/>
      <c r="BH949" s="7"/>
      <c r="BI949" s="7"/>
      <c r="BJ949" s="7"/>
      <c r="BK949" s="7"/>
      <c r="BL949" s="7"/>
      <c r="BM949" s="7"/>
      <c r="BN949" s="7"/>
      <c r="BO949" s="7"/>
      <c r="BP949" s="7"/>
      <c r="BQ949" s="7"/>
      <c r="BR949" s="7"/>
      <c r="BS949" s="7"/>
      <c r="BT949" s="7"/>
      <c r="BU949" s="7"/>
      <c r="BV949" s="7"/>
      <c r="BW949" s="7"/>
      <c r="BX949" s="7"/>
      <c r="BY949" s="7"/>
      <c r="BZ949" s="7"/>
    </row>
    <row r="950" ht="16.5" customHeight="1">
      <c r="AT950" s="7"/>
      <c r="AU950" s="7"/>
      <c r="AV950" s="7"/>
      <c r="AW950" s="7"/>
      <c r="AX950" s="7"/>
      <c r="AY950" s="7"/>
      <c r="AZ950" s="7"/>
      <c r="BA950" s="7"/>
      <c r="BB950" s="7"/>
      <c r="BC950" s="7"/>
      <c r="BD950" s="7"/>
      <c r="BE950" s="7"/>
      <c r="BF950" s="7"/>
      <c r="BG950" s="7"/>
      <c r="BH950" s="7"/>
      <c r="BI950" s="7"/>
      <c r="BJ950" s="7"/>
      <c r="BK950" s="7"/>
      <c r="BL950" s="7"/>
      <c r="BM950" s="7"/>
      <c r="BN950" s="7"/>
      <c r="BO950" s="7"/>
      <c r="BP950" s="7"/>
      <c r="BQ950" s="7"/>
      <c r="BR950" s="7"/>
      <c r="BS950" s="7"/>
      <c r="BT950" s="7"/>
      <c r="BU950" s="7"/>
      <c r="BV950" s="7"/>
      <c r="BW950" s="7"/>
      <c r="BX950" s="7"/>
      <c r="BY950" s="7"/>
      <c r="BZ950" s="7"/>
    </row>
    <row r="951" ht="16.5" customHeight="1">
      <c r="AT951" s="7"/>
      <c r="AU951" s="7"/>
      <c r="AV951" s="7"/>
      <c r="AW951" s="7"/>
      <c r="AX951" s="7"/>
      <c r="AY951" s="7"/>
      <c r="AZ951" s="7"/>
      <c r="BA951" s="7"/>
      <c r="BB951" s="7"/>
      <c r="BC951" s="7"/>
      <c r="BD951" s="7"/>
      <c r="BE951" s="7"/>
      <c r="BF951" s="7"/>
      <c r="BG951" s="7"/>
      <c r="BH951" s="7"/>
      <c r="BI951" s="7"/>
      <c r="BJ951" s="7"/>
      <c r="BK951" s="7"/>
      <c r="BL951" s="7"/>
      <c r="BM951" s="7"/>
      <c r="BN951" s="7"/>
      <c r="BO951" s="7"/>
      <c r="BP951" s="7"/>
      <c r="BQ951" s="7"/>
      <c r="BR951" s="7"/>
      <c r="BS951" s="7"/>
      <c r="BT951" s="7"/>
      <c r="BU951" s="7"/>
      <c r="BV951" s="7"/>
      <c r="BW951" s="7"/>
      <c r="BX951" s="7"/>
      <c r="BY951" s="7"/>
      <c r="BZ951" s="7"/>
    </row>
    <row r="952" ht="16.5" customHeight="1">
      <c r="AT952" s="7"/>
      <c r="AU952" s="7"/>
      <c r="AV952" s="7"/>
      <c r="AW952" s="7"/>
      <c r="AX952" s="7"/>
      <c r="AY952" s="7"/>
      <c r="AZ952" s="7"/>
      <c r="BA952" s="7"/>
      <c r="BB952" s="7"/>
      <c r="BC952" s="7"/>
      <c r="BD952" s="7"/>
      <c r="BE952" s="7"/>
      <c r="BF952" s="7"/>
      <c r="BG952" s="7"/>
      <c r="BH952" s="7"/>
      <c r="BI952" s="7"/>
      <c r="BJ952" s="7"/>
      <c r="BK952" s="7"/>
      <c r="BL952" s="7"/>
      <c r="BM952" s="7"/>
      <c r="BN952" s="7"/>
      <c r="BO952" s="7"/>
      <c r="BP952" s="7"/>
      <c r="BQ952" s="7"/>
      <c r="BR952" s="7"/>
      <c r="BS952" s="7"/>
      <c r="BT952" s="7"/>
      <c r="BU952" s="7"/>
      <c r="BV952" s="7"/>
      <c r="BW952" s="7"/>
      <c r="BX952" s="7"/>
      <c r="BY952" s="7"/>
      <c r="BZ952" s="7"/>
    </row>
    <row r="953" ht="16.5" customHeight="1">
      <c r="AT953" s="7"/>
      <c r="AU953" s="7"/>
      <c r="AV953" s="7"/>
      <c r="AW953" s="7"/>
      <c r="AX953" s="7"/>
      <c r="AY953" s="7"/>
      <c r="AZ953" s="7"/>
      <c r="BA953" s="7"/>
      <c r="BB953" s="7"/>
      <c r="BC953" s="7"/>
      <c r="BD953" s="7"/>
      <c r="BE953" s="7"/>
      <c r="BF953" s="7"/>
      <c r="BG953" s="7"/>
      <c r="BH953" s="7"/>
      <c r="BI953" s="7"/>
      <c r="BJ953" s="7"/>
      <c r="BK953" s="7"/>
      <c r="BL953" s="7"/>
      <c r="BM953" s="7"/>
      <c r="BN953" s="7"/>
      <c r="BO953" s="7"/>
      <c r="BP953" s="7"/>
      <c r="BQ953" s="7"/>
      <c r="BR953" s="7"/>
      <c r="BS953" s="7"/>
      <c r="BT953" s="7"/>
      <c r="BU953" s="7"/>
      <c r="BV953" s="7"/>
      <c r="BW953" s="7"/>
      <c r="BX953" s="7"/>
      <c r="BY953" s="7"/>
      <c r="BZ953" s="7"/>
    </row>
    <row r="954" ht="16.5" customHeight="1">
      <c r="AT954" s="7"/>
      <c r="AU954" s="7"/>
      <c r="AV954" s="7"/>
      <c r="AW954" s="7"/>
      <c r="AX954" s="7"/>
      <c r="AY954" s="7"/>
      <c r="AZ954" s="7"/>
      <c r="BA954" s="7"/>
      <c r="BB954" s="7"/>
      <c r="BC954" s="7"/>
      <c r="BD954" s="7"/>
      <c r="BE954" s="7"/>
      <c r="BF954" s="7"/>
      <c r="BG954" s="7"/>
      <c r="BH954" s="7"/>
      <c r="BI954" s="7"/>
      <c r="BJ954" s="7"/>
      <c r="BK954" s="7"/>
      <c r="BL954" s="7"/>
      <c r="BM954" s="7"/>
      <c r="BN954" s="7"/>
      <c r="BO954" s="7"/>
      <c r="BP954" s="7"/>
      <c r="BQ954" s="7"/>
      <c r="BR954" s="7"/>
      <c r="BS954" s="7"/>
      <c r="BT954" s="7"/>
      <c r="BU954" s="7"/>
      <c r="BV954" s="7"/>
      <c r="BW954" s="7"/>
      <c r="BX954" s="7"/>
      <c r="BY954" s="7"/>
      <c r="BZ954" s="7"/>
    </row>
    <row r="955" ht="16.5" customHeight="1">
      <c r="AT955" s="7"/>
      <c r="AU955" s="7"/>
      <c r="AV955" s="7"/>
      <c r="AW955" s="7"/>
      <c r="AX955" s="7"/>
      <c r="AY955" s="7"/>
      <c r="AZ955" s="7"/>
      <c r="BA955" s="7"/>
      <c r="BB955" s="7"/>
      <c r="BC955" s="7"/>
      <c r="BD955" s="7"/>
      <c r="BE955" s="7"/>
      <c r="BF955" s="7"/>
      <c r="BG955" s="7"/>
      <c r="BH955" s="7"/>
      <c r="BI955" s="7"/>
      <c r="BJ955" s="7"/>
      <c r="BK955" s="7"/>
      <c r="BL955" s="7"/>
      <c r="BM955" s="7"/>
      <c r="BN955" s="7"/>
      <c r="BO955" s="7"/>
      <c r="BP955" s="7"/>
      <c r="BQ955" s="7"/>
      <c r="BR955" s="7"/>
      <c r="BS955" s="7"/>
      <c r="BT955" s="7"/>
      <c r="BU955" s="7"/>
      <c r="BV955" s="7"/>
      <c r="BW955" s="7"/>
      <c r="BX955" s="7"/>
      <c r="BY955" s="7"/>
      <c r="BZ955" s="7"/>
    </row>
    <row r="956" ht="16.5" customHeight="1">
      <c r="AT956" s="7"/>
      <c r="AU956" s="7"/>
      <c r="AV956" s="7"/>
      <c r="AW956" s="7"/>
      <c r="AX956" s="7"/>
      <c r="AY956" s="7"/>
      <c r="AZ956" s="7"/>
      <c r="BA956" s="7"/>
      <c r="BB956" s="7"/>
      <c r="BC956" s="7"/>
      <c r="BD956" s="7"/>
      <c r="BE956" s="7"/>
      <c r="BF956" s="7"/>
      <c r="BG956" s="7"/>
      <c r="BH956" s="7"/>
      <c r="BI956" s="7"/>
      <c r="BJ956" s="7"/>
      <c r="BK956" s="7"/>
      <c r="BL956" s="7"/>
      <c r="BM956" s="7"/>
      <c r="BN956" s="7"/>
      <c r="BO956" s="7"/>
      <c r="BP956" s="7"/>
      <c r="BQ956" s="7"/>
      <c r="BR956" s="7"/>
      <c r="BS956" s="7"/>
      <c r="BT956" s="7"/>
      <c r="BU956" s="7"/>
      <c r="BV956" s="7"/>
      <c r="BW956" s="7"/>
      <c r="BX956" s="7"/>
      <c r="BY956" s="7"/>
      <c r="BZ956" s="7"/>
    </row>
    <row r="957" ht="16.5" customHeight="1">
      <c r="AT957" s="7"/>
      <c r="AU957" s="7"/>
      <c r="AV957" s="7"/>
      <c r="AW957" s="7"/>
      <c r="AX957" s="7"/>
      <c r="AY957" s="7"/>
      <c r="AZ957" s="7"/>
      <c r="BA957" s="7"/>
      <c r="BB957" s="7"/>
      <c r="BC957" s="7"/>
      <c r="BD957" s="7"/>
      <c r="BE957" s="7"/>
      <c r="BF957" s="7"/>
      <c r="BG957" s="7"/>
      <c r="BH957" s="7"/>
      <c r="BI957" s="7"/>
      <c r="BJ957" s="7"/>
      <c r="BK957" s="7"/>
      <c r="BL957" s="7"/>
      <c r="BM957" s="7"/>
      <c r="BN957" s="7"/>
      <c r="BO957" s="7"/>
      <c r="BP957" s="7"/>
      <c r="BQ957" s="7"/>
      <c r="BR957" s="7"/>
      <c r="BS957" s="7"/>
      <c r="BT957" s="7"/>
      <c r="BU957" s="7"/>
      <c r="BV957" s="7"/>
      <c r="BW957" s="7"/>
      <c r="BX957" s="7"/>
      <c r="BY957" s="7"/>
      <c r="BZ957" s="7"/>
    </row>
    <row r="958" ht="16.5" customHeight="1">
      <c r="AT958" s="7"/>
      <c r="AU958" s="7"/>
      <c r="AV958" s="7"/>
      <c r="AW958" s="7"/>
      <c r="AX958" s="7"/>
      <c r="AY958" s="7"/>
      <c r="AZ958" s="7"/>
      <c r="BA958" s="7"/>
      <c r="BB958" s="7"/>
      <c r="BC958" s="7"/>
      <c r="BD958" s="7"/>
      <c r="BE958" s="7"/>
      <c r="BF958" s="7"/>
      <c r="BG958" s="7"/>
      <c r="BH958" s="7"/>
      <c r="BI958" s="7"/>
      <c r="BJ958" s="7"/>
      <c r="BK958" s="7"/>
      <c r="BL958" s="7"/>
      <c r="BM958" s="7"/>
      <c r="BN958" s="7"/>
      <c r="BO958" s="7"/>
      <c r="BP958" s="7"/>
      <c r="BQ958" s="7"/>
      <c r="BR958" s="7"/>
      <c r="BS958" s="7"/>
      <c r="BT958" s="7"/>
      <c r="BU958" s="7"/>
      <c r="BV958" s="7"/>
      <c r="BW958" s="7"/>
      <c r="BX958" s="7"/>
      <c r="BY958" s="7"/>
      <c r="BZ958" s="7"/>
    </row>
    <row r="959" ht="16.5" customHeight="1">
      <c r="AT959" s="7"/>
      <c r="AU959" s="7"/>
      <c r="AV959" s="7"/>
      <c r="AW959" s="7"/>
      <c r="AX959" s="7"/>
      <c r="AY959" s="7"/>
      <c r="AZ959" s="7"/>
      <c r="BA959" s="7"/>
      <c r="BB959" s="7"/>
      <c r="BC959" s="7"/>
      <c r="BD959" s="7"/>
      <c r="BE959" s="7"/>
      <c r="BF959" s="7"/>
      <c r="BG959" s="7"/>
      <c r="BH959" s="7"/>
      <c r="BI959" s="7"/>
      <c r="BJ959" s="7"/>
      <c r="BK959" s="7"/>
      <c r="BL959" s="7"/>
      <c r="BM959" s="7"/>
      <c r="BN959" s="7"/>
      <c r="BO959" s="7"/>
      <c r="BP959" s="7"/>
      <c r="BQ959" s="7"/>
      <c r="BR959" s="7"/>
      <c r="BS959" s="7"/>
      <c r="BT959" s="7"/>
      <c r="BU959" s="7"/>
      <c r="BV959" s="7"/>
      <c r="BW959" s="7"/>
      <c r="BX959" s="7"/>
      <c r="BY959" s="7"/>
      <c r="BZ959" s="7"/>
    </row>
    <row r="960" ht="16.5" customHeight="1">
      <c r="AT960" s="7"/>
      <c r="AU960" s="7"/>
      <c r="AV960" s="7"/>
      <c r="AW960" s="7"/>
      <c r="AX960" s="7"/>
      <c r="AY960" s="7"/>
      <c r="AZ960" s="7"/>
      <c r="BA960" s="7"/>
      <c r="BB960" s="7"/>
      <c r="BC960" s="7"/>
      <c r="BD960" s="7"/>
      <c r="BE960" s="7"/>
      <c r="BF960" s="7"/>
      <c r="BG960" s="7"/>
      <c r="BH960" s="7"/>
      <c r="BI960" s="7"/>
      <c r="BJ960" s="7"/>
      <c r="BK960" s="7"/>
      <c r="BL960" s="7"/>
      <c r="BM960" s="7"/>
      <c r="BN960" s="7"/>
      <c r="BO960" s="7"/>
      <c r="BP960" s="7"/>
      <c r="BQ960" s="7"/>
      <c r="BR960" s="7"/>
      <c r="BS960" s="7"/>
      <c r="BT960" s="7"/>
      <c r="BU960" s="7"/>
      <c r="BV960" s="7"/>
      <c r="BW960" s="7"/>
      <c r="BX960" s="7"/>
      <c r="BY960" s="7"/>
      <c r="BZ960" s="7"/>
    </row>
    <row r="961" ht="16.5" customHeight="1">
      <c r="AT961" s="7"/>
      <c r="AU961" s="7"/>
      <c r="AV961" s="7"/>
      <c r="AW961" s="7"/>
      <c r="AX961" s="7"/>
      <c r="AY961" s="7"/>
      <c r="AZ961" s="7"/>
      <c r="BA961" s="7"/>
      <c r="BB961" s="7"/>
      <c r="BC961" s="7"/>
      <c r="BD961" s="7"/>
      <c r="BE961" s="7"/>
      <c r="BF961" s="7"/>
      <c r="BG961" s="7"/>
      <c r="BH961" s="7"/>
      <c r="BI961" s="7"/>
      <c r="BJ961" s="7"/>
      <c r="BK961" s="7"/>
      <c r="BL961" s="7"/>
      <c r="BM961" s="7"/>
      <c r="BN961" s="7"/>
      <c r="BO961" s="7"/>
      <c r="BP961" s="7"/>
      <c r="BQ961" s="7"/>
      <c r="BR961" s="7"/>
      <c r="BS961" s="7"/>
      <c r="BT961" s="7"/>
      <c r="BU961" s="7"/>
      <c r="BV961" s="7"/>
      <c r="BW961" s="7"/>
      <c r="BX961" s="7"/>
      <c r="BY961" s="7"/>
      <c r="BZ961" s="7"/>
    </row>
    <row r="962" ht="16.5" customHeight="1">
      <c r="AT962" s="7"/>
      <c r="AU962" s="7"/>
      <c r="AV962" s="7"/>
      <c r="AW962" s="7"/>
      <c r="AX962" s="7"/>
      <c r="AY962" s="7"/>
      <c r="AZ962" s="7"/>
      <c r="BA962" s="7"/>
      <c r="BB962" s="7"/>
      <c r="BC962" s="7"/>
      <c r="BD962" s="7"/>
      <c r="BE962" s="7"/>
      <c r="BF962" s="7"/>
      <c r="BG962" s="7"/>
      <c r="BH962" s="7"/>
      <c r="BI962" s="7"/>
      <c r="BJ962" s="7"/>
      <c r="BK962" s="7"/>
      <c r="BL962" s="7"/>
      <c r="BM962" s="7"/>
      <c r="BN962" s="7"/>
      <c r="BO962" s="7"/>
      <c r="BP962" s="7"/>
      <c r="BQ962" s="7"/>
      <c r="BR962" s="7"/>
      <c r="BS962" s="7"/>
      <c r="BT962" s="7"/>
      <c r="BU962" s="7"/>
      <c r="BV962" s="7"/>
      <c r="BW962" s="7"/>
      <c r="BX962" s="7"/>
      <c r="BY962" s="7"/>
      <c r="BZ962" s="7"/>
    </row>
    <row r="963" ht="16.5" customHeight="1">
      <c r="AT963" s="7"/>
      <c r="AU963" s="7"/>
      <c r="AV963" s="7"/>
      <c r="AW963" s="7"/>
      <c r="AX963" s="7"/>
      <c r="AY963" s="7"/>
      <c r="AZ963" s="7"/>
      <c r="BA963" s="7"/>
      <c r="BB963" s="7"/>
      <c r="BC963" s="7"/>
      <c r="BD963" s="7"/>
      <c r="BE963" s="7"/>
      <c r="BF963" s="7"/>
      <c r="BG963" s="7"/>
      <c r="BH963" s="7"/>
      <c r="BI963" s="7"/>
      <c r="BJ963" s="7"/>
      <c r="BK963" s="7"/>
      <c r="BL963" s="7"/>
      <c r="BM963" s="7"/>
      <c r="BN963" s="7"/>
      <c r="BO963" s="7"/>
      <c r="BP963" s="7"/>
      <c r="BQ963" s="7"/>
      <c r="BR963" s="7"/>
      <c r="BS963" s="7"/>
      <c r="BT963" s="7"/>
      <c r="BU963" s="7"/>
      <c r="BV963" s="7"/>
      <c r="BW963" s="7"/>
      <c r="BX963" s="7"/>
      <c r="BY963" s="7"/>
      <c r="BZ963" s="7"/>
    </row>
    <row r="964" ht="16.5" customHeight="1">
      <c r="AT964" s="7"/>
      <c r="AU964" s="7"/>
      <c r="AV964" s="7"/>
      <c r="AW964" s="7"/>
      <c r="AX964" s="7"/>
      <c r="AY964" s="7"/>
      <c r="AZ964" s="7"/>
      <c r="BA964" s="7"/>
      <c r="BB964" s="7"/>
      <c r="BC964" s="7"/>
      <c r="BD964" s="7"/>
      <c r="BE964" s="7"/>
      <c r="BF964" s="7"/>
      <c r="BG964" s="7"/>
      <c r="BH964" s="7"/>
      <c r="BI964" s="7"/>
      <c r="BJ964" s="7"/>
      <c r="BK964" s="7"/>
      <c r="BL964" s="7"/>
      <c r="BM964" s="7"/>
      <c r="BN964" s="7"/>
      <c r="BO964" s="7"/>
      <c r="BP964" s="7"/>
      <c r="BQ964" s="7"/>
      <c r="BR964" s="7"/>
      <c r="BS964" s="7"/>
      <c r="BT964" s="7"/>
      <c r="BU964" s="7"/>
      <c r="BV964" s="7"/>
      <c r="BW964" s="7"/>
      <c r="BX964" s="7"/>
      <c r="BY964" s="7"/>
      <c r="BZ964" s="7"/>
    </row>
    <row r="965" ht="16.5" customHeight="1">
      <c r="AT965" s="7"/>
      <c r="AU965" s="7"/>
      <c r="AV965" s="7"/>
      <c r="AW965" s="7"/>
      <c r="AX965" s="7"/>
      <c r="AY965" s="7"/>
      <c r="AZ965" s="7"/>
      <c r="BA965" s="7"/>
      <c r="BB965" s="7"/>
      <c r="BC965" s="7"/>
      <c r="BD965" s="7"/>
      <c r="BE965" s="7"/>
      <c r="BF965" s="7"/>
      <c r="BG965" s="7"/>
      <c r="BH965" s="7"/>
      <c r="BI965" s="7"/>
      <c r="BJ965" s="7"/>
      <c r="BK965" s="7"/>
      <c r="BL965" s="7"/>
      <c r="BM965" s="7"/>
      <c r="BN965" s="7"/>
      <c r="BO965" s="7"/>
      <c r="BP965" s="7"/>
      <c r="BQ965" s="7"/>
      <c r="BR965" s="7"/>
      <c r="BS965" s="7"/>
      <c r="BT965" s="7"/>
      <c r="BU965" s="7"/>
      <c r="BV965" s="7"/>
      <c r="BW965" s="7"/>
      <c r="BX965" s="7"/>
      <c r="BY965" s="7"/>
      <c r="BZ965" s="7"/>
    </row>
    <row r="966" ht="16.5" customHeight="1">
      <c r="AT966" s="7"/>
      <c r="AU966" s="7"/>
      <c r="AV966" s="7"/>
      <c r="AW966" s="7"/>
      <c r="AX966" s="7"/>
      <c r="AY966" s="7"/>
      <c r="AZ966" s="7"/>
      <c r="BA966" s="7"/>
      <c r="BB966" s="7"/>
      <c r="BC966" s="7"/>
      <c r="BD966" s="7"/>
      <c r="BE966" s="7"/>
      <c r="BF966" s="7"/>
      <c r="BG966" s="7"/>
      <c r="BH966" s="7"/>
      <c r="BI966" s="7"/>
      <c r="BJ966" s="7"/>
      <c r="BK966" s="7"/>
      <c r="BL966" s="7"/>
      <c r="BM966" s="7"/>
      <c r="BN966" s="7"/>
      <c r="BO966" s="7"/>
      <c r="BP966" s="7"/>
      <c r="BQ966" s="7"/>
      <c r="BR966" s="7"/>
      <c r="BS966" s="7"/>
      <c r="BT966" s="7"/>
      <c r="BU966" s="7"/>
      <c r="BV966" s="7"/>
      <c r="BW966" s="7"/>
      <c r="BX966" s="7"/>
      <c r="BY966" s="7"/>
      <c r="BZ966" s="7"/>
    </row>
    <row r="967" ht="16.5" customHeight="1">
      <c r="AT967" s="7"/>
      <c r="AU967" s="7"/>
      <c r="AV967" s="7"/>
      <c r="AW967" s="7"/>
      <c r="AX967" s="7"/>
      <c r="AY967" s="7"/>
      <c r="AZ967" s="7"/>
      <c r="BA967" s="7"/>
      <c r="BB967" s="7"/>
      <c r="BC967" s="7"/>
      <c r="BD967" s="7"/>
      <c r="BE967" s="7"/>
      <c r="BF967" s="7"/>
      <c r="BG967" s="7"/>
      <c r="BH967" s="7"/>
      <c r="BI967" s="7"/>
      <c r="BJ967" s="7"/>
      <c r="BK967" s="7"/>
      <c r="BL967" s="7"/>
      <c r="BM967" s="7"/>
      <c r="BN967" s="7"/>
      <c r="BO967" s="7"/>
      <c r="BP967" s="7"/>
      <c r="BQ967" s="7"/>
      <c r="BR967" s="7"/>
      <c r="BS967" s="7"/>
      <c r="BT967" s="7"/>
      <c r="BU967" s="7"/>
      <c r="BV967" s="7"/>
      <c r="BW967" s="7"/>
      <c r="BX967" s="7"/>
      <c r="BY967" s="7"/>
      <c r="BZ967" s="7"/>
    </row>
    <row r="968" ht="16.5" customHeight="1">
      <c r="AT968" s="7"/>
      <c r="AU968" s="7"/>
      <c r="AV968" s="7"/>
      <c r="AW968" s="7"/>
      <c r="AX968" s="7"/>
      <c r="AY968" s="7"/>
      <c r="AZ968" s="7"/>
      <c r="BA968" s="7"/>
      <c r="BB968" s="7"/>
      <c r="BC968" s="7"/>
      <c r="BD968" s="7"/>
      <c r="BE968" s="7"/>
      <c r="BF968" s="7"/>
      <c r="BG968" s="7"/>
      <c r="BH968" s="7"/>
      <c r="BI968" s="7"/>
      <c r="BJ968" s="7"/>
      <c r="BK968" s="7"/>
      <c r="BL968" s="7"/>
      <c r="BM968" s="7"/>
      <c r="BN968" s="7"/>
      <c r="BO968" s="7"/>
      <c r="BP968" s="7"/>
      <c r="BQ968" s="7"/>
      <c r="BR968" s="7"/>
      <c r="BS968" s="7"/>
      <c r="BT968" s="7"/>
      <c r="BU968" s="7"/>
      <c r="BV968" s="7"/>
      <c r="BW968" s="7"/>
      <c r="BX968" s="7"/>
      <c r="BY968" s="7"/>
      <c r="BZ968" s="7"/>
    </row>
    <row r="969" ht="16.5" customHeight="1">
      <c r="AT969" s="7"/>
      <c r="AU969" s="7"/>
      <c r="AV969" s="7"/>
      <c r="AW969" s="7"/>
      <c r="AX969" s="7"/>
      <c r="AY969" s="7"/>
      <c r="AZ969" s="7"/>
      <c r="BA969" s="7"/>
      <c r="BB969" s="7"/>
      <c r="BC969" s="7"/>
      <c r="BD969" s="7"/>
      <c r="BE969" s="7"/>
      <c r="BF969" s="7"/>
      <c r="BG969" s="7"/>
      <c r="BH969" s="7"/>
      <c r="BI969" s="7"/>
      <c r="BJ969" s="7"/>
      <c r="BK969" s="7"/>
      <c r="BL969" s="7"/>
      <c r="BM969" s="7"/>
      <c r="BN969" s="7"/>
      <c r="BO969" s="7"/>
      <c r="BP969" s="7"/>
      <c r="BQ969" s="7"/>
      <c r="BR969" s="7"/>
      <c r="BS969" s="7"/>
      <c r="BT969" s="7"/>
      <c r="BU969" s="7"/>
      <c r="BV969" s="7"/>
      <c r="BW969" s="7"/>
      <c r="BX969" s="7"/>
      <c r="BY969" s="7"/>
      <c r="BZ969" s="7"/>
    </row>
    <row r="970" ht="16.5" customHeight="1">
      <c r="AT970" s="7"/>
      <c r="AU970" s="7"/>
      <c r="AV970" s="7"/>
      <c r="AW970" s="7"/>
      <c r="AX970" s="7"/>
      <c r="AY970" s="7"/>
      <c r="AZ970" s="7"/>
      <c r="BA970" s="7"/>
      <c r="BB970" s="7"/>
      <c r="BC970" s="7"/>
      <c r="BD970" s="7"/>
      <c r="BE970" s="7"/>
      <c r="BF970" s="7"/>
      <c r="BG970" s="7"/>
      <c r="BH970" s="7"/>
      <c r="BI970" s="7"/>
      <c r="BJ970" s="7"/>
      <c r="BK970" s="7"/>
      <c r="BL970" s="7"/>
      <c r="BM970" s="7"/>
      <c r="BN970" s="7"/>
      <c r="BO970" s="7"/>
      <c r="BP970" s="7"/>
      <c r="BQ970" s="7"/>
      <c r="BR970" s="7"/>
      <c r="BS970" s="7"/>
      <c r="BT970" s="7"/>
      <c r="BU970" s="7"/>
      <c r="BV970" s="7"/>
      <c r="BW970" s="7"/>
      <c r="BX970" s="7"/>
      <c r="BY970" s="7"/>
      <c r="BZ970" s="7"/>
    </row>
    <row r="971" ht="16.5" customHeight="1">
      <c r="AT971" s="7"/>
      <c r="AU971" s="7"/>
      <c r="AV971" s="7"/>
      <c r="AW971" s="7"/>
      <c r="AX971" s="7"/>
      <c r="AY971" s="7"/>
      <c r="AZ971" s="7"/>
      <c r="BA971" s="7"/>
      <c r="BB971" s="7"/>
      <c r="BC971" s="7"/>
      <c r="BD971" s="7"/>
      <c r="BE971" s="7"/>
      <c r="BF971" s="7"/>
      <c r="BG971" s="7"/>
      <c r="BH971" s="7"/>
      <c r="BI971" s="7"/>
      <c r="BJ971" s="7"/>
      <c r="BK971" s="7"/>
      <c r="BL971" s="7"/>
      <c r="BM971" s="7"/>
      <c r="BN971" s="7"/>
      <c r="BO971" s="7"/>
      <c r="BP971" s="7"/>
      <c r="BQ971" s="7"/>
      <c r="BR971" s="7"/>
      <c r="BS971" s="7"/>
      <c r="BT971" s="7"/>
      <c r="BU971" s="7"/>
      <c r="BV971" s="7"/>
      <c r="BW971" s="7"/>
      <c r="BX971" s="7"/>
      <c r="BY971" s="7"/>
      <c r="BZ971" s="7"/>
    </row>
    <row r="972" ht="16.5" customHeight="1">
      <c r="AT972" s="7"/>
      <c r="AU972" s="7"/>
      <c r="AV972" s="7"/>
      <c r="AW972" s="7"/>
      <c r="AX972" s="7"/>
      <c r="AY972" s="7"/>
      <c r="AZ972" s="7"/>
      <c r="BA972" s="7"/>
      <c r="BB972" s="7"/>
      <c r="BC972" s="7"/>
      <c r="BD972" s="7"/>
      <c r="BE972" s="7"/>
      <c r="BF972" s="7"/>
      <c r="BG972" s="7"/>
      <c r="BH972" s="7"/>
      <c r="BI972" s="7"/>
      <c r="BJ972" s="7"/>
      <c r="BK972" s="7"/>
      <c r="BL972" s="7"/>
      <c r="BM972" s="7"/>
      <c r="BN972" s="7"/>
      <c r="BO972" s="7"/>
      <c r="BP972" s="7"/>
      <c r="BQ972" s="7"/>
      <c r="BR972" s="7"/>
      <c r="BS972" s="7"/>
      <c r="BT972" s="7"/>
      <c r="BU972" s="7"/>
      <c r="BV972" s="7"/>
      <c r="BW972" s="7"/>
      <c r="BX972" s="7"/>
      <c r="BY972" s="7"/>
      <c r="BZ972" s="7"/>
    </row>
    <row r="973" ht="16.5" customHeight="1">
      <c r="AT973" s="7"/>
      <c r="AU973" s="7"/>
      <c r="AV973" s="7"/>
      <c r="AW973" s="7"/>
      <c r="AX973" s="7"/>
      <c r="AY973" s="7"/>
      <c r="AZ973" s="7"/>
      <c r="BA973" s="7"/>
      <c r="BB973" s="7"/>
      <c r="BC973" s="7"/>
      <c r="BD973" s="7"/>
      <c r="BE973" s="7"/>
      <c r="BF973" s="7"/>
      <c r="BG973" s="7"/>
      <c r="BH973" s="7"/>
      <c r="BI973" s="7"/>
      <c r="BJ973" s="7"/>
      <c r="BK973" s="7"/>
      <c r="BL973" s="7"/>
      <c r="BM973" s="7"/>
      <c r="BN973" s="7"/>
      <c r="BO973" s="7"/>
      <c r="BP973" s="7"/>
      <c r="BQ973" s="7"/>
      <c r="BR973" s="7"/>
      <c r="BS973" s="7"/>
      <c r="BT973" s="7"/>
      <c r="BU973" s="7"/>
      <c r="BV973" s="7"/>
      <c r="BW973" s="7"/>
      <c r="BX973" s="7"/>
      <c r="BY973" s="7"/>
      <c r="BZ973" s="7"/>
    </row>
    <row r="974" ht="16.5" customHeight="1">
      <c r="AT974" s="7"/>
      <c r="AU974" s="7"/>
      <c r="AV974" s="7"/>
      <c r="AW974" s="7"/>
      <c r="AX974" s="7"/>
      <c r="AY974" s="7"/>
      <c r="AZ974" s="7"/>
      <c r="BA974" s="7"/>
      <c r="BB974" s="7"/>
      <c r="BC974" s="7"/>
      <c r="BD974" s="7"/>
      <c r="BE974" s="7"/>
      <c r="BF974" s="7"/>
      <c r="BG974" s="7"/>
      <c r="BH974" s="7"/>
      <c r="BI974" s="7"/>
      <c r="BJ974" s="7"/>
      <c r="BK974" s="7"/>
      <c r="BL974" s="7"/>
      <c r="BM974" s="7"/>
      <c r="BN974" s="7"/>
      <c r="BO974" s="7"/>
      <c r="BP974" s="7"/>
      <c r="BQ974" s="7"/>
      <c r="BR974" s="7"/>
      <c r="BS974" s="7"/>
      <c r="BT974" s="7"/>
      <c r="BU974" s="7"/>
      <c r="BV974" s="7"/>
      <c r="BW974" s="7"/>
      <c r="BX974" s="7"/>
      <c r="BY974" s="7"/>
      <c r="BZ974" s="7"/>
    </row>
    <row r="975" ht="16.5" customHeight="1">
      <c r="AT975" s="7"/>
      <c r="AU975" s="7"/>
      <c r="AV975" s="7"/>
      <c r="AW975" s="7"/>
      <c r="AX975" s="7"/>
      <c r="AY975" s="7"/>
      <c r="AZ975" s="7"/>
      <c r="BA975" s="7"/>
      <c r="BB975" s="7"/>
      <c r="BC975" s="7"/>
      <c r="BD975" s="7"/>
      <c r="BE975" s="7"/>
      <c r="BF975" s="7"/>
      <c r="BG975" s="7"/>
      <c r="BH975" s="7"/>
      <c r="BI975" s="7"/>
      <c r="BJ975" s="7"/>
      <c r="BK975" s="7"/>
      <c r="BL975" s="7"/>
      <c r="BM975" s="7"/>
      <c r="BN975" s="7"/>
      <c r="BO975" s="7"/>
      <c r="BP975" s="7"/>
      <c r="BQ975" s="7"/>
      <c r="BR975" s="7"/>
      <c r="BS975" s="7"/>
      <c r="BT975" s="7"/>
      <c r="BU975" s="7"/>
      <c r="BV975" s="7"/>
      <c r="BW975" s="7"/>
      <c r="BX975" s="7"/>
      <c r="BY975" s="7"/>
      <c r="BZ975" s="7"/>
    </row>
    <row r="976" ht="16.5" customHeight="1">
      <c r="AT976" s="7"/>
      <c r="AU976" s="7"/>
      <c r="AV976" s="7"/>
      <c r="AW976" s="7"/>
      <c r="AX976" s="7"/>
      <c r="AY976" s="7"/>
      <c r="AZ976" s="7"/>
      <c r="BA976" s="7"/>
      <c r="BB976" s="7"/>
      <c r="BC976" s="7"/>
      <c r="BD976" s="7"/>
      <c r="BE976" s="7"/>
      <c r="BF976" s="7"/>
      <c r="BG976" s="7"/>
      <c r="BH976" s="7"/>
      <c r="BI976" s="7"/>
      <c r="BJ976" s="7"/>
      <c r="BK976" s="7"/>
      <c r="BL976" s="7"/>
      <c r="BM976" s="7"/>
      <c r="BN976" s="7"/>
      <c r="BO976" s="7"/>
      <c r="BP976" s="7"/>
      <c r="BQ976" s="7"/>
      <c r="BR976" s="7"/>
      <c r="BS976" s="7"/>
      <c r="BT976" s="7"/>
      <c r="BU976" s="7"/>
      <c r="BV976" s="7"/>
      <c r="BW976" s="7"/>
      <c r="BX976" s="7"/>
      <c r="BY976" s="7"/>
      <c r="BZ976" s="7"/>
    </row>
    <row r="977" ht="16.5" customHeight="1">
      <c r="AT977" s="7"/>
      <c r="AU977" s="7"/>
      <c r="AV977" s="7"/>
      <c r="AW977" s="7"/>
      <c r="AX977" s="7"/>
      <c r="AY977" s="7"/>
      <c r="AZ977" s="7"/>
      <c r="BA977" s="7"/>
      <c r="BB977" s="7"/>
      <c r="BC977" s="7"/>
      <c r="BD977" s="7"/>
      <c r="BE977" s="7"/>
      <c r="BF977" s="7"/>
      <c r="BG977" s="7"/>
      <c r="BH977" s="7"/>
      <c r="BI977" s="7"/>
      <c r="BJ977" s="7"/>
      <c r="BK977" s="7"/>
      <c r="BL977" s="7"/>
      <c r="BM977" s="7"/>
      <c r="BN977" s="7"/>
      <c r="BO977" s="7"/>
      <c r="BP977" s="7"/>
      <c r="BQ977" s="7"/>
      <c r="BR977" s="7"/>
      <c r="BS977" s="7"/>
      <c r="BT977" s="7"/>
      <c r="BU977" s="7"/>
      <c r="BV977" s="7"/>
      <c r="BW977" s="7"/>
      <c r="BX977" s="7"/>
      <c r="BY977" s="7"/>
      <c r="BZ977" s="7"/>
    </row>
    <row r="978" ht="16.5" customHeight="1">
      <c r="AT978" s="7"/>
      <c r="AU978" s="7"/>
      <c r="AV978" s="7"/>
      <c r="AW978" s="7"/>
      <c r="AX978" s="7"/>
      <c r="AY978" s="7"/>
      <c r="AZ978" s="7"/>
      <c r="BA978" s="7"/>
      <c r="BB978" s="7"/>
      <c r="BC978" s="7"/>
      <c r="BD978" s="7"/>
      <c r="BE978" s="7"/>
      <c r="BF978" s="7"/>
      <c r="BG978" s="7"/>
      <c r="BH978" s="7"/>
      <c r="BI978" s="7"/>
      <c r="BJ978" s="7"/>
      <c r="BK978" s="7"/>
      <c r="BL978" s="7"/>
      <c r="BM978" s="7"/>
      <c r="BN978" s="7"/>
      <c r="BO978" s="7"/>
      <c r="BP978" s="7"/>
      <c r="BQ978" s="7"/>
      <c r="BR978" s="7"/>
      <c r="BS978" s="7"/>
      <c r="BT978" s="7"/>
      <c r="BU978" s="7"/>
      <c r="BV978" s="7"/>
      <c r="BW978" s="7"/>
      <c r="BX978" s="7"/>
      <c r="BY978" s="7"/>
      <c r="BZ978" s="7"/>
    </row>
    <row r="979" ht="16.5" customHeight="1">
      <c r="AT979" s="7"/>
      <c r="AU979" s="7"/>
      <c r="AV979" s="7"/>
      <c r="AW979" s="7"/>
      <c r="AX979" s="7"/>
      <c r="AY979" s="7"/>
      <c r="AZ979" s="7"/>
      <c r="BA979" s="7"/>
      <c r="BB979" s="7"/>
      <c r="BC979" s="7"/>
      <c r="BD979" s="7"/>
      <c r="BE979" s="7"/>
      <c r="BF979" s="7"/>
      <c r="BG979" s="7"/>
      <c r="BH979" s="7"/>
      <c r="BI979" s="7"/>
      <c r="BJ979" s="7"/>
      <c r="BK979" s="7"/>
      <c r="BL979" s="7"/>
      <c r="BM979" s="7"/>
      <c r="BN979" s="7"/>
      <c r="BO979" s="7"/>
      <c r="BP979" s="7"/>
      <c r="BQ979" s="7"/>
      <c r="BR979" s="7"/>
      <c r="BS979" s="7"/>
      <c r="BT979" s="7"/>
      <c r="BU979" s="7"/>
      <c r="BV979" s="7"/>
      <c r="BW979" s="7"/>
      <c r="BX979" s="7"/>
      <c r="BY979" s="7"/>
      <c r="BZ979" s="7"/>
    </row>
    <row r="980" ht="16.5" customHeight="1">
      <c r="AT980" s="7"/>
      <c r="AU980" s="7"/>
      <c r="AV980" s="7"/>
      <c r="AW980" s="7"/>
      <c r="AX980" s="7"/>
      <c r="AY980" s="7"/>
      <c r="AZ980" s="7"/>
      <c r="BA980" s="7"/>
      <c r="BB980" s="7"/>
      <c r="BC980" s="7"/>
      <c r="BD980" s="7"/>
      <c r="BE980" s="7"/>
      <c r="BF980" s="7"/>
      <c r="BG980" s="7"/>
      <c r="BH980" s="7"/>
      <c r="BI980" s="7"/>
      <c r="BJ980" s="7"/>
      <c r="BK980" s="7"/>
      <c r="BL980" s="7"/>
      <c r="BM980" s="7"/>
      <c r="BN980" s="7"/>
      <c r="BO980" s="7"/>
      <c r="BP980" s="7"/>
      <c r="BQ980" s="7"/>
      <c r="BR980" s="7"/>
      <c r="BS980" s="7"/>
      <c r="BT980" s="7"/>
      <c r="BU980" s="7"/>
      <c r="BV980" s="7"/>
      <c r="BW980" s="7"/>
      <c r="BX980" s="7"/>
      <c r="BY980" s="7"/>
      <c r="BZ980" s="7"/>
    </row>
    <row r="981" ht="16.5" customHeight="1">
      <c r="AT981" s="7"/>
      <c r="AU981" s="7"/>
      <c r="AV981" s="7"/>
      <c r="AW981" s="7"/>
      <c r="AX981" s="7"/>
      <c r="AY981" s="7"/>
      <c r="AZ981" s="7"/>
      <c r="BA981" s="7"/>
      <c r="BB981" s="7"/>
      <c r="BC981" s="7"/>
      <c r="BD981" s="7"/>
      <c r="BE981" s="7"/>
      <c r="BF981" s="7"/>
      <c r="BG981" s="7"/>
      <c r="BH981" s="7"/>
      <c r="BI981" s="7"/>
      <c r="BJ981" s="7"/>
      <c r="BK981" s="7"/>
      <c r="BL981" s="7"/>
      <c r="BM981" s="7"/>
      <c r="BN981" s="7"/>
      <c r="BO981" s="7"/>
      <c r="BP981" s="7"/>
      <c r="BQ981" s="7"/>
      <c r="BR981" s="7"/>
      <c r="BS981" s="7"/>
      <c r="BT981" s="7"/>
      <c r="BU981" s="7"/>
      <c r="BV981" s="7"/>
      <c r="BW981" s="7"/>
      <c r="BX981" s="7"/>
      <c r="BY981" s="7"/>
      <c r="BZ981" s="7"/>
    </row>
    <row r="982" ht="16.5" customHeight="1">
      <c r="AT982" s="7"/>
      <c r="AU982" s="7"/>
      <c r="AV982" s="7"/>
      <c r="AW982" s="7"/>
      <c r="AX982" s="7"/>
      <c r="AY982" s="7"/>
      <c r="AZ982" s="7"/>
      <c r="BA982" s="7"/>
      <c r="BB982" s="7"/>
      <c r="BC982" s="7"/>
      <c r="BD982" s="7"/>
      <c r="BE982" s="7"/>
      <c r="BF982" s="7"/>
      <c r="BG982" s="7"/>
      <c r="BH982" s="7"/>
      <c r="BI982" s="7"/>
      <c r="BJ982" s="7"/>
      <c r="BK982" s="7"/>
      <c r="BL982" s="7"/>
      <c r="BM982" s="7"/>
      <c r="BN982" s="7"/>
      <c r="BO982" s="7"/>
      <c r="BP982" s="7"/>
      <c r="BQ982" s="7"/>
      <c r="BR982" s="7"/>
      <c r="BS982" s="7"/>
      <c r="BT982" s="7"/>
      <c r="BU982" s="7"/>
      <c r="BV982" s="7"/>
      <c r="BW982" s="7"/>
      <c r="BX982" s="7"/>
      <c r="BY982" s="7"/>
      <c r="BZ982" s="7"/>
    </row>
    <row r="983" ht="16.5" customHeight="1">
      <c r="AT983" s="7"/>
      <c r="AU983" s="7"/>
      <c r="AV983" s="7"/>
      <c r="AW983" s="7"/>
      <c r="AX983" s="7"/>
      <c r="AY983" s="7"/>
      <c r="AZ983" s="7"/>
      <c r="BA983" s="7"/>
      <c r="BB983" s="7"/>
      <c r="BC983" s="7"/>
      <c r="BD983" s="7"/>
      <c r="BE983" s="7"/>
      <c r="BF983" s="7"/>
      <c r="BG983" s="7"/>
      <c r="BH983" s="7"/>
      <c r="BI983" s="7"/>
      <c r="BJ983" s="7"/>
      <c r="BK983" s="7"/>
      <c r="BL983" s="7"/>
      <c r="BM983" s="7"/>
      <c r="BN983" s="7"/>
      <c r="BO983" s="7"/>
      <c r="BP983" s="7"/>
      <c r="BQ983" s="7"/>
      <c r="BR983" s="7"/>
      <c r="BS983" s="7"/>
      <c r="BT983" s="7"/>
      <c r="BU983" s="7"/>
      <c r="BV983" s="7"/>
      <c r="BW983" s="7"/>
      <c r="BX983" s="7"/>
      <c r="BY983" s="7"/>
      <c r="BZ983" s="7"/>
    </row>
    <row r="984" ht="16.5" customHeight="1">
      <c r="AT984" s="7"/>
      <c r="AU984" s="7"/>
      <c r="AV984" s="7"/>
      <c r="AW984" s="7"/>
      <c r="AX984" s="7"/>
      <c r="AY984" s="7"/>
      <c r="AZ984" s="7"/>
      <c r="BA984" s="7"/>
      <c r="BB984" s="7"/>
      <c r="BC984" s="7"/>
      <c r="BD984" s="7"/>
      <c r="BE984" s="7"/>
      <c r="BF984" s="7"/>
      <c r="BG984" s="7"/>
      <c r="BH984" s="7"/>
      <c r="BI984" s="7"/>
      <c r="BJ984" s="7"/>
      <c r="BK984" s="7"/>
      <c r="BL984" s="7"/>
      <c r="BM984" s="7"/>
      <c r="BN984" s="7"/>
      <c r="BO984" s="7"/>
      <c r="BP984" s="7"/>
      <c r="BQ984" s="7"/>
      <c r="BR984" s="7"/>
      <c r="BS984" s="7"/>
      <c r="BT984" s="7"/>
      <c r="BU984" s="7"/>
      <c r="BV984" s="7"/>
      <c r="BW984" s="7"/>
      <c r="BX984" s="7"/>
      <c r="BY984" s="7"/>
      <c r="BZ984" s="7"/>
    </row>
    <row r="985" ht="16.5" customHeight="1">
      <c r="AT985" s="7"/>
      <c r="AU985" s="7"/>
      <c r="AV985" s="7"/>
      <c r="AW985" s="7"/>
      <c r="AX985" s="7"/>
      <c r="AY985" s="7"/>
      <c r="AZ985" s="7"/>
      <c r="BA985" s="7"/>
      <c r="BB985" s="7"/>
      <c r="BC985" s="7"/>
      <c r="BD985" s="7"/>
      <c r="BE985" s="7"/>
      <c r="BF985" s="7"/>
      <c r="BG985" s="7"/>
      <c r="BH985" s="7"/>
      <c r="BI985" s="7"/>
      <c r="BJ985" s="7"/>
      <c r="BK985" s="7"/>
      <c r="BL985" s="7"/>
      <c r="BM985" s="7"/>
      <c r="BN985" s="7"/>
      <c r="BO985" s="7"/>
      <c r="BP985" s="7"/>
      <c r="BQ985" s="7"/>
      <c r="BR985" s="7"/>
      <c r="BS985" s="7"/>
      <c r="BT985" s="7"/>
      <c r="BU985" s="7"/>
      <c r="BV985" s="7"/>
      <c r="BW985" s="7"/>
      <c r="BX985" s="7"/>
      <c r="BY985" s="7"/>
      <c r="BZ985" s="7"/>
    </row>
    <row r="986" ht="16.5" customHeight="1">
      <c r="AT986" s="7"/>
      <c r="AU986" s="7"/>
      <c r="AV986" s="7"/>
      <c r="AW986" s="7"/>
      <c r="AX986" s="7"/>
      <c r="AY986" s="7"/>
      <c r="AZ986" s="7"/>
      <c r="BA986" s="7"/>
      <c r="BB986" s="7"/>
      <c r="BC986" s="7"/>
      <c r="BD986" s="7"/>
      <c r="BE986" s="7"/>
      <c r="BF986" s="7"/>
      <c r="BG986" s="7"/>
      <c r="BH986" s="7"/>
      <c r="BI986" s="7"/>
      <c r="BJ986" s="7"/>
      <c r="BK986" s="7"/>
      <c r="BL986" s="7"/>
      <c r="BM986" s="7"/>
      <c r="BN986" s="7"/>
      <c r="BO986" s="7"/>
      <c r="BP986" s="7"/>
      <c r="BQ986" s="7"/>
      <c r="BR986" s="7"/>
      <c r="BS986" s="7"/>
      <c r="BT986" s="7"/>
      <c r="BU986" s="7"/>
      <c r="BV986" s="7"/>
      <c r="BW986" s="7"/>
      <c r="BX986" s="7"/>
      <c r="BY986" s="7"/>
      <c r="BZ986" s="7"/>
    </row>
    <row r="987" ht="16.5" customHeight="1">
      <c r="AT987" s="7"/>
      <c r="AU987" s="7"/>
      <c r="AV987" s="7"/>
      <c r="AW987" s="7"/>
      <c r="AX987" s="7"/>
      <c r="AY987" s="7"/>
      <c r="AZ987" s="7"/>
      <c r="BA987" s="7"/>
      <c r="BB987" s="7"/>
      <c r="BC987" s="7"/>
      <c r="BD987" s="7"/>
      <c r="BE987" s="7"/>
      <c r="BF987" s="7"/>
      <c r="BG987" s="7"/>
      <c r="BH987" s="7"/>
      <c r="BI987" s="7"/>
      <c r="BJ987" s="7"/>
      <c r="BK987" s="7"/>
      <c r="BL987" s="7"/>
      <c r="BM987" s="7"/>
      <c r="BN987" s="7"/>
      <c r="BO987" s="7"/>
      <c r="BP987" s="7"/>
      <c r="BQ987" s="7"/>
      <c r="BR987" s="7"/>
      <c r="BS987" s="7"/>
      <c r="BT987" s="7"/>
      <c r="BU987" s="7"/>
      <c r="BV987" s="7"/>
      <c r="BW987" s="7"/>
      <c r="BX987" s="7"/>
      <c r="BY987" s="7"/>
      <c r="BZ987" s="7"/>
    </row>
    <row r="988" ht="16.5" customHeight="1">
      <c r="AT988" s="7"/>
      <c r="AU988" s="7"/>
      <c r="AV988" s="7"/>
      <c r="AW988" s="7"/>
      <c r="AX988" s="7"/>
      <c r="AY988" s="7"/>
      <c r="AZ988" s="7"/>
      <c r="BA988" s="7"/>
      <c r="BB988" s="7"/>
      <c r="BC988" s="7"/>
      <c r="BD988" s="7"/>
      <c r="BE988" s="7"/>
      <c r="BF988" s="7"/>
      <c r="BG988" s="7"/>
      <c r="BH988" s="7"/>
      <c r="BI988" s="7"/>
      <c r="BJ988" s="7"/>
      <c r="BK988" s="7"/>
      <c r="BL988" s="7"/>
      <c r="BM988" s="7"/>
      <c r="BN988" s="7"/>
      <c r="BO988" s="7"/>
      <c r="BP988" s="7"/>
      <c r="BQ988" s="7"/>
      <c r="BR988" s="7"/>
      <c r="BS988" s="7"/>
      <c r="BT988" s="7"/>
      <c r="BU988" s="7"/>
      <c r="BV988" s="7"/>
      <c r="BW988" s="7"/>
      <c r="BX988" s="7"/>
      <c r="BY988" s="7"/>
      <c r="BZ988" s="7"/>
    </row>
    <row r="989" ht="16.5" customHeight="1">
      <c r="AT989" s="7"/>
      <c r="AU989" s="7"/>
      <c r="AV989" s="7"/>
      <c r="AW989" s="7"/>
      <c r="AX989" s="7"/>
      <c r="AY989" s="7"/>
      <c r="AZ989" s="7"/>
      <c r="BA989" s="7"/>
      <c r="BB989" s="7"/>
      <c r="BC989" s="7"/>
      <c r="BD989" s="7"/>
      <c r="BE989" s="7"/>
      <c r="BF989" s="7"/>
      <c r="BG989" s="7"/>
      <c r="BH989" s="7"/>
      <c r="BI989" s="7"/>
      <c r="BJ989" s="7"/>
      <c r="BK989" s="7"/>
      <c r="BL989" s="7"/>
      <c r="BM989" s="7"/>
      <c r="BN989" s="7"/>
      <c r="BO989" s="7"/>
      <c r="BP989" s="7"/>
      <c r="BQ989" s="7"/>
      <c r="BR989" s="7"/>
      <c r="BS989" s="7"/>
      <c r="BT989" s="7"/>
      <c r="BU989" s="7"/>
      <c r="BV989" s="7"/>
      <c r="BW989" s="7"/>
      <c r="BX989" s="7"/>
      <c r="BY989" s="7"/>
      <c r="BZ989" s="7"/>
    </row>
    <row r="990" ht="16.5" customHeight="1">
      <c r="AT990" s="7"/>
      <c r="AU990" s="7"/>
      <c r="AV990" s="7"/>
      <c r="AW990" s="7"/>
      <c r="AX990" s="7"/>
      <c r="AY990" s="7"/>
      <c r="AZ990" s="7"/>
      <c r="BA990" s="7"/>
      <c r="BB990" s="7"/>
      <c r="BC990" s="7"/>
      <c r="BD990" s="7"/>
      <c r="BE990" s="7"/>
      <c r="BF990" s="7"/>
      <c r="BG990" s="7"/>
      <c r="BH990" s="7"/>
      <c r="BI990" s="7"/>
      <c r="BJ990" s="7"/>
      <c r="BK990" s="7"/>
      <c r="BL990" s="7"/>
      <c r="BM990" s="7"/>
      <c r="BN990" s="7"/>
      <c r="BO990" s="7"/>
      <c r="BP990" s="7"/>
      <c r="BQ990" s="7"/>
      <c r="BR990" s="7"/>
      <c r="BS990" s="7"/>
      <c r="BT990" s="7"/>
      <c r="BU990" s="7"/>
      <c r="BV990" s="7"/>
      <c r="BW990" s="7"/>
      <c r="BX990" s="7"/>
      <c r="BY990" s="7"/>
      <c r="BZ990" s="7"/>
    </row>
    <row r="991" ht="16.5" customHeight="1">
      <c r="AT991" s="7"/>
      <c r="AU991" s="7"/>
      <c r="AV991" s="7"/>
      <c r="AW991" s="7"/>
      <c r="AX991" s="7"/>
      <c r="AY991" s="7"/>
      <c r="AZ991" s="7"/>
      <c r="BA991" s="7"/>
      <c r="BB991" s="7"/>
      <c r="BC991" s="7"/>
      <c r="BD991" s="7"/>
      <c r="BE991" s="7"/>
      <c r="BF991" s="7"/>
      <c r="BG991" s="7"/>
      <c r="BH991" s="7"/>
      <c r="BI991" s="7"/>
      <c r="BJ991" s="7"/>
      <c r="BK991" s="7"/>
      <c r="BL991" s="7"/>
      <c r="BM991" s="7"/>
      <c r="BN991" s="7"/>
      <c r="BO991" s="7"/>
      <c r="BP991" s="7"/>
      <c r="BQ991" s="7"/>
      <c r="BR991" s="7"/>
      <c r="BS991" s="7"/>
      <c r="BT991" s="7"/>
      <c r="BU991" s="7"/>
      <c r="BV991" s="7"/>
      <c r="BW991" s="7"/>
      <c r="BX991" s="7"/>
      <c r="BY991" s="7"/>
      <c r="BZ991" s="7"/>
    </row>
    <row r="992" ht="16.5" customHeight="1">
      <c r="AT992" s="7"/>
      <c r="AU992" s="7"/>
      <c r="AV992" s="7"/>
      <c r="AW992" s="7"/>
      <c r="AX992" s="7"/>
      <c r="AY992" s="7"/>
      <c r="AZ992" s="7"/>
      <c r="BA992" s="7"/>
      <c r="BB992" s="7"/>
      <c r="BC992" s="7"/>
      <c r="BD992" s="7"/>
      <c r="BE992" s="7"/>
      <c r="BF992" s="7"/>
      <c r="BG992" s="7"/>
      <c r="BH992" s="7"/>
      <c r="BI992" s="7"/>
      <c r="BJ992" s="7"/>
      <c r="BK992" s="7"/>
      <c r="BL992" s="7"/>
      <c r="BM992" s="7"/>
      <c r="BN992" s="7"/>
      <c r="BO992" s="7"/>
      <c r="BP992" s="7"/>
      <c r="BQ992" s="7"/>
      <c r="BR992" s="7"/>
      <c r="BS992" s="7"/>
      <c r="BT992" s="7"/>
      <c r="BU992" s="7"/>
      <c r="BV992" s="7"/>
      <c r="BW992" s="7"/>
      <c r="BX992" s="7"/>
      <c r="BY992" s="7"/>
      <c r="BZ992" s="7"/>
    </row>
    <row r="993" ht="16.5" customHeight="1">
      <c r="AT993" s="7"/>
      <c r="AU993" s="7"/>
      <c r="AV993" s="7"/>
      <c r="AW993" s="7"/>
      <c r="AX993" s="7"/>
      <c r="AY993" s="7"/>
      <c r="AZ993" s="7"/>
      <c r="BA993" s="7"/>
      <c r="BB993" s="7"/>
      <c r="BC993" s="7"/>
      <c r="BD993" s="7"/>
      <c r="BE993" s="7"/>
      <c r="BF993" s="7"/>
      <c r="BG993" s="7"/>
      <c r="BH993" s="7"/>
      <c r="BI993" s="7"/>
      <c r="BJ993" s="7"/>
      <c r="BK993" s="7"/>
      <c r="BL993" s="7"/>
      <c r="BM993" s="7"/>
      <c r="BN993" s="7"/>
      <c r="BO993" s="7"/>
      <c r="BP993" s="7"/>
      <c r="BQ993" s="7"/>
      <c r="BR993" s="7"/>
      <c r="BS993" s="7"/>
      <c r="BT993" s="7"/>
      <c r="BU993" s="7"/>
      <c r="BV993" s="7"/>
      <c r="BW993" s="7"/>
      <c r="BX993" s="7"/>
      <c r="BY993" s="7"/>
      <c r="BZ993" s="7"/>
    </row>
    <row r="994" ht="16.5" customHeight="1">
      <c r="AT994" s="7"/>
      <c r="AU994" s="7"/>
      <c r="AV994" s="7"/>
      <c r="AW994" s="7"/>
      <c r="AX994" s="7"/>
      <c r="AY994" s="7"/>
      <c r="AZ994" s="7"/>
      <c r="BA994" s="7"/>
      <c r="BB994" s="7"/>
      <c r="BC994" s="7"/>
      <c r="BD994" s="7"/>
      <c r="BE994" s="7"/>
      <c r="BF994" s="7"/>
      <c r="BG994" s="7"/>
      <c r="BH994" s="7"/>
      <c r="BI994" s="7"/>
      <c r="BJ994" s="7"/>
      <c r="BK994" s="7"/>
      <c r="BL994" s="7"/>
      <c r="BM994" s="7"/>
      <c r="BN994" s="7"/>
      <c r="BO994" s="7"/>
      <c r="BP994" s="7"/>
      <c r="BQ994" s="7"/>
      <c r="BR994" s="7"/>
      <c r="BS994" s="7"/>
      <c r="BT994" s="7"/>
      <c r="BU994" s="7"/>
      <c r="BV994" s="7"/>
      <c r="BW994" s="7"/>
      <c r="BX994" s="7"/>
      <c r="BY994" s="7"/>
      <c r="BZ994" s="7"/>
    </row>
    <row r="995" ht="16.5" customHeight="1">
      <c r="AT995" s="7"/>
      <c r="AU995" s="7"/>
      <c r="AV995" s="7"/>
      <c r="AW995" s="7"/>
      <c r="AX995" s="7"/>
      <c r="AY995" s="7"/>
      <c r="AZ995" s="7"/>
      <c r="BA995" s="7"/>
      <c r="BB995" s="7"/>
      <c r="BC995" s="7"/>
      <c r="BD995" s="7"/>
      <c r="BE995" s="7"/>
      <c r="BF995" s="7"/>
      <c r="BG995" s="7"/>
      <c r="BH995" s="7"/>
      <c r="BI995" s="7"/>
      <c r="BJ995" s="7"/>
      <c r="BK995" s="7"/>
      <c r="BL995" s="7"/>
      <c r="BM995" s="7"/>
      <c r="BN995" s="7"/>
      <c r="BO995" s="7"/>
      <c r="BP995" s="7"/>
      <c r="BQ995" s="7"/>
      <c r="BR995" s="7"/>
      <c r="BS995" s="7"/>
      <c r="BT995" s="7"/>
      <c r="BU995" s="7"/>
      <c r="BV995" s="7"/>
      <c r="BW995" s="7"/>
      <c r="BX995" s="7"/>
      <c r="BY995" s="7"/>
      <c r="BZ995" s="7"/>
    </row>
    <row r="996" ht="16.5" customHeight="1">
      <c r="AT996" s="7"/>
      <c r="AU996" s="7"/>
      <c r="AV996" s="7"/>
      <c r="AW996" s="7"/>
      <c r="AX996" s="7"/>
      <c r="AY996" s="7"/>
      <c r="AZ996" s="7"/>
      <c r="BA996" s="7"/>
      <c r="BB996" s="7"/>
      <c r="BC996" s="7"/>
      <c r="BD996" s="7"/>
      <c r="BE996" s="7"/>
      <c r="BF996" s="7"/>
      <c r="BG996" s="7"/>
      <c r="BH996" s="7"/>
      <c r="BI996" s="7"/>
      <c r="BJ996" s="7"/>
      <c r="BK996" s="7"/>
      <c r="BL996" s="7"/>
      <c r="BM996" s="7"/>
      <c r="BN996" s="7"/>
      <c r="BO996" s="7"/>
      <c r="BP996" s="7"/>
      <c r="BQ996" s="7"/>
      <c r="BR996" s="7"/>
      <c r="BS996" s="7"/>
      <c r="BT996" s="7"/>
      <c r="BU996" s="7"/>
      <c r="BV996" s="7"/>
      <c r="BW996" s="7"/>
      <c r="BX996" s="7"/>
      <c r="BY996" s="7"/>
      <c r="BZ996" s="7"/>
    </row>
    <row r="997" ht="16.5" customHeight="1">
      <c r="AT997" s="7"/>
      <c r="AU997" s="7"/>
      <c r="AV997" s="7"/>
      <c r="AW997" s="7"/>
      <c r="AX997" s="7"/>
      <c r="AY997" s="7"/>
      <c r="AZ997" s="7"/>
      <c r="BA997" s="7"/>
      <c r="BB997" s="7"/>
      <c r="BC997" s="7"/>
      <c r="BD997" s="7"/>
      <c r="BE997" s="7"/>
      <c r="BF997" s="7"/>
      <c r="BG997" s="7"/>
      <c r="BH997" s="7"/>
      <c r="BI997" s="7"/>
      <c r="BJ997" s="7"/>
      <c r="BK997" s="7"/>
      <c r="BL997" s="7"/>
      <c r="BM997" s="7"/>
      <c r="BN997" s="7"/>
      <c r="BO997" s="7"/>
      <c r="BP997" s="7"/>
      <c r="BQ997" s="7"/>
      <c r="BR997" s="7"/>
      <c r="BS997" s="7"/>
      <c r="BT997" s="7"/>
      <c r="BU997" s="7"/>
      <c r="BV997" s="7"/>
      <c r="BW997" s="7"/>
      <c r="BX997" s="7"/>
      <c r="BY997" s="7"/>
      <c r="BZ997" s="7"/>
    </row>
    <row r="998" ht="16.5" customHeight="1">
      <c r="AT998" s="7"/>
      <c r="AU998" s="7"/>
      <c r="AV998" s="7"/>
      <c r="AW998" s="7"/>
      <c r="AX998" s="7"/>
      <c r="AY998" s="7"/>
      <c r="AZ998" s="7"/>
      <c r="BA998" s="7"/>
      <c r="BB998" s="7"/>
      <c r="BC998" s="7"/>
      <c r="BD998" s="7"/>
      <c r="BE998" s="7"/>
      <c r="BF998" s="7"/>
      <c r="BG998" s="7"/>
      <c r="BH998" s="7"/>
      <c r="BI998" s="7"/>
      <c r="BJ998" s="7"/>
      <c r="BK998" s="7"/>
      <c r="BL998" s="7"/>
      <c r="BM998" s="7"/>
      <c r="BN998" s="7"/>
      <c r="BO998" s="7"/>
      <c r="BP998" s="7"/>
      <c r="BQ998" s="7"/>
      <c r="BR998" s="7"/>
      <c r="BS998" s="7"/>
      <c r="BT998" s="7"/>
      <c r="BU998" s="7"/>
      <c r="BV998" s="7"/>
      <c r="BW998" s="7"/>
      <c r="BX998" s="7"/>
      <c r="BY998" s="7"/>
      <c r="BZ998" s="7"/>
    </row>
    <row r="999" ht="16.5" customHeight="1">
      <c r="AT999" s="7"/>
      <c r="AU999" s="7"/>
      <c r="AV999" s="7"/>
      <c r="AW999" s="7"/>
      <c r="AX999" s="7"/>
      <c r="AY999" s="7"/>
      <c r="AZ999" s="7"/>
      <c r="BA999" s="7"/>
      <c r="BB999" s="7"/>
      <c r="BC999" s="7"/>
      <c r="BD999" s="7"/>
      <c r="BE999" s="7"/>
      <c r="BF999" s="7"/>
      <c r="BG999" s="7"/>
      <c r="BH999" s="7"/>
      <c r="BI999" s="7"/>
      <c r="BJ999" s="7"/>
      <c r="BK999" s="7"/>
      <c r="BL999" s="7"/>
      <c r="BM999" s="7"/>
      <c r="BN999" s="7"/>
      <c r="BO999" s="7"/>
      <c r="BP999" s="7"/>
      <c r="BQ999" s="7"/>
      <c r="BR999" s="7"/>
      <c r="BS999" s="7"/>
      <c r="BT999" s="7"/>
      <c r="BU999" s="7"/>
      <c r="BV999" s="7"/>
      <c r="BW999" s="7"/>
      <c r="BX999" s="7"/>
      <c r="BY999" s="7"/>
      <c r="BZ999" s="7"/>
    </row>
    <row r="1000" ht="16.5" customHeight="1">
      <c r="AT1000" s="7"/>
      <c r="AU1000" s="7"/>
      <c r="AV1000" s="7"/>
      <c r="AW1000" s="7"/>
      <c r="AX1000" s="7"/>
      <c r="AY1000" s="7"/>
      <c r="AZ1000" s="7"/>
      <c r="BA1000" s="7"/>
      <c r="BB1000" s="7"/>
      <c r="BC1000" s="7"/>
      <c r="BD1000" s="7"/>
      <c r="BE1000" s="7"/>
      <c r="BF1000" s="7"/>
      <c r="BG1000" s="7"/>
      <c r="BH1000" s="7"/>
      <c r="BI1000" s="7"/>
      <c r="BJ1000" s="7"/>
      <c r="BK1000" s="7"/>
      <c r="BL1000" s="7"/>
      <c r="BM1000" s="7"/>
      <c r="BN1000" s="7"/>
      <c r="BO1000" s="7"/>
      <c r="BP1000" s="7"/>
      <c r="BQ1000" s="7"/>
      <c r="BR1000" s="7"/>
      <c r="BS1000" s="7"/>
      <c r="BT1000" s="7"/>
      <c r="BU1000" s="7"/>
      <c r="BV1000" s="7"/>
      <c r="BW1000" s="7"/>
      <c r="BX1000" s="7"/>
      <c r="BY1000" s="7"/>
      <c r="BZ1000" s="7"/>
    </row>
  </sheetData>
  <hyperlinks>
    <hyperlink r:id="rId1" ref="K104"/>
    <hyperlink r:id="rId1" ref="M104"/>
    <hyperlink r:id="rId1" ref="O104"/>
    <hyperlink r:id="rId2" ref="AJ182"/>
    <hyperlink r:id="rId3" ref="R185"/>
    <hyperlink r:id="rId4" ref="R190"/>
    <hyperlink r:id="rId5" ref="R242"/>
    <hyperlink r:id="rId6" ref="R243"/>
    <hyperlink r:id="rId6" ref="R244"/>
    <hyperlink r:id="rId7" ref="R245"/>
    <hyperlink r:id="rId7" ref="R246"/>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